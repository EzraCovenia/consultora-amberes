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ciones" sheetId="1" state="visible" r:id="rId3"/>
    <sheet name="Panel de Control" sheetId="2" state="visible" r:id="rId4"/>
    <sheet name="Supuestos" sheetId="3" state="visible" r:id="rId5"/>
    <sheet name="Ingresos" sheetId="4" state="visible" r:id="rId6"/>
    <sheet name="Costos" sheetId="5" state="visible" r:id="rId7"/>
    <sheet name="Estado de Resultados" sheetId="6" state="visible" r:id="rId8"/>
    <sheet name="Financiamiento" sheetId="7" state="visible" r:id="rId9"/>
    <sheet name="Flujo de Caja" sheetId="8" state="visible" r:id="rId10"/>
    <sheet name="Resumen" sheetId="9" state="visible" r:id="rId11"/>
    <sheet name="Escenarios" sheetId="10" state="visible" r:id="rId12"/>
    <sheet name="Valoración" sheetId="11" state="visible" r:id="rId13"/>
    <sheet name="Ratios Financieros" sheetId="12" state="visible" r:id="rId14"/>
    <sheet name="Balance" sheetId="13" state="visible" r:id="rId15"/>
    <sheet name="Estado de Flujo de Caja" sheetId="14" state="visible" r:id="rId16"/>
    <sheet name="M&amp;A" sheetId="15" state="visible" r:id="rId17"/>
    <sheet name="P&amp;L Productiva - Real" sheetId="16" state="visible" r:id="rId18"/>
    <sheet name="P&amp;L Productiva - Budget" sheetId="17" state="visible" r:id="rId19"/>
    <sheet name="P&amp;L Productiva - Forecast" sheetId="18" state="visible" r:id="rId20"/>
    <sheet name="P&amp;L Servicios - Real" sheetId="19" state="visible" r:id="rId21"/>
    <sheet name="P&amp;L Servicios - Budget" sheetId="20" state="visible" r:id="rId22"/>
    <sheet name="P&amp;L Servicios - Forecast" sheetId="21" state="visible" r:id="rId23"/>
    <sheet name="Control de cambios" sheetId="22" state="visible" r:id="rId2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<sst xmlns="http://schemas.openxmlformats.org/spreadsheetml/2006/main" count="2427" uniqueCount="836">
  <si>
    <t xml:space="preserve">AMBERES INTELLIGENCE – MODELO CONSOLIDADO</t>
  </si>
  <si>
    <t xml:space="preserve">QUÉ ES ESTE ARCHIVO</t>
  </si>
  <si>
    <t xml:space="preserve">Un solo archivo con todas las pestañas que el software reconoce por su nombre y contenido: P&amp;L (6 hojas), Evaluación de proyectos (Panel, Supuestos, Ingresos, Costos, Estado de Resultados, Financiamiento, Flujo de Caja, Resumen, Escenarios, Valoración, Ratios), Balance y M&amp;A.</t>
  </si>
  <si>
    <t xml:space="preserve">CÓMO USARLO</t>
  </si>
  <si>
    <t xml:space="preserve">1. Pegue sus datos en las hojas de P&amp;L (una hoja por empresa y escenario: Real, Budget, Forecast) y/o en Supuestos (celdas amarillas).</t>
  </si>
  <si>
    <t xml:space="preserve">2. Suba el archivo a Amberes Intelligence. Cada pestaña se identifica sola; las vacías se marcan como opcionales.</t>
  </si>
  <si>
    <t xml:space="preserve">3. Si solo sube un P&amp;L, el software construye por sí mismo el flujo de caja operacional y financiero, el balance (que cuadra) y la valoración M&amp;A, rotulando como "estimado" todo lo que no estaba cargado.</t>
  </si>
  <si>
    <t xml:space="preserve">4. Balance, Estado de Flujo de Caja y M&amp;A son opcionales: complételos solo si desea reemplazar las estimaciones. Si sube solo un Balance o solo un Flujo de Caja, el software completa los otros informes de forma aproximada (no todas las cuentas se pueden traspasar de un informe a otro; lo estimado se rotula).</t>
  </si>
  <si>
    <t xml:space="preserve">CÓDIGO DE COLORES</t>
  </si>
  <si>
    <t xml:space="preserve">Celdas amarillas con texto azul = datos que usted ingresa. Fondo blanco = fórmulas, no editar.</t>
  </si>
  <si>
    <t xml:space="preserve">IMPORTANTE</t>
  </si>
  <si>
    <t xml:space="preserve">Las hojas de ejemplo incluidas son datos ilustrativos y no están relacionadas entre sí (el P&amp;L es de una empresa de servicios; la evaluación es un proyecto distinto). Reemplácelos con sus cifras.</t>
  </si>
  <si>
    <t xml:space="preserve">Las fórmulas del modelo original se corrigieron; el detalle está en la hoja "Control de cambios".</t>
  </si>
  <si>
    <t xml:space="preserve">Los resultados son referenciales y deben ser validados por un profesional antes de decisiones de inversión, financiamiento o transacciones.</t>
  </si>
  <si>
    <t xml:space="preserve">MODELO DE EVALUACIÓN DE PROYECTOS</t>
  </si>
  <si>
    <t xml:space="preserve">Inversión</t>
  </si>
  <si>
    <t xml:space="preserve">USD</t>
  </si>
  <si>
    <t xml:space="preserve">INFORMACIÓN DEL PROYECTO</t>
  </si>
  <si>
    <t xml:space="preserve">Desinversión</t>
  </si>
  <si>
    <t xml:space="preserve">CLP</t>
  </si>
  <si>
    <t xml:space="preserve">Fusión</t>
  </si>
  <si>
    <t xml:space="preserve">EUR</t>
  </si>
  <si>
    <t xml:space="preserve">Nombre del Proyecto:</t>
  </si>
  <si>
    <t xml:space="preserve">Proyecto Ejemplo</t>
  </si>
  <si>
    <t xml:space="preserve">Adquisición </t>
  </si>
  <si>
    <t xml:space="preserve">ARS</t>
  </si>
  <si>
    <t xml:space="preserve">Peso Argentino</t>
  </si>
  <si>
    <t xml:space="preserve">Tipo de Operación:</t>
  </si>
  <si>
    <t xml:space="preserve">MXN</t>
  </si>
  <si>
    <t xml:space="preserve">Peso Mexicano</t>
  </si>
  <si>
    <t xml:space="preserve">Fecha de Evaluación:</t>
  </si>
  <si>
    <t xml:space="preserve">COP</t>
  </si>
  <si>
    <t xml:space="preserve">Peso Colombiano</t>
  </si>
  <si>
    <t xml:space="preserve">Moneda:</t>
  </si>
  <si>
    <t xml:space="preserve">PEN</t>
  </si>
  <si>
    <t xml:space="preserve">Sol Peruano</t>
  </si>
  <si>
    <t xml:space="preserve">Unidad (miles/millones):</t>
  </si>
  <si>
    <t xml:space="preserve">miles</t>
  </si>
  <si>
    <t xml:space="preserve">UYU</t>
  </si>
  <si>
    <t xml:space="preserve">Peso Uruguayo</t>
  </si>
  <si>
    <t xml:space="preserve">CRC</t>
  </si>
  <si>
    <t xml:space="preserve">Colón Costarricense</t>
  </si>
  <si>
    <t xml:space="preserve">PARÁMETROS DE ANÁLISIS</t>
  </si>
  <si>
    <t xml:space="preserve">Horizonte de Evaluación (meses):</t>
  </si>
  <si>
    <t xml:space="preserve">Tasa de Descuento (WACC):</t>
  </si>
  <si>
    <t xml:space="preserve">Tasa Impositiva:</t>
  </si>
  <si>
    <t xml:space="preserve">INDICADORES PRINCIPALES</t>
  </si>
  <si>
    <t xml:space="preserve">VAN (Valor Actual Neto):</t>
  </si>
  <si>
    <t xml:space="preserve">TIR (Tasa Interna de Retorno):</t>
  </si>
  <si>
    <t xml:space="preserve">Período de Recuperación (meses):</t>
  </si>
  <si>
    <t xml:space="preserve">ROI (Return on Investment):</t>
  </si>
  <si>
    <t xml:space="preserve">SUPUESTOS PRINCIPALES</t>
  </si>
  <si>
    <t xml:space="preserve">INVERSIÓN INICIAL</t>
  </si>
  <si>
    <t xml:space="preserve">Inversión en Activos Fijos:</t>
  </si>
  <si>
    <t xml:space="preserve">Capital de Trabajo Inicial:</t>
  </si>
  <si>
    <t xml:space="preserve">Gastos Pre-operativos:</t>
  </si>
  <si>
    <t xml:space="preserve">INGRESOS</t>
  </si>
  <si>
    <t xml:space="preserve">Ingresos Mensuales Año 1:</t>
  </si>
  <si>
    <t xml:space="preserve">Crecimiento Anual Ingresos:</t>
  </si>
  <si>
    <t xml:space="preserve">COSTOS VARIABLES</t>
  </si>
  <si>
    <t xml:space="preserve">% Costos Variables sobre Ventas:</t>
  </si>
  <si>
    <t xml:space="preserve">COSTOS FIJOS MENSUALES</t>
  </si>
  <si>
    <t xml:space="preserve">Salarios y Cargas Sociales:</t>
  </si>
  <si>
    <t xml:space="preserve">Alquileres:</t>
  </si>
  <si>
    <t xml:space="preserve">Servicios (luz, agua, internet):</t>
  </si>
  <si>
    <t xml:space="preserve">Marketing y Publicidad:</t>
  </si>
  <si>
    <t xml:space="preserve">Otros Gastos Fijos:</t>
  </si>
  <si>
    <t xml:space="preserve">DEPRECIACIÓN</t>
  </si>
  <si>
    <t xml:space="preserve">Vida Útil Activos (años):</t>
  </si>
  <si>
    <t xml:space="preserve">Método Depreciación:</t>
  </si>
  <si>
    <t xml:space="preserve">Lineal</t>
  </si>
  <si>
    <t xml:space="preserve">FINANCIAMIENTO</t>
  </si>
  <si>
    <t xml:space="preserve">Monto del Préstamo:</t>
  </si>
  <si>
    <t xml:space="preserve">Tasa de Interés Anual:</t>
  </si>
  <si>
    <t xml:space="preserve">Plazo del Préstamo (meses):</t>
  </si>
  <si>
    <t xml:space="preserve">VALOR RESIDUAL</t>
  </si>
  <si>
    <t xml:space="preserve">% Valor Residual de Activos Fijos:</t>
  </si>
  <si>
    <t xml:space="preserve">PROYECCIÓN DE INGRESOS</t>
  </si>
  <si>
    <t xml:space="preserve">Concepto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</si>
  <si>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</si>
  <si>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</si>
  <si>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</si>
  <si>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</si>
  <si>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</si>
  <si>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</si>
  <si>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</si>
  <si>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</si>
  <si>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</si>
  <si>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</si>
  <si>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</si>
  <si>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</si>
  <si>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Mes 13</t>
  </si>
  <si>
    <t xml:space="preserve">Mes 14</t>
  </si>
  <si>
    <t xml:space="preserve">Mes 15</t>
  </si>
  <si>
    <t xml:space="preserve">Mes 16</t>
  </si>
  <si>
    <t xml:space="preserve">Mes 17</t>
  </si>
  <si>
    <t xml:space="preserve">Mes 18</t>
  </si>
  <si>
    <t xml:space="preserve">Mes 19</t>
  </si>
  <si>
    <t xml:space="preserve">Mes 20</t>
  </si>
  <si>
    <t xml:space="preserve">Mes 21</t>
  </si>
  <si>
    <t xml:space="preserve">Mes 22</t>
  </si>
  <si>
    <t xml:space="preserve">Mes 23</t>
  </si>
  <si>
    <t xml:space="preserve">Mes 24</t>
  </si>
  <si>
    <t xml:space="preserve">Mes 25</t>
  </si>
  <si>
    <t xml:space="preserve">Mes 26</t>
  </si>
  <si>
    <t xml:space="preserve">Mes 27</t>
  </si>
  <si>
    <t xml:space="preserve">Mes 28</t>
  </si>
  <si>
    <t xml:space="preserve">Mes 29</t>
  </si>
  <si>
    <t xml:space="preserve">Mes 30</t>
  </si>
  <si>
    <t xml:space="preserve">Mes 31</t>
  </si>
  <si>
    <t xml:space="preserve">Mes 32</t>
  </si>
  <si>
    <t xml:space="preserve">Mes 33</t>
  </si>
  <si>
    <t xml:space="preserve">Mes 34</t>
  </si>
  <si>
    <t xml:space="preserve">Mes 35</t>
  </si>
  <si>
    <t xml:space="preserve">Mes 36</t>
  </si>
  <si>
    <t xml:space="preserve">Mes 37</t>
  </si>
  <si>
    <t xml:space="preserve">Mes 38</t>
  </si>
  <si>
    <t xml:space="preserve">Mes 39</t>
  </si>
  <si>
    <t xml:space="preserve">Mes 40</t>
  </si>
  <si>
    <t xml:space="preserve">Mes 41</t>
  </si>
  <si>
    <t xml:space="preserve">Mes 42</t>
  </si>
  <si>
    <t xml:space="preserve">Mes 43</t>
  </si>
  <si>
    <t xml:space="preserve">Mes 44</t>
  </si>
  <si>
    <t xml:space="preserve">Mes 45</t>
  </si>
  <si>
    <t xml:space="preserve">Mes 46</t>
  </si>
  <si>
    <t xml:space="preserve">Mes 47</t>
  </si>
  <si>
    <t xml:space="preserve">Mes 48</t>
  </si>
  <si>
    <t xml:space="preserve">Mes 49</t>
  </si>
  <si>
    <t xml:space="preserve">Mes 50</t>
  </si>
  <si>
    <t xml:space="preserve">Mes 51</t>
  </si>
  <si>
    <t xml:space="preserve">Mes 52</t>
  </si>
  <si>
    <t xml:space="preserve">Mes 53</t>
  </si>
  <si>
    <t xml:space="preserve">Mes 54</t>
  </si>
  <si>
    <t xml:space="preserve">Mes 55</t>
  </si>
  <si>
    <t xml:space="preserve">Mes 56</t>
  </si>
  <si>
    <t xml:space="preserve">Mes 57</t>
  </si>
  <si>
    <t xml:space="preserve">Mes 58</t>
  </si>
  <si>
    <t xml:space="preserve">Mes 59</t>
  </si>
  <si>
    <t xml:space="preserve">Mes 60</t>
  </si>
  <si>
    <t xml:space="preserve">Mes 61</t>
  </si>
  <si>
    <t xml:space="preserve">Mes 62</t>
  </si>
  <si>
    <t xml:space="preserve">Mes 63</t>
  </si>
  <si>
    <t xml:space="preserve">Mes 64</t>
  </si>
  <si>
    <t xml:space="preserve">Mes 65</t>
  </si>
  <si>
    <t xml:space="preserve">Mes 66</t>
  </si>
  <si>
    <t xml:space="preserve">Mes 67</t>
  </si>
  <si>
    <t xml:space="preserve">Mes 68</t>
  </si>
  <si>
    <t xml:space="preserve">Mes 69</t>
  </si>
  <si>
    <t xml:space="preserve">Mes 70</t>
  </si>
  <si>
    <t xml:space="preserve">Mes 71</t>
  </si>
  <si>
    <t xml:space="preserve">Mes 72</t>
  </si>
  <si>
    <t xml:space="preserve">Mes 73</t>
  </si>
  <si>
    <t xml:space="preserve">Mes 74</t>
  </si>
  <si>
    <t xml:space="preserve">Mes 75</t>
  </si>
  <si>
    <t xml:space="preserve">Mes 76</t>
  </si>
  <si>
    <t xml:space="preserve">Mes 77</t>
  </si>
  <si>
    <t xml:space="preserve">Mes 78</t>
  </si>
  <si>
    <t xml:space="preserve">Mes 79</t>
  </si>
  <si>
    <t xml:space="preserve">Mes 80</t>
  </si>
  <si>
    <t xml:space="preserve">Mes 81</t>
  </si>
  <si>
    <t xml:space="preserve">Mes 82</t>
  </si>
  <si>
    <t xml:space="preserve">Mes 83</t>
  </si>
  <si>
    <t xml:space="preserve">Mes 84</t>
  </si>
  <si>
    <t xml:space="preserve">Mes 85</t>
  </si>
  <si>
    <t xml:space="preserve">Mes 86</t>
  </si>
  <si>
    <t xml:space="preserve">Mes 87</t>
  </si>
  <si>
    <t xml:space="preserve">Mes 88</t>
  </si>
  <si>
    <t xml:space="preserve">Mes 89</t>
  </si>
  <si>
    <t xml:space="preserve">Mes 90</t>
  </si>
  <si>
    <t xml:space="preserve">Mes 91</t>
  </si>
  <si>
    <t xml:space="preserve">Mes 92</t>
  </si>
  <si>
    <t xml:space="preserve">Mes 93</t>
  </si>
  <si>
    <t xml:space="preserve">Mes 94</t>
  </si>
  <si>
    <t xml:space="preserve">Mes 95</t>
  </si>
  <si>
    <t xml:space="preserve">Mes 96</t>
  </si>
  <si>
    <t xml:space="preserve">Mes 97</t>
  </si>
  <si>
    <t xml:space="preserve">Mes 98</t>
  </si>
  <si>
    <t xml:space="preserve">Mes 99</t>
  </si>
  <si>
    <t xml:space="preserve">Mes 100</t>
  </si>
  <si>
    <t xml:space="preserve">Mes 101</t>
  </si>
  <si>
    <t xml:space="preserve">Mes 102</t>
  </si>
  <si>
    <t xml:space="preserve">Mes 103</t>
  </si>
  <si>
    <t xml:space="preserve">Mes 104</t>
  </si>
  <si>
    <t xml:space="preserve">Mes 105</t>
  </si>
  <si>
    <t xml:space="preserve">Mes 106</t>
  </si>
  <si>
    <t xml:space="preserve">Mes 107</t>
  </si>
  <si>
    <t xml:space="preserve">Mes 108</t>
  </si>
  <si>
    <t xml:space="preserve">Mes 109</t>
  </si>
  <si>
    <t xml:space="preserve">Mes 110</t>
  </si>
  <si>
    <t xml:space="preserve">Mes 111</t>
  </si>
  <si>
    <t xml:space="preserve">Mes 112</t>
  </si>
  <si>
    <t xml:space="preserve">Mes 113</t>
  </si>
  <si>
    <t xml:space="preserve">Mes 114</t>
  </si>
  <si>
    <t xml:space="preserve">Mes 115</t>
  </si>
  <si>
    <t xml:space="preserve">Mes 116</t>
  </si>
  <si>
    <t xml:space="preserve">Mes 117</t>
  </si>
  <si>
    <t xml:space="preserve">Mes 118</t>
  </si>
  <si>
    <t xml:space="preserve">Mes 119</t>
  </si>
  <si>
    <t xml:space="preserve">Mes 120</t>
  </si>
  <si>
    <t xml:space="preserve">Mes 121</t>
  </si>
  <si>
    <t xml:space="preserve">Mes 122</t>
  </si>
  <si>
    <t xml:space="preserve">Mes 123</t>
  </si>
  <si>
    <t xml:space="preserve">Mes 124</t>
  </si>
  <si>
    <t xml:space="preserve">Mes 125</t>
  </si>
  <si>
    <t xml:space="preserve">Mes 126</t>
  </si>
  <si>
    <t xml:space="preserve">Mes 127</t>
  </si>
  <si>
    <t xml:space="preserve">Mes 128</t>
  </si>
  <si>
    <t xml:space="preserve">Mes 129</t>
  </si>
  <si>
    <t xml:space="preserve">Mes 130</t>
  </si>
  <si>
    <t xml:space="preserve">Mes 131</t>
  </si>
  <si>
    <t xml:space="preserve">Mes 132</t>
  </si>
  <si>
    <t xml:space="preserve">Mes 133</t>
  </si>
  <si>
    <t xml:space="preserve">Mes 134</t>
  </si>
  <si>
    <t xml:space="preserve">Mes 135</t>
  </si>
  <si>
    <t xml:space="preserve">Mes 136</t>
  </si>
  <si>
    <t xml:space="preserve">Mes 137</t>
  </si>
  <si>
    <t xml:space="preserve">Mes 138</t>
  </si>
  <si>
    <t xml:space="preserve">Mes 139</t>
  </si>
  <si>
    <t xml:space="preserve">Mes 140</t>
  </si>
  <si>
    <t xml:space="preserve">Mes 141</t>
  </si>
  <si>
    <t xml:space="preserve">Mes 142</t>
  </si>
  <si>
    <t xml:space="preserve">Mes 143</t>
  </si>
  <si>
    <t xml:space="preserve">Mes 144</t>
  </si>
  <si>
    <t xml:space="preserve">Mes 145</t>
  </si>
  <si>
    <t xml:space="preserve">Mes 146</t>
  </si>
  <si>
    <t xml:space="preserve">Mes 147</t>
  </si>
  <si>
    <t xml:space="preserve">Mes 148</t>
  </si>
  <si>
    <t xml:space="preserve">Mes 149</t>
  </si>
  <si>
    <t xml:space="preserve">Mes 150</t>
  </si>
  <si>
    <t xml:space="preserve">Mes 151</t>
  </si>
  <si>
    <t xml:space="preserve">Mes 152</t>
  </si>
  <si>
    <t xml:space="preserve">Mes 153</t>
  </si>
  <si>
    <t xml:space="preserve">Mes 154</t>
  </si>
  <si>
    <t xml:space="preserve">Mes 155</t>
  </si>
  <si>
    <t xml:space="preserve">Mes 156</t>
  </si>
  <si>
    <t xml:space="preserve">Mes 157</t>
  </si>
  <si>
    <t xml:space="preserve">Mes 158</t>
  </si>
  <si>
    <t xml:space="preserve">Mes 159</t>
  </si>
  <si>
    <t xml:space="preserve">Mes 160</t>
  </si>
  <si>
    <t xml:space="preserve">Mes 161</t>
  </si>
  <si>
    <t xml:space="preserve">Mes 162</t>
  </si>
  <si>
    <t xml:space="preserve">Mes 163</t>
  </si>
  <si>
    <t xml:space="preserve">Mes 164</t>
  </si>
  <si>
    <t xml:space="preserve">Mes 165</t>
  </si>
  <si>
    <t xml:space="preserve">Mes 166</t>
  </si>
  <si>
    <t xml:space="preserve">Mes 167</t>
  </si>
  <si>
    <t xml:space="preserve">Mes 168</t>
  </si>
  <si>
    <t xml:space="preserve">Mes 169</t>
  </si>
  <si>
    <t xml:space="preserve">Mes 170</t>
  </si>
  <si>
    <t xml:space="preserve">Mes 171</t>
  </si>
  <si>
    <t xml:space="preserve">Mes 172</t>
  </si>
  <si>
    <t xml:space="preserve">Mes 173</t>
  </si>
  <si>
    <t xml:space="preserve">Mes 174</t>
  </si>
  <si>
    <t xml:space="preserve">Mes 175</t>
  </si>
  <si>
    <t xml:space="preserve">Mes 176</t>
  </si>
  <si>
    <t xml:space="preserve">Mes 177</t>
  </si>
  <si>
    <t xml:space="preserve">Mes 178</t>
  </si>
  <si>
    <t xml:space="preserve">Mes 179</t>
  </si>
  <si>
    <t xml:space="preserve">Mes 180</t>
  </si>
  <si>
    <t xml:space="preserve">Mes 181</t>
  </si>
  <si>
    <t xml:space="preserve">Mes 182</t>
  </si>
  <si>
    <t xml:space="preserve">Mes 183</t>
  </si>
  <si>
    <t xml:space="preserve">Mes 184</t>
  </si>
  <si>
    <t xml:space="preserve">Mes 185</t>
  </si>
  <si>
    <t xml:space="preserve">Mes 186</t>
  </si>
  <si>
    <t xml:space="preserve">Mes 187</t>
  </si>
  <si>
    <t xml:space="preserve">Mes 188</t>
  </si>
  <si>
    <t xml:space="preserve">Mes 189</t>
  </si>
  <si>
    <t xml:space="preserve">Mes 190</t>
  </si>
  <si>
    <t xml:space="preserve">Mes 191</t>
  </si>
  <si>
    <t xml:space="preserve">Mes 192</t>
  </si>
  <si>
    <t xml:space="preserve">Mes 193</t>
  </si>
  <si>
    <t xml:space="preserve">Mes 194</t>
  </si>
  <si>
    <t xml:space="preserve">Mes 195</t>
  </si>
  <si>
    <t xml:space="preserve">Mes 196</t>
  </si>
  <si>
    <t xml:space="preserve">Mes 197</t>
  </si>
  <si>
    <t xml:space="preserve">Mes 198</t>
  </si>
  <si>
    <t xml:space="preserve">Mes 199</t>
  </si>
  <si>
    <t xml:space="preserve">Mes 200</t>
  </si>
  <si>
    <t xml:space="preserve">Mes 201</t>
  </si>
  <si>
    <t xml:space="preserve">Mes 202</t>
  </si>
  <si>
    <t xml:space="preserve">Mes 203</t>
  </si>
  <si>
    <t xml:space="preserve">Mes 204</t>
  </si>
  <si>
    <t xml:space="preserve">Mes 205</t>
  </si>
  <si>
    <t xml:space="preserve">Mes 206</t>
  </si>
  <si>
    <t xml:space="preserve">Mes 207</t>
  </si>
  <si>
    <t xml:space="preserve">Mes 208</t>
  </si>
  <si>
    <t xml:space="preserve">Mes 209</t>
  </si>
  <si>
    <t xml:space="preserve">Mes 210</t>
  </si>
  <si>
    <t xml:space="preserve">Mes 211</t>
  </si>
  <si>
    <t xml:space="preserve">Mes 212</t>
  </si>
  <si>
    <t xml:space="preserve">Mes 213</t>
  </si>
  <si>
    <t xml:space="preserve">Mes 214</t>
  </si>
  <si>
    <t xml:space="preserve">Mes 215</t>
  </si>
  <si>
    <t xml:space="preserve">Mes 216</t>
  </si>
  <si>
    <t xml:space="preserve">Mes 217</t>
  </si>
  <si>
    <t xml:space="preserve">Mes 218</t>
  </si>
  <si>
    <t xml:space="preserve">Mes 219</t>
  </si>
  <si>
    <t xml:space="preserve">Mes 220</t>
  </si>
  <si>
    <t xml:space="preserve">Mes 221</t>
  </si>
  <si>
    <t xml:space="preserve">Mes 222</t>
  </si>
  <si>
    <t xml:space="preserve">Mes 223</t>
  </si>
  <si>
    <t xml:space="preserve">Mes 224</t>
  </si>
  <si>
    <t xml:space="preserve">Mes 225</t>
  </si>
  <si>
    <t xml:space="preserve">Mes 226</t>
  </si>
  <si>
    <t xml:space="preserve">Mes 227</t>
  </si>
  <si>
    <t xml:space="preserve">Mes 228</t>
  </si>
  <si>
    <t xml:space="preserve">Mes 229</t>
  </si>
  <si>
    <t xml:space="preserve">Mes 230</t>
  </si>
  <si>
    <t xml:space="preserve">Mes 231</t>
  </si>
  <si>
    <t xml:space="preserve">Mes 232</t>
  </si>
  <si>
    <t xml:space="preserve">Mes 233</t>
  </si>
  <si>
    <t xml:space="preserve">Mes 234</t>
  </si>
  <si>
    <t xml:space="preserve">Mes 235</t>
  </si>
  <si>
    <t xml:space="preserve">Mes 236</t>
  </si>
  <si>
    <t xml:space="preserve">Mes 237</t>
  </si>
  <si>
    <t xml:space="preserve">Mes 238</t>
  </si>
  <si>
    <t xml:space="preserve">Mes 239</t>
  </si>
  <si>
    <t xml:space="preserve">Mes 240</t>
  </si>
  <si>
    <t xml:space="preserve">Mes 241</t>
  </si>
  <si>
    <t xml:space="preserve">Mes 242</t>
  </si>
  <si>
    <t xml:space="preserve">Mes 243</t>
  </si>
  <si>
    <t xml:space="preserve">Mes 244</t>
  </si>
  <si>
    <t xml:space="preserve">Mes 245</t>
  </si>
  <si>
    <t xml:space="preserve">Mes 246</t>
  </si>
  <si>
    <t xml:space="preserve">Mes 247</t>
  </si>
  <si>
    <t xml:space="preserve">Mes 248</t>
  </si>
  <si>
    <t xml:space="preserve">Mes 249</t>
  </si>
  <si>
    <t xml:space="preserve">Mes 250</t>
  </si>
  <si>
    <t xml:space="preserve">Mes 251</t>
  </si>
  <si>
    <t xml:space="preserve">Mes 252</t>
  </si>
  <si>
    <t xml:space="preserve">Mes 253</t>
  </si>
  <si>
    <t xml:space="preserve">Mes 254</t>
  </si>
  <si>
    <t xml:space="preserve">Mes 255</t>
  </si>
  <si>
    <t xml:space="preserve">Mes 256</t>
  </si>
  <si>
    <t xml:space="preserve">Mes 257</t>
  </si>
  <si>
    <t xml:space="preserve">Mes 258</t>
  </si>
  <si>
    <t xml:space="preserve">Mes 259</t>
  </si>
  <si>
    <t xml:space="preserve">Mes 260</t>
  </si>
  <si>
    <t xml:space="preserve">Mes 261</t>
  </si>
  <si>
    <t xml:space="preserve">Mes 262</t>
  </si>
  <si>
    <t xml:space="preserve">Mes 263</t>
  </si>
  <si>
    <t xml:space="preserve">Mes 264</t>
  </si>
  <si>
    <t xml:space="preserve">Mes 265</t>
  </si>
  <si>
    <t xml:space="preserve">Mes 266</t>
  </si>
  <si>
    <t xml:space="preserve">Mes 267</t>
  </si>
  <si>
    <t xml:space="preserve">Mes 268</t>
  </si>
  <si>
    <t xml:space="preserve">Mes 269</t>
  </si>
  <si>
    <t xml:space="preserve">Mes 270</t>
  </si>
  <si>
    <t xml:space="preserve">Mes 271</t>
  </si>
  <si>
    <t xml:space="preserve">Mes 272</t>
  </si>
  <si>
    <t xml:space="preserve">Mes 273</t>
  </si>
  <si>
    <t xml:space="preserve">Mes 274</t>
  </si>
  <si>
    <t xml:space="preserve">Mes 275</t>
  </si>
  <si>
    <t xml:space="preserve">Mes 276</t>
  </si>
  <si>
    <t xml:space="preserve">Mes 277</t>
  </si>
  <si>
    <t xml:space="preserve">Mes 278</t>
  </si>
  <si>
    <t xml:space="preserve">Mes 279</t>
  </si>
  <si>
    <t xml:space="preserve">Mes 280</t>
  </si>
  <si>
    <t xml:space="preserve">Mes 281</t>
  </si>
  <si>
    <t xml:space="preserve">Mes 282</t>
  </si>
  <si>
    <t xml:space="preserve">Mes 283</t>
  </si>
  <si>
    <t xml:space="preserve">Mes 284</t>
  </si>
  <si>
    <t xml:space="preserve">Mes 285</t>
  </si>
  <si>
    <t xml:space="preserve">Mes 286</t>
  </si>
  <si>
    <t xml:space="preserve">Mes 287</t>
  </si>
  <si>
    <t xml:space="preserve">Mes 288</t>
  </si>
  <si>
    <t xml:space="preserve">Mes 289</t>
  </si>
  <si>
    <t xml:space="preserve">Mes 290</t>
  </si>
  <si>
    <t xml:space="preserve">Mes 291</t>
  </si>
  <si>
    <t xml:space="preserve">Mes 292</t>
  </si>
  <si>
    <t xml:space="preserve">Mes 293</t>
  </si>
  <si>
    <t xml:space="preserve">Mes 294</t>
  </si>
  <si>
    <t xml:space="preserve">Mes 295</t>
  </si>
  <si>
    <t xml:space="preserve">Mes 296</t>
  </si>
  <si>
    <t xml:space="preserve">Mes 297</t>
  </si>
  <si>
    <t xml:space="preserve">Mes 298</t>
  </si>
  <si>
    <t xml:space="preserve">Mes 299</t>
  </si>
  <si>
    <t xml:space="preserve">Mes 300</t>
  </si>
  <si>
    <t xml:space="preserve">Ingresos por Ventas</t>
  </si>
  <si>
    <t xml:space="preserve">Otros Ingresos</t>
  </si>
  <si>
    <t xml:space="preserve">TOTAL INGRESOS</t>
  </si>
  <si>
    <t xml:space="preserve">PROYECCIÓN DE COSTOS</t>
  </si>
  <si>
    <t xml:space="preserve">Costo de Ventas</t>
  </si>
  <si>
    <t xml:space="preserve">Total Costos Variables</t>
  </si>
  <si>
    <t xml:space="preserve">COSTOS FIJOS</t>
  </si>
  <si>
    <t xml:space="preserve">Salarios y Cargas Sociales</t>
  </si>
  <si>
    <t xml:space="preserve">Alquileres</t>
  </si>
  <si>
    <t xml:space="preserve">Servicios</t>
  </si>
  <si>
    <t xml:space="preserve">Marketing y Publicidad</t>
  </si>
  <si>
    <t xml:space="preserve">Otros Gastos Fijos</t>
  </si>
  <si>
    <t xml:space="preserve">Total Costos Fijos</t>
  </si>
  <si>
    <t xml:space="preserve">Depreciación</t>
  </si>
  <si>
    <t xml:space="preserve">TOTAL COSTOS Y GASTOS</t>
  </si>
  <si>
    <t xml:space="preserve">ESTADO DE RESULTADOS</t>
  </si>
  <si>
    <t xml:space="preserve">Costos Variables</t>
  </si>
  <si>
    <t xml:space="preserve">MARGEN BRUTO</t>
  </si>
  <si>
    <t xml:space="preserve">Costos Fijos Operativos</t>
  </si>
  <si>
    <t xml:space="preserve">EBITDA</t>
  </si>
  <si>
    <t xml:space="preserve">EBIT (Resultado Operativo)</t>
  </si>
  <si>
    <t xml:space="preserve">Gastos Financieros</t>
  </si>
  <si>
    <t xml:space="preserve">EBT (Utilidad antes de Impuestos)</t>
  </si>
  <si>
    <t xml:space="preserve">Impuestos</t>
  </si>
  <si>
    <t xml:space="preserve">UTILIDAD NETA</t>
  </si>
  <si>
    <t xml:space="preserve">MÁRGENES</t>
  </si>
  <si>
    <t xml:space="preserve">Margen Bruto %</t>
  </si>
  <si>
    <t xml:space="preserve">Margen EBITDA %</t>
  </si>
  <si>
    <t xml:space="preserve">Margen Neto %</t>
  </si>
  <si>
    <t xml:space="preserve">TABLA DE FINANCIAMIENTO</t>
  </si>
  <si>
    <t xml:space="preserve">Saldo Inicial</t>
  </si>
  <si>
    <t xml:space="preserve">Cuota Mensual</t>
  </si>
  <si>
    <t xml:space="preserve">Intereses</t>
  </si>
  <si>
    <t xml:space="preserve">Saldo Final</t>
  </si>
  <si>
    <t xml:space="preserve">Amortización de Capital</t>
  </si>
  <si>
    <t xml:space="preserve">FLUJO DE CAJA LIBRE</t>
  </si>
  <si>
    <t xml:space="preserve">Mes 0</t>
  </si>
  <si>
    <t xml:space="preserve">EBIT</t>
  </si>
  <si>
    <t xml:space="preserve">Impuestos sobre EBIT</t>
  </si>
  <si>
    <t xml:space="preserve">NOPAT (EBIT después de impuestos)</t>
  </si>
  <si>
    <t xml:space="preserve">(+) Depreciación</t>
  </si>
  <si>
    <t xml:space="preserve">(-) CAPEX</t>
  </si>
  <si>
    <t xml:space="preserve">(-) Cambio en Capital de Trabajo</t>
  </si>
  <si>
    <t xml:space="preserve">(-) Gastos Pre-operativos</t>
  </si>
  <si>
    <t xml:space="preserve">(+) Valor Residual</t>
  </si>
  <si>
    <t xml:space="preserve">Flujo de Caja Acumulado</t>
  </si>
  <si>
    <t xml:space="preserve">Flujo de Caja Descontado</t>
  </si>
  <si>
    <t xml:space="preserve">RESUMEN EJECUTIVO E INDICADORES</t>
  </si>
  <si>
    <t xml:space="preserve">INDICADORES FINANCIEROS PRINCIPALES</t>
  </si>
  <si>
    <t xml:space="preserve">TIR (Tasa Interna de Retorno) - Mensual:</t>
  </si>
  <si>
    <t xml:space="preserve">TIR Anual Efectiva:</t>
  </si>
  <si>
    <t xml:space="preserve">ANÁLISIS DE RENTABILIDAD</t>
  </si>
  <si>
    <t xml:space="preserve">Margen Bruto Promedio (primeros 60 meses):</t>
  </si>
  <si>
    <t xml:space="preserve">Margen EBITDA Promedio (primeros 60 meses):</t>
  </si>
  <si>
    <t xml:space="preserve">Margen Neto Promedio (primeros 60 meses):</t>
  </si>
  <si>
    <t xml:space="preserve">TOTALES ACUMULADOS (Horizonte de Evaluación)</t>
  </si>
  <si>
    <t xml:space="preserve">Ingresos Totales Acumulados:</t>
  </si>
  <si>
    <t xml:space="preserve">Costos y Gastos Totales Acumulados:</t>
  </si>
  <si>
    <t xml:space="preserve">EBITDA Total Acumulado:</t>
  </si>
  <si>
    <t xml:space="preserve">Utilidad Neta Total Acumulada:</t>
  </si>
  <si>
    <t xml:space="preserve">INFORMACIÓN DEL FINANCIAMIENTO</t>
  </si>
  <si>
    <t xml:space="preserve">Plazo (meses):</t>
  </si>
  <si>
    <t xml:space="preserve">Total Intereses Pagados:</t>
  </si>
  <si>
    <t xml:space="preserve">ANÁLISIS DE SENSIBILIDAD - PARÁMETROS</t>
  </si>
  <si>
    <t xml:space="preserve">Variación en Ingresos:</t>
  </si>
  <si>
    <t xml:space="preserve">Variación en Costos Variables:</t>
  </si>
  <si>
    <t xml:space="preserve">Variación en Costos Fijos:</t>
  </si>
  <si>
    <t xml:space="preserve">ANÁLISIS DE ESCENARIOS</t>
  </si>
  <si>
    <t xml:space="preserve">Configure diferentes escenarios para el proyecto:</t>
  </si>
  <si>
    <t xml:space="preserve">Variables</t>
  </si>
  <si>
    <t xml:space="preserve">Pesimista</t>
  </si>
  <si>
    <t xml:space="preserve">Base</t>
  </si>
  <si>
    <t xml:space="preserve">Optimista</t>
  </si>
  <si>
    <t xml:space="preserve">Crecimiento Anual Ingresos</t>
  </si>
  <si>
    <t xml:space="preserve">% Costos Variables sobre Ventas</t>
  </si>
  <si>
    <t xml:space="preserve">Tasa de Descuento (WACC)</t>
  </si>
  <si>
    <t xml:space="preserve">Inversión Inicial en Activos Fijos</t>
  </si>
  <si>
    <t xml:space="preserve">RESULTADOS POR ESCENARIO</t>
  </si>
  <si>
    <t xml:space="preserve">Indicador</t>
  </si>
  <si>
    <t xml:space="preserve">VAN</t>
  </si>
  <si>
    <t xml:space="preserve">Variable con escenario</t>
  </si>
  <si>
    <t xml:space="preserve">TIR Anual</t>
  </si>
  <si>
    <t xml:space="preserve">Período de Recuperación</t>
  </si>
  <si>
    <t xml:space="preserve">NOTA: Pesimista y Optimista se recalculan automáticamente en el software Amberes Intelligence</t>
  </si>
  <si>
    <t xml:space="preserve">(el Excel solo muestra el caso Base). Los capex de ambos escenarios se definen como ±20% de la base.</t>
  </si>
  <si>
    <t xml:space="preserve">VALORACIÓN DE LA EMPRESA</t>
  </si>
  <si>
    <t xml:space="preserve">MÉTODOS DE VALORACIÓN</t>
  </si>
  <si>
    <t xml:space="preserve">MÉTODO 1: FLUJO DE CAJA DESCONTADO</t>
  </si>
  <si>
    <t xml:space="preserve">Valor Presente de los Flujos (VAN):</t>
  </si>
  <si>
    <t xml:space="preserve">Inversión Inicial:</t>
  </si>
  <si>
    <t xml:space="preserve">Valor de la Empresa (Enterprise Value):</t>
  </si>
  <si>
    <t xml:space="preserve">MÉTODO 2: MÚLTIPLOS COMPARABLES</t>
  </si>
  <si>
    <t xml:space="preserve">EBITDA Promedio Anual (primeros 5 años):</t>
  </si>
  <si>
    <t xml:space="preserve">Múltiplo EV/EBITDA (comparable):</t>
  </si>
  <si>
    <t xml:space="preserve">Valor de la Empresa (por múltiplo):</t>
  </si>
  <si>
    <t xml:space="preserve">MÉTODO 3: VALOR PATRIMONIAL</t>
  </si>
  <si>
    <t xml:space="preserve">Activos Totales al final del período:</t>
  </si>
  <si>
    <t xml:space="preserve">Pasivos (Deuda Financiera Pendiente):</t>
  </si>
  <si>
    <t xml:space="preserve">Patrimonio Neto (Valor en Libros):</t>
  </si>
  <si>
    <t xml:space="preserve">RESUMEN DE VALORACIÓN</t>
  </si>
  <si>
    <t xml:space="preserve">Método Flujo de Caja Descontado:</t>
  </si>
  <si>
    <t xml:space="preserve">Método Múltiplos (EV/EBITDA):</t>
  </si>
  <si>
    <t xml:space="preserve">Método Valor Patrimonial:</t>
  </si>
  <si>
    <t xml:space="preserve">Valoración Promedio:</t>
  </si>
  <si>
    <t xml:space="preserve">PARÁMETROS PARA M&amp;A</t>
  </si>
  <si>
    <t xml:space="preserve">Prima por Control (%):</t>
  </si>
  <si>
    <t xml:space="preserve">Valor con Prima por Control:</t>
  </si>
  <si>
    <t xml:space="preserve">Sinergias Esperadas (valor anual):</t>
  </si>
  <si>
    <t xml:space="preserve">Valor Presente de Sinergias (perpetuidad):</t>
  </si>
  <si>
    <t xml:space="preserve">VALOR TOTAL INCLUYENDO SINERGIAS:</t>
  </si>
  <si>
    <t xml:space="preserve">RATIOS E INDICADORES FINANCIEROS</t>
  </si>
  <si>
    <t xml:space="preserve">RATIOS DE LIQUIDEZ</t>
  </si>
  <si>
    <t xml:space="preserve">Capital de Trabajo (mes 60):</t>
  </si>
  <si>
    <t xml:space="preserve">RATIOS DE RENTABILIDAD</t>
  </si>
  <si>
    <t xml:space="preserve">ROA (Return on Assets) - sobre activos iniciales:</t>
  </si>
  <si>
    <t xml:space="preserve">ROE (Return on Equity) - sin deuda:</t>
  </si>
  <si>
    <t xml:space="preserve">RATIOS DE ENDEUDAMIENTO</t>
  </si>
  <si>
    <t xml:space="preserve">Ratio Deuda/Patrimonio (D/E) inicial:</t>
  </si>
  <si>
    <t xml:space="preserve">Ratio de Cobertura de Intereses (Mes 12):</t>
  </si>
  <si>
    <t xml:space="preserve">MÉTRICAS DE EFICIENCIA</t>
  </si>
  <si>
    <t xml:space="preserve">Rotación de Activos (veces/año):</t>
  </si>
  <si>
    <t xml:space="preserve">Días de Capital de Trabajo:</t>
  </si>
  <si>
    <t xml:space="preserve">PUNTO DE EQUILIBRIO</t>
  </si>
  <si>
    <t xml:space="preserve">Costos Fijos Mensuales Totales:</t>
  </si>
  <si>
    <t xml:space="preserve">Margen de Contribución (%):</t>
  </si>
  <si>
    <t xml:space="preserve">Punto de Equilibrio Mensual (ventas):</t>
  </si>
  <si>
    <t xml:space="preserve">Margen de Seguridad (mes 1):</t>
  </si>
  <si>
    <t xml:space="preserve">ANÁLISIS DE CRECIMIENTO</t>
  </si>
  <si>
    <t xml:space="preserve">Crecimiento Promedio Mensual Ingresos (año 1):</t>
  </si>
  <si>
    <t xml:space="preserve">CAGR Ingresos (Años 1-5):</t>
  </si>
  <si>
    <t xml:space="preserve">BALANCE Y SUPUESTOS DE PROYECCIÓN</t>
  </si>
  <si>
    <t xml:space="preserve">Opcional. Con un solo período se usa como balance inicial; con dos (anterior y actual) el software además reconstruye el flujo de caja por diferencias. En blanco: se estima desde el P&amp;L y se marca "estimado".</t>
  </si>
  <si>
    <t xml:space="preserve">BALANCE (saldos al cierre de cada período)</t>
  </si>
  <si>
    <t xml:space="preserve">Período anterior</t>
  </si>
  <si>
    <t xml:space="preserve">Período actual</t>
  </si>
  <si>
    <t xml:space="preserve">Caja y bancos</t>
  </si>
  <si>
    <t xml:space="preserve">Si se deja en blanco, se estima como 1 mes de gastos operativos</t>
  </si>
  <si>
    <t xml:space="preserve">Clientes (cuentas por cobrar)</t>
  </si>
  <si>
    <t xml:space="preserve">En blanco: se estima con DSO</t>
  </si>
  <si>
    <t xml:space="preserve">Inventarios</t>
  </si>
  <si>
    <t xml:space="preserve">En blanco: se estima con DIO (0 en servicios)</t>
  </si>
  <si>
    <t xml:space="preserve">Activo fijo neto</t>
  </si>
  <si>
    <t xml:space="preserve">En blanco: se estima desde el capex y la depreciación</t>
  </si>
  <si>
    <t xml:space="preserve">Proveedores (cuentas por pagar)</t>
  </si>
  <si>
    <t xml:space="preserve">En blanco: se estima con DPO</t>
  </si>
  <si>
    <t xml:space="preserve">Deuda financiera</t>
  </si>
  <si>
    <t xml:space="preserve">En blanco: se toma del Financiamiento si existe</t>
  </si>
  <si>
    <t xml:space="preserve">Capital social</t>
  </si>
  <si>
    <t xml:space="preserve">En blanco: se calcula para que el balance cuadre</t>
  </si>
  <si>
    <t xml:space="preserve">Resultados acumulados</t>
  </si>
  <si>
    <t xml:space="preserve">SUPUESTOS DE PROYECCIÓN</t>
  </si>
  <si>
    <t xml:space="preserve">DSO – Días de cobro</t>
  </si>
  <si>
    <t xml:space="preserve">Defecto 30 días</t>
  </si>
  <si>
    <t xml:space="preserve">DIO – Días de inventario</t>
  </si>
  <si>
    <t xml:space="preserve">Defecto: 0 en servicios</t>
  </si>
  <si>
    <t xml:space="preserve">DPO – Días de pago a proveedores</t>
  </si>
  <si>
    <t xml:space="preserve">Defecto: según el negocio</t>
  </si>
  <si>
    <t xml:space="preserve">Capex (% de ingresos)</t>
  </si>
  <si>
    <t xml:space="preserve">Defecto: 3% estimado</t>
  </si>
  <si>
    <t xml:space="preserve">Pago de deuda (capital) mensual</t>
  </si>
  <si>
    <t xml:space="preserve">Defecto: 0</t>
  </si>
  <si>
    <t xml:space="preserve">Payout (dividendos sobre utilidad)</t>
  </si>
  <si>
    <t xml:space="preserve">Defecto: 0%</t>
  </si>
  <si>
    <t xml:space="preserve">Costo de la deuda (Kd)</t>
  </si>
  <si>
    <t xml:space="preserve">Defecto: 7,5%</t>
  </si>
  <si>
    <t xml:space="preserve">Tasa de impuesto</t>
  </si>
  <si>
    <t xml:space="preserve">Defecto: la del P&amp;L o Panel de Control</t>
  </si>
  <si>
    <t xml:space="preserve">ESTADO DE FLUJO DE CAJA (opcional)</t>
  </si>
  <si>
    <t xml:space="preserve">Complételo solo si no tiene P&amp;L: el software reconstruye P&amp;L y balance estimados desde estas cifras. Períodos en columnas (12 meses o uno anual).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</si>
  <si>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</si>
  <si>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</si>
  <si>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</si>
  <si>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</si>
  <si>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</si>
  <si>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</si>
  <si>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</si>
  <si>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</si>
  <si>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</si>
  <si>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</si>
  <si>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</si>
  <si>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</si>
  <si>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Ingresos cobrados (opcional)</t>
  </si>
  <si>
    <t xml:space="preserve">Utilidad neta</t>
  </si>
  <si>
    <t xml:space="preserve">(+) Depreciación y amortización</t>
  </si>
  <si>
    <t xml:space="preserve">Variación de capital de trabajo</t>
  </si>
  <si>
    <t xml:space="preserve">FLUJO OPERACIONAL</t>
  </si>
  <si>
    <t xml:space="preserve">Capex (compra de activos fijos)</t>
  </si>
  <si>
    <t xml:space="preserve">FLUJO DE INVERSIÓN</t>
  </si>
  <si>
    <t xml:space="preserve">Obtención de deuda</t>
  </si>
  <si>
    <t xml:space="preserve">Pago de deuda</t>
  </si>
  <si>
    <t xml:space="preserve">Dividendos</t>
  </si>
  <si>
    <t xml:space="preserve">Intereses pagados</t>
  </si>
  <si>
    <t xml:space="preserve">Impuestos pagados</t>
  </si>
  <si>
    <t xml:space="preserve">FLUJO FINANCIERO</t>
  </si>
  <si>
    <t xml:space="preserve">VARIACIÓN NETA DE CAJA</t>
  </si>
  <si>
    <t xml:space="preserve">Saldo inicial de caja</t>
  </si>
  <si>
    <t xml:space="preserve">Saldo final de caja</t>
  </si>
  <si>
    <t xml:space="preserve">Signos: ingresos de caja en positivo y salidas en negativo (o positivas, el software las normaliza).</t>
  </si>
  <si>
    <t xml:space="preserve">M&amp;A Y VALORACIÓN – PARÁMETROS</t>
  </si>
  <si>
    <t xml:space="preserve">Opcional. Columna B = su dato (si lo completa, tiene prioridad). Columna C = referencia de mercado. En blanco: el software autocompleta desde el modelo.</t>
  </si>
  <si>
    <t xml:space="preserve">OPERACIÓN (DCF)</t>
  </si>
  <si>
    <t xml:space="preserve">Ingresos base (año 0)</t>
  </si>
  <si>
    <t xml:space="preserve">Defecto: ingresos anualizados del P&amp;L</t>
  </si>
  <si>
    <t xml:space="preserve">Crecimiento anual de ingresos</t>
  </si>
  <si>
    <t xml:space="preserve">Defecto: tendencia del P&amp;L</t>
  </si>
  <si>
    <t xml:space="preserve">Margen EBITDA</t>
  </si>
  <si>
    <t xml:space="preserve">Defecto: margen del P&amp;L</t>
  </si>
  <si>
    <t xml:space="preserve">D&amp;A (% de ingresos)</t>
  </si>
  <si>
    <t xml:space="preserve">Defecto: del P&amp;L o 3%</t>
  </si>
  <si>
    <t xml:space="preserve">CAPEX (% de ingresos)</t>
  </si>
  <si>
    <t xml:space="preserve">Defecto: 3%</t>
  </si>
  <si>
    <t xml:space="preserve">Capital de trabajo (% de ingresos)</t>
  </si>
  <si>
    <t xml:space="preserve">Defecto: 10%</t>
  </si>
  <si>
    <t xml:space="preserve">Chile: 27% (régimen general)</t>
  </si>
  <si>
    <t xml:space="preserve">Años de proyección</t>
  </si>
  <si>
    <t xml:space="preserve">Defecto: 5</t>
  </si>
  <si>
    <t xml:space="preserve">COSTO DE CAPITAL (CAPM / WACC)</t>
  </si>
  <si>
    <t xml:space="preserve">Crecimiento terminal (g)</t>
  </si>
  <si>
    <t xml:space="preserve">Referencia 2%–3%</t>
  </si>
  <si>
    <t xml:space="preserve">Tasa libre de riesgo (Rf)</t>
  </si>
  <si>
    <t xml:space="preserve">Bono soberano a 10 años</t>
  </si>
  <si>
    <t xml:space="preserve">Beta</t>
  </si>
  <si>
    <t xml:space="preserve">Beta apalancada del sector</t>
  </si>
  <si>
    <t xml:space="preserve">Premio por riesgo de mercado (ERP)</t>
  </si>
  <si>
    <t xml:space="preserve">Referencia 5%–6%</t>
  </si>
  <si>
    <t xml:space="preserve">Riesgo país / tamaño</t>
  </si>
  <si>
    <t xml:space="preserve">Prima adicional según país y tamaño</t>
  </si>
  <si>
    <t xml:space="preserve">Costo de deuda antes de impuestos (Kd)</t>
  </si>
  <si>
    <t xml:space="preserve">Tasa de financiamiento</t>
  </si>
  <si>
    <t xml:space="preserve">Deuda / (Deuda + Patrimonio) objetivo</t>
  </si>
  <si>
    <t xml:space="preserve">Estructura de capital objetivo</t>
  </si>
  <si>
    <t xml:space="preserve">WACC (opcional, reemplaza el calculado)</t>
  </si>
  <si>
    <t xml:space="preserve">Solo si desea forzar el WACC</t>
  </si>
  <si>
    <t xml:space="preserve">MÚLTIPLOS, DEUDA Y SINERGIAS</t>
  </si>
  <si>
    <t xml:space="preserve">Múltiplo EV/EBITDA</t>
  </si>
  <si>
    <t xml:space="preserve">Comparables del sector</t>
  </si>
  <si>
    <t xml:space="preserve">Deuda financiera neta</t>
  </si>
  <si>
    <t xml:space="preserve">Deuda − caja</t>
  </si>
  <si>
    <t xml:space="preserve">Sinergias de costos (anual)</t>
  </si>
  <si>
    <t xml:space="preserve">Ahorro recurrente esperado</t>
  </si>
  <si>
    <t xml:space="preserve">Sinergias de ingresos (anual)</t>
  </si>
  <si>
    <t xml:space="preserve">Ingresos incrementales esperados</t>
  </si>
  <si>
    <t xml:space="preserve">Años para capturar sinergias</t>
  </si>
  <si>
    <t xml:space="preserve">Defecto: 3</t>
  </si>
  <si>
    <t xml:space="preserve">Costo de integración (one-off)</t>
  </si>
  <si>
    <t xml:space="preserve">Costo único de integración</t>
  </si>
  <si>
    <t xml:space="preserve">Prima por control</t>
  </si>
  <si>
    <t xml:space="preserve">Referencia 20%–30%</t>
  </si>
  <si>
    <t xml:space="preserve">ESTADO DE RESULTADOS - EMPRESA PRODUCTIVA</t>
  </si>
  <si>
    <t xml:space="preserve">Escenario: Real</t>
  </si>
  <si>
    <t xml:space="preserve">Cifras en USD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</si>
  <si>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</si>
  <si>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</si>
  <si>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</si>
  <si>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</si>
  <si>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</si>
  <si>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</si>
  <si>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</si>
  <si>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</si>
  <si>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</si>
  <si>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</si>
  <si>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</si>
  <si>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</si>
  <si>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 AÑO</t>
  </si>
  <si>
    <t xml:space="preserve">INGRESOS OPERACIONALES</t>
  </si>
  <si>
    <t xml:space="preserve">Ventas Producto A</t>
  </si>
  <si>
    <t xml:space="preserve">Ventas Producto B</t>
  </si>
  <si>
    <t xml:space="preserve">Ventas Producto C</t>
  </si>
  <si>
    <t xml:space="preserve">Ventas Otros Productos</t>
  </si>
  <si>
    <t xml:space="preserve">Total Ingresos Brutos</t>
  </si>
  <si>
    <t xml:space="preserve">(-) Devoluciones y Descuentos</t>
  </si>
  <si>
    <t xml:space="preserve">(-) Bonificaciones</t>
  </si>
  <si>
    <t xml:space="preserve">INGRESOS NETOS</t>
  </si>
  <si>
    <t xml:space="preserve">COSTO DE VENTAS</t>
  </si>
  <si>
    <t xml:space="preserve">Inventario Inicial</t>
  </si>
  <si>
    <t xml:space="preserve">(+) Compras de Materia Prima</t>
  </si>
  <si>
    <t xml:space="preserve">(+) Mano de Obra Directa</t>
  </si>
  <si>
    <t xml:space="preserve">(+) Costos Indirectos de Fabricación</t>
  </si>
  <si>
    <t xml:space="preserve">    Depreciación Equipos Producción</t>
  </si>
  <si>
    <t xml:space="preserve">    Servicios Planta</t>
  </si>
  <si>
    <t xml:space="preserve">    Mantenimiento Equipos</t>
  </si>
  <si>
    <t xml:space="preserve">    Otros CIF</t>
  </si>
  <si>
    <t xml:space="preserve">(-) Inventario Final</t>
  </si>
  <si>
    <t xml:space="preserve">COSTO DE VENTAS TOTAL</t>
  </si>
  <si>
    <t xml:space="preserve">UTILIDAD BRUTA</t>
  </si>
  <si>
    <t xml:space="preserve">GASTOS OPERACIONALES</t>
  </si>
  <si>
    <t xml:space="preserve">Gastos de Ventas</t>
  </si>
  <si>
    <t xml:space="preserve">    Sueldos Área Ventas</t>
  </si>
  <si>
    <t xml:space="preserve">    Comisiones</t>
  </si>
  <si>
    <t xml:space="preserve">    Publicidad y Marketing</t>
  </si>
  <si>
    <t xml:space="preserve">    Transporte y Distribución</t>
  </si>
  <si>
    <t xml:space="preserve">    Otros Gastos Ventas</t>
  </si>
  <si>
    <t xml:space="preserve">Gastos de Administración</t>
  </si>
  <si>
    <t xml:space="preserve">    Sueldos Área Administrativa</t>
  </si>
  <si>
    <t xml:space="preserve">    Honorarios Profesionales</t>
  </si>
  <si>
    <t xml:space="preserve">    Arriendo Oficinas</t>
  </si>
  <si>
    <t xml:space="preserve">    Servicios Básicos</t>
  </si>
  <si>
    <t xml:space="preserve">    Seguros</t>
  </si>
  <si>
    <t xml:space="preserve">    Depreciación Activos Administrativos</t>
  </si>
  <si>
    <t xml:space="preserve">    Amortización Intangibles</t>
  </si>
  <si>
    <t xml:space="preserve">    Otros Gastos Administrativos</t>
  </si>
  <si>
    <t xml:space="preserve">TOTAL GASTOS OPERACIONALES</t>
  </si>
  <si>
    <t xml:space="preserve">UTILIDAD OPERACIONAL (EBIT)</t>
  </si>
  <si>
    <t xml:space="preserve">Margen Operacional %</t>
  </si>
  <si>
    <t xml:space="preserve">OTROS INGRESOS Y GASTOS</t>
  </si>
  <si>
    <t xml:space="preserve">(+) Ingresos Financieros</t>
  </si>
  <si>
    <t xml:space="preserve">(+) Otros Ingresos No Operacionales</t>
  </si>
  <si>
    <t xml:space="preserve">(+) Utilidad en Venta de Activos</t>
  </si>
  <si>
    <t xml:space="preserve">(-) Gastos Financieros</t>
  </si>
  <si>
    <t xml:space="preserve">(-) Pérdida en Venta de Activos</t>
  </si>
  <si>
    <t xml:space="preserve">(-) Otros Gastos No Operacionales</t>
  </si>
  <si>
    <t xml:space="preserve">TOTAL OTROS INGRESOS (GASTOS)</t>
  </si>
  <si>
    <t xml:space="preserve">UTILIDAD ANTES DE IMPUESTOS (EBT)</t>
  </si>
  <si>
    <t xml:space="preserve">(-) Impuesto a la Renta (25%)</t>
  </si>
  <si>
    <t xml:space="preserve">Escenario: Budget</t>
  </si>
  <si>
    <t xml:space="preserve">Escenario: Forecast</t>
  </si>
  <si>
    <t xml:space="preserve">(-) Impuesto a la Renta (27%)</t>
  </si>
  <si>
    <t xml:space="preserve">ESTADO DE RESULTADOS - EMPRESA DE SERVICIOS</t>
  </si>
  <si>
    <t xml:space="preserve">INGRESOS POR SERVICIOS</t>
  </si>
  <si>
    <t xml:space="preserve">Servicios de Consultoría</t>
  </si>
  <si>
    <t xml:space="preserve">Servicios de Asesoría</t>
  </si>
  <si>
    <t xml:space="preserve">Servicios de Capacitación</t>
  </si>
  <si>
    <t xml:space="preserve">Servicios de Soporte Técnico</t>
  </si>
  <si>
    <t xml:space="preserve">Servicios de Mantenimiento</t>
  </si>
  <si>
    <t xml:space="preserve">Otros Servicios</t>
  </si>
  <si>
    <t xml:space="preserve">(-) Descuentos por Pronto Pago</t>
  </si>
  <si>
    <t xml:space="preserve">(-) Devoluciones</t>
  </si>
  <si>
    <t xml:space="preserve">COSTO DE SERVICIOS</t>
  </si>
  <si>
    <t xml:space="preserve">Personal Directo</t>
  </si>
  <si>
    <t xml:space="preserve">    Sueldos Personal Operativo</t>
  </si>
  <si>
    <t xml:space="preserve">    Honorarios Consultores</t>
  </si>
  <si>
    <t xml:space="preserve">    Beneficios Sociales Personal Directo</t>
  </si>
  <si>
    <t xml:space="preserve">    Capacitación Personal</t>
  </si>
  <si>
    <t xml:space="preserve">Costos Directos del Servicio</t>
  </si>
  <si>
    <t xml:space="preserve">    Materiales y Suministros</t>
  </si>
  <si>
    <t xml:space="preserve">    Software y Licencias</t>
  </si>
  <si>
    <t xml:space="preserve">    Equipamiento Especializado</t>
  </si>
  <si>
    <t xml:space="preserve">    Subcontrataciones</t>
  </si>
  <si>
    <t xml:space="preserve">    Viáticos y Movilización</t>
  </si>
  <si>
    <t xml:space="preserve">COSTO DE SERVICIOS TOTAL</t>
  </si>
  <si>
    <t xml:space="preserve">Gastos de Ventas y Marketing</t>
  </si>
  <si>
    <t xml:space="preserve">    Sueldos Área Comercial</t>
  </si>
  <si>
    <t xml:space="preserve">    Comisiones de Ventas</t>
  </si>
  <si>
    <t xml:space="preserve">    Publicidad y Marketing Digital</t>
  </si>
  <si>
    <t xml:space="preserve">    Eventos y Networking</t>
  </si>
  <si>
    <t xml:space="preserve">    Material Promocional</t>
  </si>
  <si>
    <t xml:space="preserve">    Sueldos Administrativos</t>
  </si>
  <si>
    <t xml:space="preserve">    Tecnología y Sistemas</t>
  </si>
  <si>
    <t xml:space="preserve">    Papelería y Útiles</t>
  </si>
  <si>
    <t xml:space="preserve">    Depreciación</t>
  </si>
  <si>
    <t xml:space="preserve">    Amortización</t>
  </si>
  <si>
    <t xml:space="preserve">(+) Diferencias de Cambio Positivas</t>
  </si>
  <si>
    <t xml:space="preserve">(-) Diferencias de Cambio Negativas</t>
  </si>
  <si>
    <t xml:space="preserve">CONTROL DE CAMBIOS – CORRECCIONES A LA PLANTILLA ORIGINAL</t>
  </si>
  <si>
    <t xml:space="preserve">Hoja</t>
  </si>
  <si>
    <t xml:space="preserve">Celda / rango</t>
  </si>
  <si>
    <t xml:space="preserve">Fórmula original</t>
  </si>
  <si>
    <t xml:space="preserve">Fórmula corregida</t>
  </si>
  <si>
    <t xml:space="preserve">Motivo</t>
  </si>
  <si>
    <t xml:space="preserve">Flujo de Caja</t>
  </si>
  <si>
    <t xml:space="preserve">B13:KP13</t>
  </si>
  <si>
    <t xml:space="preserve">=SUM(B4:B11)</t>
  </si>
  <si>
    <t xml:space="preserve">=B6+SUM(B7:B11)</t>
  </si>
  <si>
    <t xml:space="preserve">El FCL sumaba EBIT + impuestos + NOPAT (doble conteo). FCL = NOPAT + Depreciación − CAPEX − ΔCT − Pre-operativos + Valor residual.</t>
  </si>
  <si>
    <t xml:space="preserve">C15:KP15</t>
  </si>
  <si>
    <t xml:space="preserve">=C13/POWER(1+(1+WACC)^(1/12)-1,1)</t>
  </si>
  <si>
    <t xml:space="preserve">=C13/(1+tasa_mensual)^(n)</t>
  </si>
  <si>
    <t xml:space="preserve">El exponente era siempre 1: no se descontaba por el mes del flujo. Ahora n = número de mes.</t>
  </si>
  <si>
    <t xml:space="preserve">Panel de Control</t>
  </si>
  <si>
    <t xml:space="preserve">B20</t>
  </si>
  <si>
    <t xml:space="preserve">=Resumen!B6</t>
  </si>
  <si>
    <t xml:space="preserve">=Resumen!B7</t>
  </si>
  <si>
    <t xml:space="preserve">TIR mostraba la mensual (Resumen!B6); ahora la TIR anual efectiva.</t>
  </si>
  <si>
    <t xml:space="preserve">B21</t>
  </si>
  <si>
    <t xml:space="preserve">=Resumen!B8</t>
  </si>
  <si>
    <t xml:space="preserve">Payback apuntaba a la TIR anual; ahora al período de recuperación.</t>
  </si>
  <si>
    <t xml:space="preserve">B22</t>
  </si>
  <si>
    <t xml:space="preserve">=Resumen!B9</t>
  </si>
  <si>
    <t xml:space="preserve">ROI apuntaba a una celda vacía (B8); ahora a Resumen!B9.</t>
  </si>
  <si>
    <t xml:space="preserve">Resumen</t>
  </si>
  <si>
    <t xml:space="preserve">B6</t>
  </si>
  <si>
    <t xml:space="preserve">=IRR('Flujo de Caja'!B13:BJ13)</t>
  </si>
  <si>
    <t xml:space="preserve">=IFERROR(IRR('Flujo de Caja'!B13:BJ13,-0.005),"n/d")</t>
  </si>
  <si>
    <t xml:space="preserve">IRR sin valor inicial falla (#NUM/#N/A) cuando el proyecto no recupera la inversión; se acota con IFERROR y semilla negativa.</t>
  </si>
  <si>
    <t xml:space="preserve">B7</t>
  </si>
  <si>
    <t xml:space="preserve">=POWER(1+B6,12)-1</t>
  </si>
  <si>
    <t xml:space="preserve">=IFERROR(POWER(1+B6,12)-1,"n/d")</t>
  </si>
  <si>
    <t xml:space="preserve">Protege la TIR anual contra errores de la mensual.</t>
  </si>
  <si>
    <t xml:space="preserve">B8</t>
  </si>
  <si>
    <t xml:space="preserve">=IFERROR(MATCH(TRUE,'Flujo de Caja'!C14:BJ14&gt;0,0),"-")</t>
  </si>
  <si>
    <t xml:space="preserve">=IFERROR(MATCH(TRUE,INDEX('Flujo de Caja'!C14:BJ14&gt;0,0),0),"-")</t>
  </si>
  <si>
    <t xml:space="preserve">Fórmula matricial sin CSE: se envuelve en INDEX para que funcione sin Ctrl+Shift+Enter.</t>
  </si>
  <si>
    <t xml:space="preserve">B9</t>
  </si>
  <si>
    <t xml:space="preserve">=(BJ14-(Supuestos!$B$4+Supuestos!$B$5+Supuestos!$B$6))/(Supuestos!$B$4+Supuestos!$B$5+Supuestos!$B$6)</t>
  </si>
  <si>
    <t xml:space="preserve">='Flujo de Caja'!BJ14/(Supuestos!$B$4+Supuestos!$B$5+Supuestos!$B$6)</t>
  </si>
  <si>
    <t xml:space="preserve">BJ14 era una referencia a la hoja Resumen; el acumulado ya está neto de la inversión, no se resta de nuevo.</t>
  </si>
  <si>
    <t xml:space="preserve">B13</t>
  </si>
  <si>
    <t xml:space="preserve">=AVERAGE('Estado de Resultados'!C18:BJ18)</t>
  </si>
  <si>
    <t xml:space="preserve">=AVERAGE('Estado de Resultados'!B18:BI18)</t>
  </si>
  <si>
    <t xml:space="preserve">El rango C:BJ estaba desfasado (Mes 1 está en la columna B del Estado de Resultados): se promediaban los meses 2–61.</t>
  </si>
  <si>
    <t xml:space="preserve">B14</t>
  </si>
  <si>
    <t xml:space="preserve">=AVERAGE('Estado de Resultados'!C19:BJ19)</t>
  </si>
  <si>
    <t xml:space="preserve">=AVERAGE('Estado de Resultados'!B19:BI19)</t>
  </si>
  <si>
    <t xml:space="preserve">B15</t>
  </si>
  <si>
    <t xml:space="preserve">=AVERAGE('Estado de Resultados'!C20:BJ20)</t>
  </si>
  <si>
    <t xml:space="preserve">=AVERAGE('Estado de Resultados'!B20:BI20)</t>
  </si>
  <si>
    <t xml:space="preserve">Valoración</t>
  </si>
  <si>
    <t xml:space="preserve">=SUM('Estado de Resultados'!C9:LL9)/5</t>
  </si>
  <si>
    <t xml:space="preserve">=SUM('Estado de Resultados'!B9:BI9)/5</t>
  </si>
  <si>
    <t xml:space="preserve">Rango C:LL desfasado y de 300 meses dividido por 5 años; ahora 60 meses.</t>
  </si>
  <si>
    <t xml:space="preserve">B19</t>
  </si>
  <si>
    <t xml:space="preserve">=Supuestos!$B$4-SUM(Costos!C16:LL16)+Supuestos!$B$5</t>
  </si>
  <si>
    <t xml:space="preserve">=Supuestos!$B$4-SUM(Costos!B16:BI16)+Supuestos!$B$5</t>
  </si>
  <si>
    <t xml:space="preserve">Rango erróneo (300 meses de depreciación); ahora 60 meses.</t>
  </si>
  <si>
    <t xml:space="preserve">=Financiamiento!LL7</t>
  </si>
  <si>
    <t xml:space="preserve">=Financiamiento!BI7</t>
  </si>
  <si>
    <t xml:space="preserve">Saldo de deuda del mes 60 (columna LL = mes 300).</t>
  </si>
  <si>
    <t xml:space="preserve">Ratios Financieros</t>
  </si>
  <si>
    <t xml:space="preserve">=Resumen!$B$22/(Supuestos!$B$4+Supuestos!$B$5)</t>
  </si>
  <si>
    <t xml:space="preserve">=SUM('Estado de Resultados'!B15:M15)/(Supuestos!$B$4+Supuestos!$B$5)</t>
  </si>
  <si>
    <t xml:space="preserve">Referenciaba Resumen!B22 (vacía). ROA = utilidad neta año 1 / activos iniciales.</t>
  </si>
  <si>
    <t xml:space="preserve">B10</t>
  </si>
  <si>
    <t xml:space="preserve">=Resumen!$B$22/(Supuestos!$B$4+Supuestos!$B$5+Supuestos!$B$6-Supuestos!$B$27)</t>
  </si>
  <si>
    <t xml:space="preserve">=SUM('Estado de Resultados'!B15:M15)/(Supuestos!$B$4+Supuestos!$B$5+Supuestos!$B$6-Supuestos!$B$27)</t>
  </si>
  <si>
    <t xml:space="preserve">Referenciaba Resumen!B22 (vacía). ROE = utilidad neta año 1 / patrimonio inicial.</t>
  </si>
  <si>
    <t xml:space="preserve">=SUM('Estado de Resultados'!C4:N4)/Supuestos!$B$4+Supuestos!$B$5</t>
  </si>
  <si>
    <t xml:space="preserve">=SUM('Estado de Resultados'!B4:M4)/(Supuestos!$B$4+Supuestos!$B$5)</t>
  </si>
  <si>
    <t xml:space="preserve">Faltaban paréntesis (dividía solo por activos fijos y sumaba capital de trabajo) y el rango estaba desfasado.</t>
  </si>
  <si>
    <t xml:space="preserve">=(Supuestos!$B$5/SUM('Estado de Resultados'!C4:N4))*365</t>
  </si>
  <si>
    <t xml:space="preserve">=(Supuestos!$B$5/SUM('Estado de Resultados'!B4:M4))*365</t>
  </si>
  <si>
    <t xml:space="preserve">Rango desfasado un mes.</t>
  </si>
  <si>
    <t xml:space="preserve">B27</t>
  </si>
  <si>
    <t xml:space="preserve">=(Ingresos!C6-B26)/Ingresos!C6</t>
  </si>
  <si>
    <t xml:space="preserve">=(Ingresos!B6-B26)/Ingresos!B6</t>
  </si>
  <si>
    <t xml:space="preserve">Mes 1 está en la columna B.</t>
  </si>
  <si>
    <t xml:space="preserve">B31</t>
  </si>
  <si>
    <t xml:space="preserve">=(Ingresos!N6/Ingresos!C6)^(1/11)-1</t>
  </si>
  <si>
    <t xml:space="preserve">=(Ingresos!M6/Ingresos!B6)^(1/11)-1</t>
  </si>
  <si>
    <t xml:space="preserve">Mes 1 = B, mes 12 = M.</t>
  </si>
  <si>
    <t xml:space="preserve">B32</t>
  </si>
  <si>
    <t xml:space="preserve">=(Ingresos!LL6/Ingresos!C6)^(1/5)-1</t>
  </si>
  <si>
    <t xml:space="preserve">=(Ingresos!BI6/Ingresos!B6)^(1/4.9167)-1</t>
  </si>
  <si>
    <t xml:space="preserve">CAGR a 60 meses (59 intervalos mensuales = 4,9167 años); antes usaba columna LL (mes 300).</t>
  </si>
  <si>
    <t xml:space="preserve">='Estado de Resultados'!N11/Financiamiento!N6</t>
  </si>
  <si>
    <t xml:space="preserve">=IFERROR('Estado de Resultados'!M11/Financiamiento!M6,"-")</t>
  </si>
  <si>
    <t xml:space="preserve">Mes 12 está en la columna M (no N); se protege contra división por cero.</t>
  </si>
  <si>
    <t xml:space="preserve">Escenarios</t>
  </si>
  <si>
    <t xml:space="preserve">600000</t>
  </si>
  <si>
    <t xml:space="preserve">=C10*1.2</t>
  </si>
  <si>
    <t xml:space="preserve">Capex pesimista 600.000 vs base 50.000.000: magnitud inconsistente. Ahora +20% sobre la base.</t>
  </si>
  <si>
    <t xml:space="preserve">D10</t>
  </si>
  <si>
    <t xml:space="preserve">400000</t>
  </si>
  <si>
    <t xml:space="preserve">=C10*0.8</t>
  </si>
  <si>
    <t xml:space="preserve">Capex optimista 400.000 vs base 50.000.000. Ahora −20% sobre la base.</t>
  </si>
  <si>
    <t xml:space="preserve">A20</t>
  </si>
  <si>
    <t xml:space="preserve">NOTA: Los escenarios Pesimista y Optimista requieren ajustar</t>
  </si>
  <si>
    <t xml:space="preserve">El software simula cada escenario con su motor mensual validado.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</si>
</sst>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m/d/yyyy"/>
    <numFmt numFmtId="166" formatCode="0.0%"/>
    <numFmt numFmtId="167" formatCode="\$#,##0;&quot;($&quot;#,##0\);\-"/>
    <numFmt numFmtId="168" formatCode="0.0"/>
    <numFmt numFmtId="169" formatCode="0"/>
    <numFmt numFmtId="170" formatCode="0.00%"/>
    <numFmt numFmtId="171" formatCode="General"/>
    <numFmt numFmtId="172" formatCode="0.0\x"/>
    <numFmt numFmtId="173" formatCode="#,##0;\(#,##0\);\-"/>
    <numFmt numFmtId="174" formatCode="#,##0"/>
    <numFmt numFmtId="175" formatCode="0.00"/>
    <numFmt numFmtId="176" formatCode="0.0\x"/>
    <numFmt numFmtId="177" formatCode="0%"/>
    <numFmt numFmtId="178" formatCode="\$#,##0;&quot;($&quot;#,##0\);\-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02A3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6"/>
      <name val="Calibri"/>
      <family val="0"/>
      <charset val="1"/>
    </font>
    <font>
      <b val="true"/>
      <sz val="12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u val="single"/>
      <sz val="11"/>
      <name val="Calibri"/>
      <family val="0"/>
      <charset val="1"/>
    </font>
    <font>
      <i val="true"/>
      <sz val="10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4"/>
      <color rgb="FF102A36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1"/>
      <color rgb="FF7F7F7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02A36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  <fill>
      <patternFill patternType="solid">
        <fgColor rgb="FF4472C4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C89B3C"/>
      <rgbColor rgb="FFFF6600"/>
      <rgbColor rgb="FF595959"/>
      <rgbColor rgb="FF7F7F7F"/>
      <rgbColor rgb="FF102A3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8.6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41.7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28.3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28.35" hidden="false" customHeight="false" outlineLevel="0" collapsed="false">
      <c r="A9" s="2" t="s">
        <v>6</v>
      </c>
    </row>
    <row r="10" customFormat="false" ht="41.7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10</v>
      </c>
    </row>
    <row r="16" customFormat="false" ht="28.3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28.35" hidden="false" customHeight="false" outlineLevel="0" collapsed="false">
      <c r="A18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2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B19" activeCellId="0" sqref="B19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</cols>
  <sheetData>
    <row r="1" customFormat="false" ht="21" hidden="false" customHeight="true" outlineLevel="0" collapsed="false">
      <c r="A1" s="4" t="s">
        <v>14</v>
      </c>
      <c r="B1" s="4"/>
    </row>
    <row r="2" customFormat="false" ht="14.25" hidden="false" customHeight="false" outlineLevel="0" collapsed="false">
      <c r="V2" s="5" t="s">
        <v>15</v>
      </c>
      <c r="W2" s="5" t="s">
        <v>16</v>
      </c>
    </row>
    <row r="3" customFormat="false" ht="15" hidden="false" customHeight="true" outlineLevel="0" collapsed="false">
      <c r="A3" s="6" t="s">
        <v>17</v>
      </c>
      <c r="V3" s="5" t="s">
        <v>18</v>
      </c>
      <c r="W3" s="5" t="s">
        <v>19</v>
      </c>
    </row>
    <row r="4" customFormat="false" ht="14.25" hidden="false" customHeight="false" outlineLevel="0" collapsed="false">
      <c r="V4" s="5" t="s">
        <v>20</v>
      </c>
      <c r="W4" s="5" t="s">
        <v>21</v>
      </c>
    </row>
    <row r="5" customFormat="false" ht="14.25" hidden="false" customHeight="false" outlineLevel="0" collapsed="false">
      <c r="A5" s="0" t="s">
        <v>22</v>
      </c>
      <c r="B5" s="7" t="s">
        <v>23</v>
      </c>
      <c r="V5" s="5" t="s">
        <v>24</v>
      </c>
      <c r="W5" s="5" t="s">
        <v>25</v>
      </c>
      <c r="X5" s="5" t="s">
        <v>26</v>
      </c>
    </row>
    <row r="6" customFormat="false" ht="14.25" hidden="false" customHeight="false" outlineLevel="0" collapsed="false">
      <c r="A6" s="0" t="s">
        <v>27</v>
      </c>
      <c r="B6" s="7" t="s">
        <v>15</v>
      </c>
      <c r="W6" s="5" t="s">
        <v>28</v>
      </c>
      <c r="X6" s="5" t="s">
        <v>29</v>
      </c>
    </row>
    <row r="7" customFormat="false" ht="14.25" hidden="false" customHeight="false" outlineLevel="0" collapsed="false">
      <c r="A7" s="0" t="s">
        <v>30</v>
      </c>
      <c r="B7" s="8" t="n">
        <v>46023</v>
      </c>
      <c r="W7" s="5" t="s">
        <v>31</v>
      </c>
      <c r="X7" s="5" t="s">
        <v>32</v>
      </c>
    </row>
    <row r="8" customFormat="false" ht="14.25" hidden="false" customHeight="false" outlineLevel="0" collapsed="false">
      <c r="A8" s="0" t="s">
        <v>33</v>
      </c>
      <c r="B8" s="7" t="s">
        <v>19</v>
      </c>
      <c r="W8" s="5" t="s">
        <v>34</v>
      </c>
      <c r="X8" s="5" t="s">
        <v>35</v>
      </c>
    </row>
    <row r="9" customFormat="false" ht="14.25" hidden="false" customHeight="false" outlineLevel="0" collapsed="false">
      <c r="A9" s="0" t="s">
        <v>36</v>
      </c>
      <c r="B9" s="7" t="s">
        <v>37</v>
      </c>
      <c r="W9" s="5" t="s">
        <v>38</v>
      </c>
      <c r="X9" s="5" t="s">
        <v>39</v>
      </c>
    </row>
    <row r="10" customFormat="false" ht="14.25" hidden="false" customHeight="false" outlineLevel="0" collapsed="false">
      <c r="W10" s="5" t="s">
        <v>40</v>
      </c>
      <c r="X10" s="5" t="s">
        <v>41</v>
      </c>
    </row>
    <row r="11" customFormat="false" ht="15" hidden="false" customHeight="true" outlineLevel="0" collapsed="false">
      <c r="A11" s="6" t="s">
        <v>42</v>
      </c>
    </row>
    <row r="13" customFormat="false" ht="14.25" hidden="false" customHeight="false" outlineLevel="0" collapsed="false">
      <c r="A13" s="0" t="s">
        <v>43</v>
      </c>
      <c r="B13" s="7" t="n">
        <v>60</v>
      </c>
    </row>
    <row r="14" customFormat="false" ht="14.25" hidden="false" customHeight="false" outlineLevel="0" collapsed="false">
      <c r="A14" s="0" t="s">
        <v>44</v>
      </c>
      <c r="B14" s="9" t="n">
        <v>0.12</v>
      </c>
    </row>
    <row r="15" customFormat="false" ht="14.25" hidden="false" customHeight="false" outlineLevel="0" collapsed="false">
      <c r="A15" s="0" t="s">
        <v>45</v>
      </c>
      <c r="B15" s="9" t="n">
        <v>0.27</v>
      </c>
    </row>
    <row r="17" customFormat="false" ht="15" hidden="false" customHeight="true" outlineLevel="0" collapsed="false">
      <c r="A17" s="6" t="s">
        <v>46</v>
      </c>
    </row>
    <row r="19" customFormat="false" ht="14.25" hidden="false" customHeight="false" outlineLevel="0" collapsed="false">
      <c r="A19" s="0" t="s">
        <v>47</v>
      </c>
      <c r="B19" s="10" t="n">
        <f aca="false">Resumen!B5</f>
        <v>-24259406.001522</v>
      </c>
    </row>
    <row r="20" customFormat="false" ht="14.25" hidden="false" customHeight="false" outlineLevel="0" collapsed="false">
      <c r="A20" s="0" t="s">
        <v>48</v>
      </c>
      <c r="B20" s="11" t="n">
        <f aca="false">Resumen!B7</f>
        <v>-0.0252977480872344</v>
      </c>
    </row>
    <row r="21" customFormat="false" ht="14.25" hidden="false" customHeight="false" outlineLevel="0" collapsed="false">
      <c r="A21" s="0" t="s">
        <v>49</v>
      </c>
      <c r="B21" s="12" t="str">
        <f aca="false">Resumen!B8</f>
        <v>-</v>
      </c>
    </row>
    <row r="22" customFormat="false" ht="14.25" hidden="false" customHeight="false" outlineLevel="0" collapsed="false">
      <c r="A22" s="0" t="s">
        <v>50</v>
      </c>
      <c r="B22" s="11" t="n">
        <f aca="false">Resumen!B9</f>
        <v>-0.0971069878651884</v>
      </c>
    </row>
  </sheetData>
  <mergeCells count="1">
    <mergeCell ref="A1:B1"/>
  </mergeCells>
  <dataValidations count="2">
    <dataValidation allowBlank="true" errorStyle="stop" operator="between" showDropDown="false" showErrorMessage="true" showInputMessage="true" sqref="B6" type="list">
      <formula1>$V$2:$V$5</formula1>
      <formula2>0</formula2>
    </dataValidation>
    <dataValidation allowBlank="true" errorStyle="stop" operator="between" showDropDown="false" showErrorMessage="true" showInputMessage="true" sqref="B8" type="list">
      <formula1>$W$2:$W$10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0.91"/>
  </cols>
  <sheetData>
    <row r="1" customFormat="false" ht="18" hidden="false" customHeight="true" outlineLevel="0" collapsed="false">
      <c r="A1" s="13" t="s">
        <v>51</v>
      </c>
    </row>
    <row r="3" customFormat="false" ht="14.25" hidden="false" customHeight="false" outlineLevel="0" collapsed="false">
      <c r="A3" s="14" t="s">
        <v>52</v>
      </c>
    </row>
    <row r="4" customFormat="false" ht="14.25" hidden="false" customHeight="false" outlineLevel="0" collapsed="false">
      <c r="A4" s="0" t="s">
        <v>53</v>
      </c>
      <c r="B4" s="15" t="n">
        <v>50000000</v>
      </c>
    </row>
    <row r="5" customFormat="false" ht="14.25" hidden="false" customHeight="false" outlineLevel="0" collapsed="false">
      <c r="A5" s="0" t="s">
        <v>54</v>
      </c>
      <c r="B5" s="15" t="n">
        <v>7000000</v>
      </c>
    </row>
    <row r="6" customFormat="false" ht="14.25" hidden="false" customHeight="false" outlineLevel="0" collapsed="false">
      <c r="A6" s="0" t="s">
        <v>55</v>
      </c>
      <c r="B6" s="15" t="n">
        <v>500000</v>
      </c>
    </row>
    <row r="8" customFormat="false" ht="14.25" hidden="false" customHeight="false" outlineLevel="0" collapsed="false">
      <c r="A8" s="14" t="s">
        <v>56</v>
      </c>
    </row>
    <row r="9" customFormat="false" ht="14.25" hidden="false" customHeight="false" outlineLevel="0" collapsed="false">
      <c r="A9" s="0" t="s">
        <v>57</v>
      </c>
      <c r="B9" s="15" t="n">
        <v>10700000</v>
      </c>
    </row>
    <row r="10" customFormat="false" ht="14.25" hidden="false" customHeight="false" outlineLevel="0" collapsed="false">
      <c r="A10" s="0" t="s">
        <v>58</v>
      </c>
      <c r="B10" s="9" t="n">
        <v>0.07</v>
      </c>
    </row>
    <row r="12" customFormat="false" ht="14.25" hidden="false" customHeight="false" outlineLevel="0" collapsed="false">
      <c r="A12" s="14" t="s">
        <v>59</v>
      </c>
    </row>
    <row r="13" customFormat="false" ht="14.25" hidden="false" customHeight="false" outlineLevel="0" collapsed="false">
      <c r="A13" s="0" t="s">
        <v>60</v>
      </c>
      <c r="B13" s="9" t="n">
        <v>0.37</v>
      </c>
    </row>
    <row r="15" customFormat="false" ht="14.25" hidden="false" customHeight="false" outlineLevel="0" collapsed="false">
      <c r="A15" s="14" t="s">
        <v>61</v>
      </c>
    </row>
    <row r="16" customFormat="false" ht="14.25" hidden="false" customHeight="false" outlineLevel="0" collapsed="false">
      <c r="A16" s="0" t="s">
        <v>62</v>
      </c>
      <c r="B16" s="15" t="n">
        <v>3800000</v>
      </c>
    </row>
    <row r="17" customFormat="false" ht="14.25" hidden="false" customHeight="false" outlineLevel="0" collapsed="false">
      <c r="A17" s="0" t="s">
        <v>63</v>
      </c>
      <c r="B17" s="15" t="n">
        <v>1900000</v>
      </c>
    </row>
    <row r="18" customFormat="false" ht="14.25" hidden="false" customHeight="false" outlineLevel="0" collapsed="false">
      <c r="A18" s="0" t="s">
        <v>64</v>
      </c>
      <c r="B18" s="15" t="n">
        <v>300000</v>
      </c>
    </row>
    <row r="19" customFormat="false" ht="14.25" hidden="false" customHeight="false" outlineLevel="0" collapsed="false">
      <c r="A19" s="0" t="s">
        <v>65</v>
      </c>
      <c r="B19" s="15" t="n">
        <v>500000</v>
      </c>
    </row>
    <row r="20" customFormat="false" ht="14.25" hidden="false" customHeight="false" outlineLevel="0" collapsed="false">
      <c r="A20" s="0" t="s">
        <v>66</v>
      </c>
      <c r="B20" s="15" t="n">
        <v>400000</v>
      </c>
    </row>
    <row r="22" customFormat="false" ht="14.25" hidden="false" customHeight="false" outlineLevel="0" collapsed="false">
      <c r="A22" s="14" t="s">
        <v>67</v>
      </c>
    </row>
    <row r="23" customFormat="false" ht="14.25" hidden="false" customHeight="false" outlineLevel="0" collapsed="false">
      <c r="A23" s="0" t="s">
        <v>68</v>
      </c>
      <c r="B23" s="7" t="n">
        <v>10</v>
      </c>
    </row>
    <row r="24" customFormat="false" ht="14.25" hidden="false" customHeight="false" outlineLevel="0" collapsed="false">
      <c r="A24" s="0" t="s">
        <v>69</v>
      </c>
      <c r="B24" s="7" t="s">
        <v>70</v>
      </c>
    </row>
    <row r="26" customFormat="false" ht="14.25" hidden="false" customHeight="false" outlineLevel="0" collapsed="false">
      <c r="A26" s="14" t="s">
        <v>71</v>
      </c>
    </row>
    <row r="27" customFormat="false" ht="14.25" hidden="false" customHeight="false" outlineLevel="0" collapsed="false">
      <c r="A27" s="0" t="s">
        <v>72</v>
      </c>
      <c r="B27" s="15" t="n">
        <v>4000000</v>
      </c>
    </row>
    <row r="28" customFormat="false" ht="14.25" hidden="false" customHeight="false" outlineLevel="0" collapsed="false">
      <c r="A28" s="0" t="s">
        <v>73</v>
      </c>
      <c r="B28" s="9" t="n">
        <v>0.07</v>
      </c>
    </row>
    <row r="29" customFormat="false" ht="14.25" hidden="false" customHeight="false" outlineLevel="0" collapsed="false">
      <c r="A29" s="0" t="s">
        <v>74</v>
      </c>
      <c r="B29" s="7" t="n">
        <v>60</v>
      </c>
    </row>
    <row r="31" customFormat="false" ht="14.25" hidden="false" customHeight="false" outlineLevel="0" collapsed="false">
      <c r="A31" s="14" t="s">
        <v>75</v>
      </c>
    </row>
    <row r="32" customFormat="false" ht="14.25" hidden="false" customHeight="false" outlineLevel="0" collapsed="false">
      <c r="A32" s="0" t="s">
        <v>76</v>
      </c>
      <c r="B32" s="9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O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25"/>
    <col collapsed="false" customWidth="true" hidden="false" outlineLevel="0" max="301" min="2" style="0" width="12"/>
  </cols>
  <sheetData>
    <row r="1" customFormat="false" ht="18" hidden="false" customHeight="true" outlineLevel="0" collapsed="false">
      <c r="A1" s="13" t="s">
        <v>77</v>
      </c>
    </row>
    <row r="3" customFormat="false" ht="14.25" hidden="false" customHeight="false" outlineLevel="0" collapsed="false">
      <c r="A3" s="16" t="s">
        <v>78</v>
      </c>
      <c r="B3" s="17" t="s">
        <v>79</v>
      </c>
      <c r="C3" s="17" t="s">
        <v>80</v>
      </c>
      <c r="D3" s="17" t="s">
        <v>81</v>
      </c>
      <c r="E3" s="17" t="s">
        <v>82</v>
      </c>
      <c r="F3" s="17" t="s">
        <v>83</v>
      </c>
      <c r="G3" s="17" t="s">
        <v>84</v>
      </c>
      <c r="H3" s="17" t="s">
        <v>85</v>
      </c>
      <c r="I3" s="17" t="s">
        <v>86</v>
      </c>
      <c r="J3" s="17" t="s">
        <v>87</v>
      </c>
      <c r="K3" s="17" t="s">
        <v>88</v>
      </c>
      <c r="L3" s="17" t="s">
        <v>89</v>
      </c>
      <c r="M3" s="17" t="s">
        <v>90</v>
      </c>
      <c r="N3" s="17" t="s">
        <v>91</v>
      </c>
      <c r="O3" s="17" t="s">
        <v>92</v>
      </c>
      <c r="P3" s="17" t="s">
        <v>93</v>
      </c>
      <c r="Q3" s="17" t="s">
        <v>94</v>
      </c>
      <c r="R3" s="17" t="s">
        <v>95</v>
      </c>
      <c r="S3" s="17" t="s">
        <v>96</v>
      </c>
      <c r="T3" s="17" t="s">
        <v>97</v>
      </c>
      <c r="U3" s="17" t="s">
        <v>98</v>
      </c>
      <c r="V3" s="17" t="s">
        <v>99</v>
      </c>
      <c r="W3" s="17" t="s">
        <v>100</v>
      </c>
      <c r="X3" s="17" t="s">
        <v>101</v>
      </c>
      <c r="Y3" s="17" t="s">
        <v>102</v>
      </c>
      <c r="Z3" s="17" t="s">
        <v>103</v>
      </c>
      <c r="AA3" s="17" t="s">
        <v>104</v>
      </c>
      <c r="AB3" s="17" t="s">
        <v>105</v>
      </c>
      <c r="AC3" s="17" t="s">
        <v>106</v>
      </c>
      <c r="AD3" s="17" t="s">
        <v>107</v>
      </c>
      <c r="AE3" s="17" t="s">
        <v>108</v>
      </c>
      <c r="AF3" s="17" t="s">
        <v>109</v>
      </c>
      <c r="AG3" s="17" t="s">
        <v>110</v>
      </c>
      <c r="AH3" s="17" t="s">
        <v>111</v>
      </c>
      <c r="AI3" s="17" t="s">
        <v>112</v>
      </c>
      <c r="AJ3" s="17" t="s">
        <v>113</v>
      </c>
      <c r="AK3" s="17" t="s">
        <v>114</v>
      </c>
      <c r="AL3" s="17" t="s">
        <v>115</v>
      </c>
      <c r="AM3" s="17" t="s">
        <v>116</v>
      </c>
      <c r="AN3" s="17" t="s">
        <v>117</v>
      </c>
      <c r="AO3" s="17" t="s">
        <v>118</v>
      </c>
      <c r="AP3" s="17" t="s">
        <v>119</v>
      </c>
      <c r="AQ3" s="17" t="s">
        <v>120</v>
      </c>
      <c r="AR3" s="17" t="s">
        <v>121</v>
      </c>
      <c r="AS3" s="17" t="s">
        <v>122</v>
      </c>
      <c r="AT3" s="17" t="s">
        <v>123</v>
      </c>
      <c r="AU3" s="17" t="s">
        <v>124</v>
      </c>
      <c r="AV3" s="17" t="s">
        <v>125</v>
      </c>
      <c r="AW3" s="17" t="s">
        <v>126</v>
      </c>
      <c r="AX3" s="17" t="s">
        <v>127</v>
      </c>
      <c r="AY3" s="17" t="s">
        <v>128</v>
      </c>
      <c r="AZ3" s="17" t="s">
        <v>129</v>
      </c>
      <c r="BA3" s="17" t="s">
        <v>130</v>
      </c>
      <c r="BB3" s="17" t="s">
        <v>131</v>
      </c>
      <c r="BC3" s="17" t="s">
        <v>132</v>
      </c>
      <c r="BD3" s="17" t="s">
        <v>133</v>
      </c>
      <c r="BE3" s="17" t="s">
        <v>134</v>
      </c>
      <c r="BF3" s="17" t="s">
        <v>135</v>
      </c>
      <c r="BG3" s="17" t="s">
        <v>136</v>
      </c>
      <c r="BH3" s="17" t="s">
        <v>137</v>
      </c>
      <c r="BI3" s="17" t="s">
        <v>138</v>
      </c>
      <c r="BJ3" s="17" t="s">
        <v>139</v>
      </c>
      <c r="BK3" s="17" t="s">
        <v>140</v>
      </c>
      <c r="BL3" s="17" t="s">
        <v>141</v>
      </c>
      <c r="BM3" s="17" t="s">
        <v>142</v>
      </c>
      <c r="BN3" s="17" t="s">
        <v>143</v>
      </c>
      <c r="BO3" s="17" t="s">
        <v>144</v>
      </c>
      <c r="BP3" s="17" t="s">
        <v>145</v>
      </c>
      <c r="BQ3" s="17" t="s">
        <v>146</v>
      </c>
      <c r="BR3" s="17" t="s">
        <v>147</v>
      </c>
      <c r="BS3" s="17" t="s">
        <v>148</v>
      </c>
      <c r="BT3" s="17" t="s">
        <v>149</v>
      </c>
      <c r="BU3" s="17" t="s">
        <v>150</v>
      </c>
      <c r="BV3" s="17" t="s">
        <v>151</v>
      </c>
      <c r="BW3" s="17" t="s">
        <v>152</v>
      </c>
      <c r="BX3" s="17" t="s">
        <v>153</v>
      </c>
      <c r="BY3" s="17" t="s">
        <v>154</v>
      </c>
      <c r="BZ3" s="17" t="s">
        <v>155</v>
      </c>
      <c r="CA3" s="17" t="s">
        <v>156</v>
      </c>
      <c r="CB3" s="17" t="s">
        <v>157</v>
      </c>
      <c r="CC3" s="17" t="s">
        <v>158</v>
      </c>
      <c r="CD3" s="17" t="s">
        <v>159</v>
      </c>
      <c r="CE3" s="17" t="s">
        <v>160</v>
      </c>
      <c r="CF3" s="17" t="s">
        <v>161</v>
      </c>
      <c r="CG3" s="17" t="s">
        <v>162</v>
      </c>
      <c r="CH3" s="17" t="s">
        <v>163</v>
      </c>
      <c r="CI3" s="17" t="s">
        <v>164</v>
      </c>
      <c r="CJ3" s="17" t="s">
        <v>165</v>
      </c>
      <c r="CK3" s="17" t="s">
        <v>166</v>
      </c>
      <c r="CL3" s="17" t="s">
        <v>167</v>
      </c>
      <c r="CM3" s="17" t="s">
        <v>168</v>
      </c>
      <c r="CN3" s="17" t="s">
        <v>169</v>
      </c>
      <c r="CO3" s="17" t="s">
        <v>170</v>
      </c>
      <c r="CP3" s="17" t="s">
        <v>171</v>
      </c>
      <c r="CQ3" s="17" t="s">
        <v>172</v>
      </c>
      <c r="CR3" s="17" t="s">
        <v>173</v>
      </c>
      <c r="CS3" s="17" t="s">
        <v>174</v>
      </c>
      <c r="CT3" s="17" t="s">
        <v>175</v>
      </c>
      <c r="CU3" s="17" t="s">
        <v>176</v>
      </c>
      <c r="CV3" s="17" t="s">
        <v>177</v>
      </c>
      <c r="CW3" s="17" t="s">
        <v>178</v>
      </c>
      <c r="CX3" s="17" t="s">
        <v>179</v>
      </c>
      <c r="CY3" s="17" t="s">
        <v>180</v>
      </c>
      <c r="CZ3" s="17" t="s">
        <v>181</v>
      </c>
      <c r="DA3" s="17" t="s">
        <v>182</v>
      </c>
      <c r="DB3" s="17" t="s">
        <v>183</v>
      </c>
      <c r="DC3" s="17" t="s">
        <v>184</v>
      </c>
      <c r="DD3" s="17" t="s">
        <v>185</v>
      </c>
      <c r="DE3" s="17" t="s">
        <v>186</v>
      </c>
      <c r="DF3" s="17" t="s">
        <v>187</v>
      </c>
      <c r="DG3" s="17" t="s">
        <v>188</v>
      </c>
      <c r="DH3" s="17" t="s">
        <v>189</v>
      </c>
      <c r="DI3" s="17" t="s">
        <v>190</v>
      </c>
      <c r="DJ3" s="17" t="s">
        <v>191</v>
      </c>
      <c r="DK3" s="17" t="s">
        <v>192</v>
      </c>
      <c r="DL3" s="17" t="s">
        <v>193</v>
      </c>
      <c r="DM3" s="17" t="s">
        <v>194</v>
      </c>
      <c r="DN3" s="17" t="s">
        <v>195</v>
      </c>
      <c r="DO3" s="17" t="s">
        <v>196</v>
      </c>
      <c r="DP3" s="17" t="s">
        <v>197</v>
      </c>
      <c r="DQ3" s="17" t="s">
        <v>198</v>
      </c>
      <c r="DR3" s="17" t="s">
        <v>199</v>
      </c>
      <c r="DS3" s="17" t="s">
        <v>200</v>
      </c>
      <c r="DT3" s="17" t="s">
        <v>201</v>
      </c>
      <c r="DU3" s="17" t="s">
        <v>202</v>
      </c>
      <c r="DV3" s="17" t="s">
        <v>203</v>
      </c>
      <c r="DW3" s="17" t="s">
        <v>204</v>
      </c>
      <c r="DX3" s="17" t="s">
        <v>205</v>
      </c>
      <c r="DY3" s="17" t="s">
        <v>206</v>
      </c>
      <c r="DZ3" s="17" t="s">
        <v>207</v>
      </c>
      <c r="EA3" s="17" t="s">
        <v>208</v>
      </c>
      <c r="EB3" s="17" t="s">
        <v>209</v>
      </c>
      <c r="EC3" s="17" t="s">
        <v>210</v>
      </c>
      <c r="ED3" s="17" t="s">
        <v>211</v>
      </c>
      <c r="EE3" s="17" t="s">
        <v>212</v>
      </c>
      <c r="EF3" s="17" t="s">
        <v>213</v>
      </c>
      <c r="EG3" s="17" t="s">
        <v>214</v>
      </c>
      <c r="EH3" s="17" t="s">
        <v>215</v>
      </c>
      <c r="EI3" s="17" t="s">
        <v>216</v>
      </c>
      <c r="EJ3" s="17" t="s">
        <v>217</v>
      </c>
      <c r="EK3" s="17" t="s">
        <v>218</v>
      </c>
      <c r="EL3" s="17" t="s">
        <v>219</v>
      </c>
      <c r="EM3" s="17" t="s">
        <v>220</v>
      </c>
      <c r="EN3" s="17" t="s">
        <v>221</v>
      </c>
      <c r="EO3" s="17" t="s">
        <v>222</v>
      </c>
      <c r="EP3" s="17" t="s">
        <v>223</v>
      </c>
      <c r="EQ3" s="17" t="s">
        <v>224</v>
      </c>
      <c r="ER3" s="17" t="s">
        <v>225</v>
      </c>
      <c r="ES3" s="17" t="s">
        <v>226</v>
      </c>
      <c r="ET3" s="17" t="s">
        <v>227</v>
      </c>
      <c r="EU3" s="17" t="s">
        <v>228</v>
      </c>
      <c r="EV3" s="17" t="s">
        <v>229</v>
      </c>
      <c r="EW3" s="17" t="s">
        <v>230</v>
      </c>
      <c r="EX3" s="17" t="s">
        <v>231</v>
      </c>
      <c r="EY3" s="17" t="s">
        <v>232</v>
      </c>
      <c r="EZ3" s="17" t="s">
        <v>233</v>
      </c>
      <c r="FA3" s="17" t="s">
        <v>234</v>
      </c>
      <c r="FB3" s="17" t="s">
        <v>235</v>
      </c>
      <c r="FC3" s="17" t="s">
        <v>236</v>
      </c>
      <c r="FD3" s="17" t="s">
        <v>237</v>
      </c>
      <c r="FE3" s="17" t="s">
        <v>238</v>
      </c>
      <c r="FF3" s="17" t="s">
        <v>239</v>
      </c>
      <c r="FG3" s="17" t="s">
        <v>240</v>
      </c>
      <c r="FH3" s="17" t="s">
        <v>241</v>
      </c>
      <c r="FI3" s="17" t="s">
        <v>242</v>
      </c>
      <c r="FJ3" s="17" t="s">
        <v>243</v>
      </c>
      <c r="FK3" s="17" t="s">
        <v>244</v>
      </c>
      <c r="FL3" s="17" t="s">
        <v>245</v>
      </c>
      <c r="FM3" s="17" t="s">
        <v>246</v>
      </c>
      <c r="FN3" s="17" t="s">
        <v>247</v>
      </c>
      <c r="FO3" s="17" t="s">
        <v>248</v>
      </c>
      <c r="FP3" s="17" t="s">
        <v>249</v>
      </c>
      <c r="FQ3" s="17" t="s">
        <v>250</v>
      </c>
      <c r="FR3" s="17" t="s">
        <v>251</v>
      </c>
      <c r="FS3" s="17" t="s">
        <v>252</v>
      </c>
      <c r="FT3" s="17" t="s">
        <v>253</v>
      </c>
      <c r="FU3" s="17" t="s">
        <v>254</v>
      </c>
      <c r="FV3" s="17" t="s">
        <v>255</v>
      </c>
      <c r="FW3" s="17" t="s">
        <v>256</v>
      </c>
      <c r="FX3" s="17" t="s">
        <v>257</v>
      </c>
      <c r="FY3" s="17" t="s">
        <v>258</v>
      </c>
      <c r="FZ3" s="17" t="s">
        <v>259</v>
      </c>
      <c r="GA3" s="17" t="s">
        <v>260</v>
      </c>
      <c r="GB3" s="17" t="s">
        <v>261</v>
      </c>
      <c r="GC3" s="17" t="s">
        <v>262</v>
      </c>
      <c r="GD3" s="17" t="s">
        <v>263</v>
      </c>
      <c r="GE3" s="17" t="s">
        <v>264</v>
      </c>
      <c r="GF3" s="17" t="s">
        <v>265</v>
      </c>
      <c r="GG3" s="17" t="s">
        <v>266</v>
      </c>
      <c r="GH3" s="17" t="s">
        <v>267</v>
      </c>
      <c r="GI3" s="17" t="s">
        <v>268</v>
      </c>
      <c r="GJ3" s="17" t="s">
        <v>269</v>
      </c>
      <c r="GK3" s="17" t="s">
        <v>270</v>
      </c>
      <c r="GL3" s="17" t="s">
        <v>271</v>
      </c>
      <c r="GM3" s="17" t="s">
        <v>272</v>
      </c>
      <c r="GN3" s="17" t="s">
        <v>273</v>
      </c>
      <c r="GO3" s="17" t="s">
        <v>274</v>
      </c>
      <c r="GP3" s="17" t="s">
        <v>275</v>
      </c>
      <c r="GQ3" s="17" t="s">
        <v>276</v>
      </c>
      <c r="GR3" s="17" t="s">
        <v>277</v>
      </c>
      <c r="GS3" s="17" t="s">
        <v>278</v>
      </c>
      <c r="GT3" s="17" t="s">
        <v>279</v>
      </c>
      <c r="GU3" s="17" t="s">
        <v>280</v>
      </c>
      <c r="GV3" s="17" t="s">
        <v>281</v>
      </c>
      <c r="GW3" s="17" t="s">
        <v>282</v>
      </c>
      <c r="GX3" s="17" t="s">
        <v>283</v>
      </c>
      <c r="GY3" s="17" t="s">
        <v>284</v>
      </c>
      <c r="GZ3" s="17" t="s">
        <v>285</v>
      </c>
      <c r="HA3" s="17" t="s">
        <v>286</v>
      </c>
      <c r="HB3" s="17" t="s">
        <v>287</v>
      </c>
      <c r="HC3" s="17" t="s">
        <v>288</v>
      </c>
      <c r="HD3" s="17" t="s">
        <v>289</v>
      </c>
      <c r="HE3" s="17" t="s">
        <v>290</v>
      </c>
      <c r="HF3" s="17" t="s">
        <v>291</v>
      </c>
      <c r="HG3" s="17" t="s">
        <v>292</v>
      </c>
      <c r="HH3" s="17" t="s">
        <v>293</v>
      </c>
      <c r="HI3" s="17" t="s">
        <v>294</v>
      </c>
      <c r="HJ3" s="17" t="s">
        <v>295</v>
      </c>
      <c r="HK3" s="17" t="s">
        <v>296</v>
      </c>
      <c r="HL3" s="17" t="s">
        <v>297</v>
      </c>
      <c r="HM3" s="17" t="s">
        <v>298</v>
      </c>
      <c r="HN3" s="17" t="s">
        <v>299</v>
      </c>
      <c r="HO3" s="17" t="s">
        <v>300</v>
      </c>
      <c r="HP3" s="17" t="s">
        <v>301</v>
      </c>
      <c r="HQ3" s="17" t="s">
        <v>302</v>
      </c>
      <c r="HR3" s="17" t="s">
        <v>303</v>
      </c>
      <c r="HS3" s="17" t="s">
        <v>304</v>
      </c>
      <c r="HT3" s="17" t="s">
        <v>305</v>
      </c>
      <c r="HU3" s="17" t="s">
        <v>306</v>
      </c>
      <c r="HV3" s="17" t="s">
        <v>307</v>
      </c>
      <c r="HW3" s="17" t="s">
        <v>308</v>
      </c>
      <c r="HX3" s="17" t="s">
        <v>309</v>
      </c>
      <c r="HY3" s="17" t="s">
        <v>310</v>
      </c>
      <c r="HZ3" s="17" t="s">
        <v>311</v>
      </c>
      <c r="IA3" s="17" t="s">
        <v>312</v>
      </c>
      <c r="IB3" s="17" t="s">
        <v>313</v>
      </c>
      <c r="IC3" s="17" t="s">
        <v>314</v>
      </c>
      <c r="ID3" s="17" t="s">
        <v>315</v>
      </c>
      <c r="IE3" s="17" t="s">
        <v>316</v>
      </c>
      <c r="IF3" s="17" t="s">
        <v>317</v>
      </c>
      <c r="IG3" s="17" t="s">
        <v>318</v>
      </c>
      <c r="IH3" s="17" t="s">
        <v>319</v>
      </c>
      <c r="II3" s="17" t="s">
        <v>320</v>
      </c>
      <c r="IJ3" s="17" t="s">
        <v>321</v>
      </c>
      <c r="IK3" s="17" t="s">
        <v>322</v>
      </c>
      <c r="IL3" s="17" t="s">
        <v>323</v>
      </c>
      <c r="IM3" s="17" t="s">
        <v>324</v>
      </c>
      <c r="IN3" s="17" t="s">
        <v>325</v>
      </c>
      <c r="IO3" s="17" t="s">
        <v>326</v>
      </c>
      <c r="IP3" s="17" t="s">
        <v>327</v>
      </c>
      <c r="IQ3" s="17" t="s">
        <v>328</v>
      </c>
      <c r="IR3" s="17" t="s">
        <v>329</v>
      </c>
      <c r="IS3" s="17" t="s">
        <v>330</v>
      </c>
      <c r="IT3" s="17" t="s">
        <v>331</v>
      </c>
      <c r="IU3" s="17" t="s">
        <v>332</v>
      </c>
      <c r="IV3" s="17" t="s">
        <v>333</v>
      </c>
      <c r="IW3" s="17" t="s">
        <v>334</v>
      </c>
      <c r="IX3" s="17" t="s">
        <v>335</v>
      </c>
      <c r="IY3" s="17" t="s">
        <v>336</v>
      </c>
      <c r="IZ3" s="17" t="s">
        <v>337</v>
      </c>
      <c r="JA3" s="17" t="s">
        <v>338</v>
      </c>
      <c r="JB3" s="17" t="s">
        <v>339</v>
      </c>
      <c r="JC3" s="17" t="s">
        <v>340</v>
      </c>
      <c r="JD3" s="17" t="s">
        <v>341</v>
      </c>
      <c r="JE3" s="17" t="s">
        <v>342</v>
      </c>
      <c r="JF3" s="17" t="s">
        <v>343</v>
      </c>
      <c r="JG3" s="17" t="s">
        <v>344</v>
      </c>
      <c r="JH3" s="17" t="s">
        <v>345</v>
      </c>
      <c r="JI3" s="17" t="s">
        <v>346</v>
      </c>
      <c r="JJ3" s="17" t="s">
        <v>347</v>
      </c>
      <c r="JK3" s="17" t="s">
        <v>348</v>
      </c>
      <c r="JL3" s="17" t="s">
        <v>349</v>
      </c>
      <c r="JM3" s="17" t="s">
        <v>350</v>
      </c>
      <c r="JN3" s="17" t="s">
        <v>351</v>
      </c>
      <c r="JO3" s="17" t="s">
        <v>352</v>
      </c>
      <c r="JP3" s="17" t="s">
        <v>353</v>
      </c>
      <c r="JQ3" s="17" t="s">
        <v>354</v>
      </c>
      <c r="JR3" s="17" t="s">
        <v>355</v>
      </c>
      <c r="JS3" s="17" t="s">
        <v>356</v>
      </c>
      <c r="JT3" s="17" t="s">
        <v>357</v>
      </c>
      <c r="JU3" s="17" t="s">
        <v>358</v>
      </c>
      <c r="JV3" s="17" t="s">
        <v>359</v>
      </c>
      <c r="JW3" s="17" t="s">
        <v>360</v>
      </c>
      <c r="JX3" s="17" t="s">
        <v>361</v>
      </c>
      <c r="JY3" s="17" t="s">
        <v>362</v>
      </c>
      <c r="JZ3" s="17" t="s">
        <v>363</v>
      </c>
      <c r="KA3" s="17" t="s">
        <v>364</v>
      </c>
      <c r="KB3" s="17" t="s">
        <v>365</v>
      </c>
      <c r="KC3" s="17" t="s">
        <v>366</v>
      </c>
      <c r="KD3" s="17" t="s">
        <v>367</v>
      </c>
      <c r="KE3" s="17" t="s">
        <v>368</v>
      </c>
      <c r="KF3" s="17" t="s">
        <v>369</v>
      </c>
      <c r="KG3" s="17" t="s">
        <v>370</v>
      </c>
      <c r="KH3" s="17" t="s">
        <v>371</v>
      </c>
      <c r="KI3" s="17" t="s">
        <v>372</v>
      </c>
      <c r="KJ3" s="17" t="s">
        <v>373</v>
      </c>
      <c r="KK3" s="17" t="s">
        <v>374</v>
      </c>
      <c r="KL3" s="17" t="s">
        <v>375</v>
      </c>
      <c r="KM3" s="17" t="s">
        <v>376</v>
      </c>
      <c r="KN3" s="17" t="s">
        <v>377</v>
      </c>
      <c r="KO3" s="17" t="s">
        <v>378</v>
      </c>
    </row>
    <row r="4" customFormat="false" ht="14.25" hidden="false" customHeight="false" outlineLevel="0" collapsed="false">
      <c r="A4" s="0" t="s">
        <v>379</v>
      </c>
      <c r="B4" s="18" t="n">
        <f aca="false">Supuestos!$B$9*POWER(1+Supuestos!$B$10,0)</f>
        <v>10700000</v>
      </c>
      <c r="C4" s="18" t="n">
        <f aca="false">Supuestos!$B$9*POWER(1+Supuestos!$B$10,0)</f>
        <v>10700000</v>
      </c>
      <c r="D4" s="18" t="n">
        <f aca="false">Supuestos!$B$9*POWER(1+Supuestos!$B$10,0)</f>
        <v>10700000</v>
      </c>
      <c r="E4" s="18" t="n">
        <f aca="false">Supuestos!$B$9*POWER(1+Supuestos!$B$10,0)</f>
        <v>10700000</v>
      </c>
      <c r="F4" s="18" t="n">
        <f aca="false">Supuestos!$B$9*POWER(1+Supuestos!$B$10,0)</f>
        <v>10700000</v>
      </c>
      <c r="G4" s="18" t="n">
        <f aca="false">Supuestos!$B$9*POWER(1+Supuestos!$B$10,0)</f>
        <v>10700000</v>
      </c>
      <c r="H4" s="18" t="n">
        <f aca="false">Supuestos!$B$9*POWER(1+Supuestos!$B$10,0)</f>
        <v>10700000</v>
      </c>
      <c r="I4" s="18" t="n">
        <f aca="false">Supuestos!$B$9*POWER(1+Supuestos!$B$10,0)</f>
        <v>10700000</v>
      </c>
      <c r="J4" s="18" t="n">
        <f aca="false">Supuestos!$B$9*POWER(1+Supuestos!$B$10,0)</f>
        <v>10700000</v>
      </c>
      <c r="K4" s="18" t="n">
        <f aca="false">Supuestos!$B$9*POWER(1+Supuestos!$B$10,0)</f>
        <v>10700000</v>
      </c>
      <c r="L4" s="18" t="n">
        <f aca="false">Supuestos!$B$9*POWER(1+Supuestos!$B$10,0)</f>
        <v>10700000</v>
      </c>
      <c r="M4" s="18" t="n">
        <f aca="false">Supuestos!$B$9*POWER(1+Supuestos!$B$10,0)</f>
        <v>10700000</v>
      </c>
      <c r="N4" s="18" t="n">
        <f aca="false">Supuestos!$B$9*POWER(1+Supuestos!$B$10,1)</f>
        <v>11449000</v>
      </c>
      <c r="O4" s="18" t="n">
        <f aca="false">Supuestos!$B$9*POWER(1+Supuestos!$B$10,1)</f>
        <v>11449000</v>
      </c>
      <c r="P4" s="18" t="n">
        <f aca="false">Supuestos!$B$9*POWER(1+Supuestos!$B$10,1)</f>
        <v>11449000</v>
      </c>
      <c r="Q4" s="18" t="n">
        <f aca="false">Supuestos!$B$9*POWER(1+Supuestos!$B$10,1)</f>
        <v>11449000</v>
      </c>
      <c r="R4" s="18" t="n">
        <f aca="false">Supuestos!$B$9*POWER(1+Supuestos!$B$10,1)</f>
        <v>11449000</v>
      </c>
      <c r="S4" s="18" t="n">
        <f aca="false">Supuestos!$B$9*POWER(1+Supuestos!$B$10,1)</f>
        <v>11449000</v>
      </c>
      <c r="T4" s="18" t="n">
        <f aca="false">Supuestos!$B$9*POWER(1+Supuestos!$B$10,1)</f>
        <v>11449000</v>
      </c>
      <c r="U4" s="18" t="n">
        <f aca="false">Supuestos!$B$9*POWER(1+Supuestos!$B$10,1)</f>
        <v>11449000</v>
      </c>
      <c r="V4" s="18" t="n">
        <f aca="false">Supuestos!$B$9*POWER(1+Supuestos!$B$10,1)</f>
        <v>11449000</v>
      </c>
      <c r="W4" s="18" t="n">
        <f aca="false">Supuestos!$B$9*POWER(1+Supuestos!$B$10,1)</f>
        <v>11449000</v>
      </c>
      <c r="X4" s="18" t="n">
        <f aca="false">Supuestos!$B$9*POWER(1+Supuestos!$B$10,1)</f>
        <v>11449000</v>
      </c>
      <c r="Y4" s="18" t="n">
        <f aca="false">Supuestos!$B$9*POWER(1+Supuestos!$B$10,1)</f>
        <v>11449000</v>
      </c>
      <c r="Z4" s="18" t="n">
        <f aca="false">Supuestos!$B$9*POWER(1+Supuestos!$B$10,2)</f>
        <v>12250430</v>
      </c>
      <c r="AA4" s="18" t="n">
        <f aca="false">Supuestos!$B$9*POWER(1+Supuestos!$B$10,2)</f>
        <v>12250430</v>
      </c>
      <c r="AB4" s="18" t="n">
        <f aca="false">Supuestos!$B$9*POWER(1+Supuestos!$B$10,2)</f>
        <v>12250430</v>
      </c>
      <c r="AC4" s="18" t="n">
        <f aca="false">Supuestos!$B$9*POWER(1+Supuestos!$B$10,2)</f>
        <v>12250430</v>
      </c>
      <c r="AD4" s="18" t="n">
        <f aca="false">Supuestos!$B$9*POWER(1+Supuestos!$B$10,2)</f>
        <v>12250430</v>
      </c>
      <c r="AE4" s="18" t="n">
        <f aca="false">Supuestos!$B$9*POWER(1+Supuestos!$B$10,2)</f>
        <v>12250430</v>
      </c>
      <c r="AF4" s="18" t="n">
        <f aca="false">Supuestos!$B$9*POWER(1+Supuestos!$B$10,2)</f>
        <v>12250430</v>
      </c>
      <c r="AG4" s="18" t="n">
        <f aca="false">Supuestos!$B$9*POWER(1+Supuestos!$B$10,2)</f>
        <v>12250430</v>
      </c>
      <c r="AH4" s="18" t="n">
        <f aca="false">Supuestos!$B$9*POWER(1+Supuestos!$B$10,2)</f>
        <v>12250430</v>
      </c>
      <c r="AI4" s="18" t="n">
        <f aca="false">Supuestos!$B$9*POWER(1+Supuestos!$B$10,2)</f>
        <v>12250430</v>
      </c>
      <c r="AJ4" s="18" t="n">
        <f aca="false">Supuestos!$B$9*POWER(1+Supuestos!$B$10,2)</f>
        <v>12250430</v>
      </c>
      <c r="AK4" s="18" t="n">
        <f aca="false">Supuestos!$B$9*POWER(1+Supuestos!$B$10,2)</f>
        <v>12250430</v>
      </c>
      <c r="AL4" s="18" t="n">
        <f aca="false">Supuestos!$B$9*POWER(1+Supuestos!$B$10,3)</f>
        <v>13107960.1</v>
      </c>
      <c r="AM4" s="18" t="n">
        <f aca="false">Supuestos!$B$9*POWER(1+Supuestos!$B$10,3)</f>
        <v>13107960.1</v>
      </c>
      <c r="AN4" s="18" t="n">
        <f aca="false">Supuestos!$B$9*POWER(1+Supuestos!$B$10,3)</f>
        <v>13107960.1</v>
      </c>
      <c r="AO4" s="18" t="n">
        <f aca="false">Supuestos!$B$9*POWER(1+Supuestos!$B$10,3)</f>
        <v>13107960.1</v>
      </c>
      <c r="AP4" s="18" t="n">
        <f aca="false">Supuestos!$B$9*POWER(1+Supuestos!$B$10,3)</f>
        <v>13107960.1</v>
      </c>
      <c r="AQ4" s="18" t="n">
        <f aca="false">Supuestos!$B$9*POWER(1+Supuestos!$B$10,3)</f>
        <v>13107960.1</v>
      </c>
      <c r="AR4" s="18" t="n">
        <f aca="false">Supuestos!$B$9*POWER(1+Supuestos!$B$10,3)</f>
        <v>13107960.1</v>
      </c>
      <c r="AS4" s="18" t="n">
        <f aca="false">Supuestos!$B$9*POWER(1+Supuestos!$B$10,3)</f>
        <v>13107960.1</v>
      </c>
      <c r="AT4" s="18" t="n">
        <f aca="false">Supuestos!$B$9*POWER(1+Supuestos!$B$10,3)</f>
        <v>13107960.1</v>
      </c>
      <c r="AU4" s="18" t="n">
        <f aca="false">Supuestos!$B$9*POWER(1+Supuestos!$B$10,3)</f>
        <v>13107960.1</v>
      </c>
      <c r="AV4" s="18" t="n">
        <f aca="false">Supuestos!$B$9*POWER(1+Supuestos!$B$10,3)</f>
        <v>13107960.1</v>
      </c>
      <c r="AW4" s="18" t="n">
        <f aca="false">Supuestos!$B$9*POWER(1+Supuestos!$B$10,3)</f>
        <v>13107960.1</v>
      </c>
      <c r="AX4" s="18" t="n">
        <f aca="false">Supuestos!$B$9*POWER(1+Supuestos!$B$10,4)</f>
        <v>14025517.307</v>
      </c>
      <c r="AY4" s="18" t="n">
        <f aca="false">Supuestos!$B$9*POWER(1+Supuestos!$B$10,4)</f>
        <v>14025517.307</v>
      </c>
      <c r="AZ4" s="18" t="n">
        <f aca="false">Supuestos!$B$9*POWER(1+Supuestos!$B$10,4)</f>
        <v>14025517.307</v>
      </c>
      <c r="BA4" s="18" t="n">
        <f aca="false">Supuestos!$B$9*POWER(1+Supuestos!$B$10,4)</f>
        <v>14025517.307</v>
      </c>
      <c r="BB4" s="18" t="n">
        <f aca="false">Supuestos!$B$9*POWER(1+Supuestos!$B$10,4)</f>
        <v>14025517.307</v>
      </c>
      <c r="BC4" s="18" t="n">
        <f aca="false">Supuestos!$B$9*POWER(1+Supuestos!$B$10,4)</f>
        <v>14025517.307</v>
      </c>
      <c r="BD4" s="18" t="n">
        <f aca="false">Supuestos!$B$9*POWER(1+Supuestos!$B$10,4)</f>
        <v>14025517.307</v>
      </c>
      <c r="BE4" s="18" t="n">
        <f aca="false">Supuestos!$B$9*POWER(1+Supuestos!$B$10,4)</f>
        <v>14025517.307</v>
      </c>
      <c r="BF4" s="18" t="n">
        <f aca="false">Supuestos!$B$9*POWER(1+Supuestos!$B$10,4)</f>
        <v>14025517.307</v>
      </c>
      <c r="BG4" s="18" t="n">
        <f aca="false">Supuestos!$B$9*POWER(1+Supuestos!$B$10,4)</f>
        <v>14025517.307</v>
      </c>
      <c r="BH4" s="18" t="n">
        <f aca="false">Supuestos!$B$9*POWER(1+Supuestos!$B$10,4)</f>
        <v>14025517.307</v>
      </c>
      <c r="BI4" s="18" t="n">
        <f aca="false">Supuestos!$B$9*POWER(1+Supuestos!$B$10,4)</f>
        <v>14025517.307</v>
      </c>
      <c r="BJ4" s="18" t="n">
        <f aca="false">Supuestos!$B$9*POWER(1+Supuestos!$B$10,5)</f>
        <v>15007303.51849</v>
      </c>
      <c r="BK4" s="18" t="n">
        <f aca="false">Supuestos!$B$9*POWER(1+Supuestos!$B$10,5)</f>
        <v>15007303.51849</v>
      </c>
      <c r="BL4" s="18" t="n">
        <f aca="false">Supuestos!$B$9*POWER(1+Supuestos!$B$10,5)</f>
        <v>15007303.51849</v>
      </c>
      <c r="BM4" s="18" t="n">
        <f aca="false">Supuestos!$B$9*POWER(1+Supuestos!$B$10,5)</f>
        <v>15007303.51849</v>
      </c>
      <c r="BN4" s="18" t="n">
        <f aca="false">Supuestos!$B$9*POWER(1+Supuestos!$B$10,5)</f>
        <v>15007303.51849</v>
      </c>
      <c r="BO4" s="18" t="n">
        <f aca="false">Supuestos!$B$9*POWER(1+Supuestos!$B$10,5)</f>
        <v>15007303.51849</v>
      </c>
      <c r="BP4" s="18" t="n">
        <f aca="false">Supuestos!$B$9*POWER(1+Supuestos!$B$10,5)</f>
        <v>15007303.51849</v>
      </c>
      <c r="BQ4" s="18" t="n">
        <f aca="false">Supuestos!$B$9*POWER(1+Supuestos!$B$10,5)</f>
        <v>15007303.51849</v>
      </c>
      <c r="BR4" s="18" t="n">
        <f aca="false">Supuestos!$B$9*POWER(1+Supuestos!$B$10,5)</f>
        <v>15007303.51849</v>
      </c>
      <c r="BS4" s="18" t="n">
        <f aca="false">Supuestos!$B$9*POWER(1+Supuestos!$B$10,5)</f>
        <v>15007303.51849</v>
      </c>
      <c r="BT4" s="18" t="n">
        <f aca="false">Supuestos!$B$9*POWER(1+Supuestos!$B$10,5)</f>
        <v>15007303.51849</v>
      </c>
      <c r="BU4" s="18" t="n">
        <f aca="false">Supuestos!$B$9*POWER(1+Supuestos!$B$10,5)</f>
        <v>15007303.51849</v>
      </c>
      <c r="BV4" s="18" t="n">
        <f aca="false">Supuestos!$B$9*POWER(1+Supuestos!$B$10,6)</f>
        <v>16057814.7647843</v>
      </c>
      <c r="BW4" s="18" t="n">
        <f aca="false">Supuestos!$B$9*POWER(1+Supuestos!$B$10,6)</f>
        <v>16057814.7647843</v>
      </c>
      <c r="BX4" s="18" t="n">
        <f aca="false">Supuestos!$B$9*POWER(1+Supuestos!$B$10,6)</f>
        <v>16057814.7647843</v>
      </c>
      <c r="BY4" s="18" t="n">
        <f aca="false">Supuestos!$B$9*POWER(1+Supuestos!$B$10,6)</f>
        <v>16057814.7647843</v>
      </c>
      <c r="BZ4" s="18" t="n">
        <f aca="false">Supuestos!$B$9*POWER(1+Supuestos!$B$10,6)</f>
        <v>16057814.7647843</v>
      </c>
      <c r="CA4" s="18" t="n">
        <f aca="false">Supuestos!$B$9*POWER(1+Supuestos!$B$10,6)</f>
        <v>16057814.7647843</v>
      </c>
      <c r="CB4" s="18" t="n">
        <f aca="false">Supuestos!$B$9*POWER(1+Supuestos!$B$10,6)</f>
        <v>16057814.7647843</v>
      </c>
      <c r="CC4" s="18" t="n">
        <f aca="false">Supuestos!$B$9*POWER(1+Supuestos!$B$10,6)</f>
        <v>16057814.7647843</v>
      </c>
      <c r="CD4" s="18" t="n">
        <f aca="false">Supuestos!$B$9*POWER(1+Supuestos!$B$10,6)</f>
        <v>16057814.7647843</v>
      </c>
      <c r="CE4" s="18" t="n">
        <f aca="false">Supuestos!$B$9*POWER(1+Supuestos!$B$10,6)</f>
        <v>16057814.7647843</v>
      </c>
      <c r="CF4" s="18" t="n">
        <f aca="false">Supuestos!$B$9*POWER(1+Supuestos!$B$10,6)</f>
        <v>16057814.7647843</v>
      </c>
      <c r="CG4" s="18" t="n">
        <f aca="false">Supuestos!$B$9*POWER(1+Supuestos!$B$10,6)</f>
        <v>16057814.7647843</v>
      </c>
      <c r="CH4" s="18" t="n">
        <f aca="false">Supuestos!$B$9*POWER(1+Supuestos!$B$10,7)</f>
        <v>17181861.7983192</v>
      </c>
      <c r="CI4" s="18" t="n">
        <f aca="false">Supuestos!$B$9*POWER(1+Supuestos!$B$10,7)</f>
        <v>17181861.7983192</v>
      </c>
      <c r="CJ4" s="18" t="n">
        <f aca="false">Supuestos!$B$9*POWER(1+Supuestos!$B$10,7)</f>
        <v>17181861.7983192</v>
      </c>
      <c r="CK4" s="18" t="n">
        <f aca="false">Supuestos!$B$9*POWER(1+Supuestos!$B$10,7)</f>
        <v>17181861.7983192</v>
      </c>
      <c r="CL4" s="18" t="n">
        <f aca="false">Supuestos!$B$9*POWER(1+Supuestos!$B$10,7)</f>
        <v>17181861.7983192</v>
      </c>
      <c r="CM4" s="18" t="n">
        <f aca="false">Supuestos!$B$9*POWER(1+Supuestos!$B$10,7)</f>
        <v>17181861.7983192</v>
      </c>
      <c r="CN4" s="18" t="n">
        <f aca="false">Supuestos!$B$9*POWER(1+Supuestos!$B$10,7)</f>
        <v>17181861.7983192</v>
      </c>
      <c r="CO4" s="18" t="n">
        <f aca="false">Supuestos!$B$9*POWER(1+Supuestos!$B$10,7)</f>
        <v>17181861.7983192</v>
      </c>
      <c r="CP4" s="18" t="n">
        <f aca="false">Supuestos!$B$9*POWER(1+Supuestos!$B$10,7)</f>
        <v>17181861.7983192</v>
      </c>
      <c r="CQ4" s="18" t="n">
        <f aca="false">Supuestos!$B$9*POWER(1+Supuestos!$B$10,7)</f>
        <v>17181861.7983192</v>
      </c>
      <c r="CR4" s="18" t="n">
        <f aca="false">Supuestos!$B$9*POWER(1+Supuestos!$B$10,7)</f>
        <v>17181861.7983192</v>
      </c>
      <c r="CS4" s="18" t="n">
        <f aca="false">Supuestos!$B$9*POWER(1+Supuestos!$B$10,7)</f>
        <v>17181861.7983192</v>
      </c>
      <c r="CT4" s="18" t="n">
        <f aca="false">Supuestos!$B$9*POWER(1+Supuestos!$B$10,8)</f>
        <v>18384592.1242016</v>
      </c>
      <c r="CU4" s="18" t="n">
        <f aca="false">Supuestos!$B$9*POWER(1+Supuestos!$B$10,8)</f>
        <v>18384592.1242016</v>
      </c>
      <c r="CV4" s="18" t="n">
        <f aca="false">Supuestos!$B$9*POWER(1+Supuestos!$B$10,8)</f>
        <v>18384592.1242016</v>
      </c>
      <c r="CW4" s="18" t="n">
        <f aca="false">Supuestos!$B$9*POWER(1+Supuestos!$B$10,8)</f>
        <v>18384592.1242016</v>
      </c>
      <c r="CX4" s="18" t="n">
        <f aca="false">Supuestos!$B$9*POWER(1+Supuestos!$B$10,8)</f>
        <v>18384592.1242016</v>
      </c>
      <c r="CY4" s="18" t="n">
        <f aca="false">Supuestos!$B$9*POWER(1+Supuestos!$B$10,8)</f>
        <v>18384592.1242016</v>
      </c>
      <c r="CZ4" s="18" t="n">
        <f aca="false">Supuestos!$B$9*POWER(1+Supuestos!$B$10,8)</f>
        <v>18384592.1242016</v>
      </c>
      <c r="DA4" s="18" t="n">
        <f aca="false">Supuestos!$B$9*POWER(1+Supuestos!$B$10,8)</f>
        <v>18384592.1242016</v>
      </c>
      <c r="DB4" s="18" t="n">
        <f aca="false">Supuestos!$B$9*POWER(1+Supuestos!$B$10,8)</f>
        <v>18384592.1242016</v>
      </c>
      <c r="DC4" s="18" t="n">
        <f aca="false">Supuestos!$B$9*POWER(1+Supuestos!$B$10,8)</f>
        <v>18384592.1242016</v>
      </c>
      <c r="DD4" s="18" t="n">
        <f aca="false">Supuestos!$B$9*POWER(1+Supuestos!$B$10,8)</f>
        <v>18384592.1242016</v>
      </c>
      <c r="DE4" s="18" t="n">
        <f aca="false">Supuestos!$B$9*POWER(1+Supuestos!$B$10,8)</f>
        <v>18384592.1242016</v>
      </c>
      <c r="DF4" s="18" t="n">
        <f aca="false">Supuestos!$B$9*POWER(1+Supuestos!$B$10,9)</f>
        <v>19671513.5728957</v>
      </c>
      <c r="DG4" s="18" t="n">
        <f aca="false">Supuestos!$B$9*POWER(1+Supuestos!$B$10,9)</f>
        <v>19671513.5728957</v>
      </c>
      <c r="DH4" s="18" t="n">
        <f aca="false">Supuestos!$B$9*POWER(1+Supuestos!$B$10,9)</f>
        <v>19671513.5728957</v>
      </c>
      <c r="DI4" s="18" t="n">
        <f aca="false">Supuestos!$B$9*POWER(1+Supuestos!$B$10,9)</f>
        <v>19671513.5728957</v>
      </c>
      <c r="DJ4" s="18" t="n">
        <f aca="false">Supuestos!$B$9*POWER(1+Supuestos!$B$10,9)</f>
        <v>19671513.5728957</v>
      </c>
      <c r="DK4" s="18" t="n">
        <f aca="false">Supuestos!$B$9*POWER(1+Supuestos!$B$10,9)</f>
        <v>19671513.5728957</v>
      </c>
      <c r="DL4" s="18" t="n">
        <f aca="false">Supuestos!$B$9*POWER(1+Supuestos!$B$10,9)</f>
        <v>19671513.5728957</v>
      </c>
      <c r="DM4" s="18" t="n">
        <f aca="false">Supuestos!$B$9*POWER(1+Supuestos!$B$10,9)</f>
        <v>19671513.5728957</v>
      </c>
      <c r="DN4" s="18" t="n">
        <f aca="false">Supuestos!$B$9*POWER(1+Supuestos!$B$10,9)</f>
        <v>19671513.5728957</v>
      </c>
      <c r="DO4" s="18" t="n">
        <f aca="false">Supuestos!$B$9*POWER(1+Supuestos!$B$10,9)</f>
        <v>19671513.5728957</v>
      </c>
      <c r="DP4" s="18" t="n">
        <f aca="false">Supuestos!$B$9*POWER(1+Supuestos!$B$10,9)</f>
        <v>19671513.5728957</v>
      </c>
      <c r="DQ4" s="18" t="n">
        <f aca="false">Supuestos!$B$9*POWER(1+Supuestos!$B$10,9)</f>
        <v>19671513.5728957</v>
      </c>
      <c r="DR4" s="18" t="n">
        <f aca="false">Supuestos!$B$9*POWER(1+Supuestos!$B$10,10)</f>
        <v>21048519.5229984</v>
      </c>
      <c r="DS4" s="18" t="n">
        <f aca="false">Supuestos!$B$9*POWER(1+Supuestos!$B$10,10)</f>
        <v>21048519.5229984</v>
      </c>
      <c r="DT4" s="18" t="n">
        <f aca="false">Supuestos!$B$9*POWER(1+Supuestos!$B$10,10)</f>
        <v>21048519.5229984</v>
      </c>
      <c r="DU4" s="18" t="n">
        <f aca="false">Supuestos!$B$9*POWER(1+Supuestos!$B$10,10)</f>
        <v>21048519.5229984</v>
      </c>
      <c r="DV4" s="18" t="n">
        <f aca="false">Supuestos!$B$9*POWER(1+Supuestos!$B$10,10)</f>
        <v>21048519.5229984</v>
      </c>
      <c r="DW4" s="18" t="n">
        <f aca="false">Supuestos!$B$9*POWER(1+Supuestos!$B$10,10)</f>
        <v>21048519.5229984</v>
      </c>
      <c r="DX4" s="18" t="n">
        <f aca="false">Supuestos!$B$9*POWER(1+Supuestos!$B$10,10)</f>
        <v>21048519.5229984</v>
      </c>
      <c r="DY4" s="18" t="n">
        <f aca="false">Supuestos!$B$9*POWER(1+Supuestos!$B$10,10)</f>
        <v>21048519.5229984</v>
      </c>
      <c r="DZ4" s="18" t="n">
        <f aca="false">Supuestos!$B$9*POWER(1+Supuestos!$B$10,10)</f>
        <v>21048519.5229984</v>
      </c>
      <c r="EA4" s="18" t="n">
        <f aca="false">Supuestos!$B$9*POWER(1+Supuestos!$B$10,10)</f>
        <v>21048519.5229984</v>
      </c>
      <c r="EB4" s="18" t="n">
        <f aca="false">Supuestos!$B$9*POWER(1+Supuestos!$B$10,10)</f>
        <v>21048519.5229984</v>
      </c>
      <c r="EC4" s="18" t="n">
        <f aca="false">Supuestos!$B$9*POWER(1+Supuestos!$B$10,10)</f>
        <v>21048519.5229984</v>
      </c>
      <c r="ED4" s="18" t="n">
        <f aca="false">Supuestos!$B$9*POWER(1+Supuestos!$B$10,11)</f>
        <v>22521915.8896083</v>
      </c>
      <c r="EE4" s="18" t="n">
        <f aca="false">Supuestos!$B$9*POWER(1+Supuestos!$B$10,11)</f>
        <v>22521915.8896083</v>
      </c>
      <c r="EF4" s="18" t="n">
        <f aca="false">Supuestos!$B$9*POWER(1+Supuestos!$B$10,11)</f>
        <v>22521915.8896083</v>
      </c>
      <c r="EG4" s="18" t="n">
        <f aca="false">Supuestos!$B$9*POWER(1+Supuestos!$B$10,11)</f>
        <v>22521915.8896083</v>
      </c>
      <c r="EH4" s="18" t="n">
        <f aca="false">Supuestos!$B$9*POWER(1+Supuestos!$B$10,11)</f>
        <v>22521915.8896083</v>
      </c>
      <c r="EI4" s="18" t="n">
        <f aca="false">Supuestos!$B$9*POWER(1+Supuestos!$B$10,11)</f>
        <v>22521915.8896083</v>
      </c>
      <c r="EJ4" s="18" t="n">
        <f aca="false">Supuestos!$B$9*POWER(1+Supuestos!$B$10,11)</f>
        <v>22521915.8896083</v>
      </c>
      <c r="EK4" s="18" t="n">
        <f aca="false">Supuestos!$B$9*POWER(1+Supuestos!$B$10,11)</f>
        <v>22521915.8896083</v>
      </c>
      <c r="EL4" s="18" t="n">
        <f aca="false">Supuestos!$B$9*POWER(1+Supuestos!$B$10,11)</f>
        <v>22521915.8896083</v>
      </c>
      <c r="EM4" s="18" t="n">
        <f aca="false">Supuestos!$B$9*POWER(1+Supuestos!$B$10,11)</f>
        <v>22521915.8896083</v>
      </c>
      <c r="EN4" s="18" t="n">
        <f aca="false">Supuestos!$B$9*POWER(1+Supuestos!$B$10,11)</f>
        <v>22521915.8896083</v>
      </c>
      <c r="EO4" s="18" t="n">
        <f aca="false">Supuestos!$B$9*POWER(1+Supuestos!$B$10,11)</f>
        <v>22521915.8896083</v>
      </c>
      <c r="EP4" s="18" t="n">
        <f aca="false">Supuestos!$B$9*POWER(1+Supuestos!$B$10,12)</f>
        <v>24098450.0018808</v>
      </c>
      <c r="EQ4" s="18" t="n">
        <f aca="false">Supuestos!$B$9*POWER(1+Supuestos!$B$10,12)</f>
        <v>24098450.0018808</v>
      </c>
      <c r="ER4" s="18" t="n">
        <f aca="false">Supuestos!$B$9*POWER(1+Supuestos!$B$10,12)</f>
        <v>24098450.0018808</v>
      </c>
      <c r="ES4" s="18" t="n">
        <f aca="false">Supuestos!$B$9*POWER(1+Supuestos!$B$10,12)</f>
        <v>24098450.0018808</v>
      </c>
      <c r="ET4" s="18" t="n">
        <f aca="false">Supuestos!$B$9*POWER(1+Supuestos!$B$10,12)</f>
        <v>24098450.0018808</v>
      </c>
      <c r="EU4" s="18" t="n">
        <f aca="false">Supuestos!$B$9*POWER(1+Supuestos!$B$10,12)</f>
        <v>24098450.0018808</v>
      </c>
      <c r="EV4" s="18" t="n">
        <f aca="false">Supuestos!$B$9*POWER(1+Supuestos!$B$10,12)</f>
        <v>24098450.0018808</v>
      </c>
      <c r="EW4" s="18" t="n">
        <f aca="false">Supuestos!$B$9*POWER(1+Supuestos!$B$10,12)</f>
        <v>24098450.0018808</v>
      </c>
      <c r="EX4" s="18" t="n">
        <f aca="false">Supuestos!$B$9*POWER(1+Supuestos!$B$10,12)</f>
        <v>24098450.0018808</v>
      </c>
      <c r="EY4" s="18" t="n">
        <f aca="false">Supuestos!$B$9*POWER(1+Supuestos!$B$10,12)</f>
        <v>24098450.0018808</v>
      </c>
      <c r="EZ4" s="18" t="n">
        <f aca="false">Supuestos!$B$9*POWER(1+Supuestos!$B$10,12)</f>
        <v>24098450.0018808</v>
      </c>
      <c r="FA4" s="18" t="n">
        <f aca="false">Supuestos!$B$9*POWER(1+Supuestos!$B$10,12)</f>
        <v>24098450.0018808</v>
      </c>
      <c r="FB4" s="18" t="n">
        <f aca="false">Supuestos!$B$9*POWER(1+Supuestos!$B$10,13)</f>
        <v>25785341.5020125</v>
      </c>
      <c r="FC4" s="18" t="n">
        <f aca="false">Supuestos!$B$9*POWER(1+Supuestos!$B$10,13)</f>
        <v>25785341.5020125</v>
      </c>
      <c r="FD4" s="18" t="n">
        <f aca="false">Supuestos!$B$9*POWER(1+Supuestos!$B$10,13)</f>
        <v>25785341.5020125</v>
      </c>
      <c r="FE4" s="18" t="n">
        <f aca="false">Supuestos!$B$9*POWER(1+Supuestos!$B$10,13)</f>
        <v>25785341.5020125</v>
      </c>
      <c r="FF4" s="18" t="n">
        <f aca="false">Supuestos!$B$9*POWER(1+Supuestos!$B$10,13)</f>
        <v>25785341.5020125</v>
      </c>
      <c r="FG4" s="18" t="n">
        <f aca="false">Supuestos!$B$9*POWER(1+Supuestos!$B$10,13)</f>
        <v>25785341.5020125</v>
      </c>
      <c r="FH4" s="18" t="n">
        <f aca="false">Supuestos!$B$9*POWER(1+Supuestos!$B$10,13)</f>
        <v>25785341.5020125</v>
      </c>
      <c r="FI4" s="18" t="n">
        <f aca="false">Supuestos!$B$9*POWER(1+Supuestos!$B$10,13)</f>
        <v>25785341.5020125</v>
      </c>
      <c r="FJ4" s="18" t="n">
        <f aca="false">Supuestos!$B$9*POWER(1+Supuestos!$B$10,13)</f>
        <v>25785341.5020125</v>
      </c>
      <c r="FK4" s="18" t="n">
        <f aca="false">Supuestos!$B$9*POWER(1+Supuestos!$B$10,13)</f>
        <v>25785341.5020125</v>
      </c>
      <c r="FL4" s="18" t="n">
        <f aca="false">Supuestos!$B$9*POWER(1+Supuestos!$B$10,13)</f>
        <v>25785341.5020125</v>
      </c>
      <c r="FM4" s="18" t="n">
        <f aca="false">Supuestos!$B$9*POWER(1+Supuestos!$B$10,13)</f>
        <v>25785341.5020125</v>
      </c>
      <c r="FN4" s="18" t="n">
        <f aca="false">Supuestos!$B$9*POWER(1+Supuestos!$B$10,14)</f>
        <v>27590315.4071534</v>
      </c>
      <c r="FO4" s="18" t="n">
        <f aca="false">Supuestos!$B$9*POWER(1+Supuestos!$B$10,14)</f>
        <v>27590315.4071534</v>
      </c>
      <c r="FP4" s="18" t="n">
        <f aca="false">Supuestos!$B$9*POWER(1+Supuestos!$B$10,14)</f>
        <v>27590315.4071534</v>
      </c>
      <c r="FQ4" s="18" t="n">
        <f aca="false">Supuestos!$B$9*POWER(1+Supuestos!$B$10,14)</f>
        <v>27590315.4071534</v>
      </c>
      <c r="FR4" s="18" t="n">
        <f aca="false">Supuestos!$B$9*POWER(1+Supuestos!$B$10,14)</f>
        <v>27590315.4071534</v>
      </c>
      <c r="FS4" s="18" t="n">
        <f aca="false">Supuestos!$B$9*POWER(1+Supuestos!$B$10,14)</f>
        <v>27590315.4071534</v>
      </c>
      <c r="FT4" s="18" t="n">
        <f aca="false">Supuestos!$B$9*POWER(1+Supuestos!$B$10,14)</f>
        <v>27590315.4071534</v>
      </c>
      <c r="FU4" s="18" t="n">
        <f aca="false">Supuestos!$B$9*POWER(1+Supuestos!$B$10,14)</f>
        <v>27590315.4071534</v>
      </c>
      <c r="FV4" s="18" t="n">
        <f aca="false">Supuestos!$B$9*POWER(1+Supuestos!$B$10,14)</f>
        <v>27590315.4071534</v>
      </c>
      <c r="FW4" s="18" t="n">
        <f aca="false">Supuestos!$B$9*POWER(1+Supuestos!$B$10,14)</f>
        <v>27590315.4071534</v>
      </c>
      <c r="FX4" s="18" t="n">
        <f aca="false">Supuestos!$B$9*POWER(1+Supuestos!$B$10,14)</f>
        <v>27590315.4071534</v>
      </c>
      <c r="FY4" s="18" t="n">
        <f aca="false">Supuestos!$B$9*POWER(1+Supuestos!$B$10,14)</f>
        <v>27590315.4071534</v>
      </c>
      <c r="FZ4" s="18" t="n">
        <f aca="false">Supuestos!$B$9*POWER(1+Supuestos!$B$10,15)</f>
        <v>29521637.4856541</v>
      </c>
      <c r="GA4" s="18" t="n">
        <f aca="false">Supuestos!$B$9*POWER(1+Supuestos!$B$10,15)</f>
        <v>29521637.4856541</v>
      </c>
      <c r="GB4" s="18" t="n">
        <f aca="false">Supuestos!$B$9*POWER(1+Supuestos!$B$10,15)</f>
        <v>29521637.4856541</v>
      </c>
      <c r="GC4" s="18" t="n">
        <f aca="false">Supuestos!$B$9*POWER(1+Supuestos!$B$10,15)</f>
        <v>29521637.4856541</v>
      </c>
      <c r="GD4" s="18" t="n">
        <f aca="false">Supuestos!$B$9*POWER(1+Supuestos!$B$10,15)</f>
        <v>29521637.4856541</v>
      </c>
      <c r="GE4" s="18" t="n">
        <f aca="false">Supuestos!$B$9*POWER(1+Supuestos!$B$10,15)</f>
        <v>29521637.4856541</v>
      </c>
      <c r="GF4" s="18" t="n">
        <f aca="false">Supuestos!$B$9*POWER(1+Supuestos!$B$10,15)</f>
        <v>29521637.4856541</v>
      </c>
      <c r="GG4" s="18" t="n">
        <f aca="false">Supuestos!$B$9*POWER(1+Supuestos!$B$10,15)</f>
        <v>29521637.4856541</v>
      </c>
      <c r="GH4" s="18" t="n">
        <f aca="false">Supuestos!$B$9*POWER(1+Supuestos!$B$10,15)</f>
        <v>29521637.4856541</v>
      </c>
      <c r="GI4" s="18" t="n">
        <f aca="false">Supuestos!$B$9*POWER(1+Supuestos!$B$10,15)</f>
        <v>29521637.4856541</v>
      </c>
      <c r="GJ4" s="18" t="n">
        <f aca="false">Supuestos!$B$9*POWER(1+Supuestos!$B$10,15)</f>
        <v>29521637.4856541</v>
      </c>
      <c r="GK4" s="18" t="n">
        <f aca="false">Supuestos!$B$9*POWER(1+Supuestos!$B$10,15)</f>
        <v>29521637.4856541</v>
      </c>
      <c r="GL4" s="18" t="n">
        <f aca="false">Supuestos!$B$9*POWER(1+Supuestos!$B$10,16)</f>
        <v>31588152.1096499</v>
      </c>
      <c r="GM4" s="18" t="n">
        <f aca="false">Supuestos!$B$9*POWER(1+Supuestos!$B$10,16)</f>
        <v>31588152.1096499</v>
      </c>
      <c r="GN4" s="18" t="n">
        <f aca="false">Supuestos!$B$9*POWER(1+Supuestos!$B$10,16)</f>
        <v>31588152.1096499</v>
      </c>
      <c r="GO4" s="18" t="n">
        <f aca="false">Supuestos!$B$9*POWER(1+Supuestos!$B$10,16)</f>
        <v>31588152.1096499</v>
      </c>
      <c r="GP4" s="18" t="n">
        <f aca="false">Supuestos!$B$9*POWER(1+Supuestos!$B$10,16)</f>
        <v>31588152.1096499</v>
      </c>
      <c r="GQ4" s="18" t="n">
        <f aca="false">Supuestos!$B$9*POWER(1+Supuestos!$B$10,16)</f>
        <v>31588152.1096499</v>
      </c>
      <c r="GR4" s="18" t="n">
        <f aca="false">Supuestos!$B$9*POWER(1+Supuestos!$B$10,16)</f>
        <v>31588152.1096499</v>
      </c>
      <c r="GS4" s="18" t="n">
        <f aca="false">Supuestos!$B$9*POWER(1+Supuestos!$B$10,16)</f>
        <v>31588152.1096499</v>
      </c>
      <c r="GT4" s="18" t="n">
        <f aca="false">Supuestos!$B$9*POWER(1+Supuestos!$B$10,16)</f>
        <v>31588152.1096499</v>
      </c>
      <c r="GU4" s="18" t="n">
        <f aca="false">Supuestos!$B$9*POWER(1+Supuestos!$B$10,16)</f>
        <v>31588152.1096499</v>
      </c>
      <c r="GV4" s="18" t="n">
        <f aca="false">Supuestos!$B$9*POWER(1+Supuestos!$B$10,16)</f>
        <v>31588152.1096499</v>
      </c>
      <c r="GW4" s="18" t="n">
        <f aca="false">Supuestos!$B$9*POWER(1+Supuestos!$B$10,16)</f>
        <v>31588152.1096499</v>
      </c>
      <c r="GX4" s="18" t="n">
        <f aca="false">Supuestos!$B$9*POWER(1+Supuestos!$B$10,17)</f>
        <v>33799322.7573254</v>
      </c>
      <c r="GY4" s="18" t="n">
        <f aca="false">Supuestos!$B$9*POWER(1+Supuestos!$B$10,17)</f>
        <v>33799322.7573254</v>
      </c>
      <c r="GZ4" s="18" t="n">
        <f aca="false">Supuestos!$B$9*POWER(1+Supuestos!$B$10,17)</f>
        <v>33799322.7573254</v>
      </c>
      <c r="HA4" s="18" t="n">
        <f aca="false">Supuestos!$B$9*POWER(1+Supuestos!$B$10,17)</f>
        <v>33799322.7573254</v>
      </c>
      <c r="HB4" s="18" t="n">
        <f aca="false">Supuestos!$B$9*POWER(1+Supuestos!$B$10,17)</f>
        <v>33799322.7573254</v>
      </c>
      <c r="HC4" s="18" t="n">
        <f aca="false">Supuestos!$B$9*POWER(1+Supuestos!$B$10,17)</f>
        <v>33799322.7573254</v>
      </c>
      <c r="HD4" s="18" t="n">
        <f aca="false">Supuestos!$B$9*POWER(1+Supuestos!$B$10,17)</f>
        <v>33799322.7573254</v>
      </c>
      <c r="HE4" s="18" t="n">
        <f aca="false">Supuestos!$B$9*POWER(1+Supuestos!$B$10,17)</f>
        <v>33799322.7573254</v>
      </c>
      <c r="HF4" s="18" t="n">
        <f aca="false">Supuestos!$B$9*POWER(1+Supuestos!$B$10,17)</f>
        <v>33799322.7573254</v>
      </c>
      <c r="HG4" s="18" t="n">
        <f aca="false">Supuestos!$B$9*POWER(1+Supuestos!$B$10,17)</f>
        <v>33799322.7573254</v>
      </c>
      <c r="HH4" s="18" t="n">
        <f aca="false">Supuestos!$B$9*POWER(1+Supuestos!$B$10,17)</f>
        <v>33799322.7573254</v>
      </c>
      <c r="HI4" s="18" t="n">
        <f aca="false">Supuestos!$B$9*POWER(1+Supuestos!$B$10,17)</f>
        <v>33799322.7573254</v>
      </c>
      <c r="HJ4" s="18" t="n">
        <f aca="false">Supuestos!$B$9*POWER(1+Supuestos!$B$10,18)</f>
        <v>36165275.3503382</v>
      </c>
      <c r="HK4" s="18" t="n">
        <f aca="false">Supuestos!$B$9*POWER(1+Supuestos!$B$10,18)</f>
        <v>36165275.3503382</v>
      </c>
      <c r="HL4" s="18" t="n">
        <f aca="false">Supuestos!$B$9*POWER(1+Supuestos!$B$10,18)</f>
        <v>36165275.3503382</v>
      </c>
      <c r="HM4" s="18" t="n">
        <f aca="false">Supuestos!$B$9*POWER(1+Supuestos!$B$10,18)</f>
        <v>36165275.3503382</v>
      </c>
      <c r="HN4" s="18" t="n">
        <f aca="false">Supuestos!$B$9*POWER(1+Supuestos!$B$10,18)</f>
        <v>36165275.3503382</v>
      </c>
      <c r="HO4" s="18" t="n">
        <f aca="false">Supuestos!$B$9*POWER(1+Supuestos!$B$10,18)</f>
        <v>36165275.3503382</v>
      </c>
      <c r="HP4" s="18" t="n">
        <f aca="false">Supuestos!$B$9*POWER(1+Supuestos!$B$10,18)</f>
        <v>36165275.3503382</v>
      </c>
      <c r="HQ4" s="18" t="n">
        <f aca="false">Supuestos!$B$9*POWER(1+Supuestos!$B$10,18)</f>
        <v>36165275.3503382</v>
      </c>
      <c r="HR4" s="18" t="n">
        <f aca="false">Supuestos!$B$9*POWER(1+Supuestos!$B$10,18)</f>
        <v>36165275.3503382</v>
      </c>
      <c r="HS4" s="18" t="n">
        <f aca="false">Supuestos!$B$9*POWER(1+Supuestos!$B$10,18)</f>
        <v>36165275.3503382</v>
      </c>
      <c r="HT4" s="18" t="n">
        <f aca="false">Supuestos!$B$9*POWER(1+Supuestos!$B$10,18)</f>
        <v>36165275.3503382</v>
      </c>
      <c r="HU4" s="18" t="n">
        <f aca="false">Supuestos!$B$9*POWER(1+Supuestos!$B$10,18)</f>
        <v>36165275.3503382</v>
      </c>
      <c r="HV4" s="18" t="n">
        <f aca="false">Supuestos!$B$9*POWER(1+Supuestos!$B$10,19)</f>
        <v>38696844.6248618</v>
      </c>
      <c r="HW4" s="18" t="n">
        <f aca="false">Supuestos!$B$9*POWER(1+Supuestos!$B$10,19)</f>
        <v>38696844.6248618</v>
      </c>
      <c r="HX4" s="18" t="n">
        <f aca="false">Supuestos!$B$9*POWER(1+Supuestos!$B$10,19)</f>
        <v>38696844.6248618</v>
      </c>
      <c r="HY4" s="18" t="n">
        <f aca="false">Supuestos!$B$9*POWER(1+Supuestos!$B$10,19)</f>
        <v>38696844.6248618</v>
      </c>
      <c r="HZ4" s="18" t="n">
        <f aca="false">Supuestos!$B$9*POWER(1+Supuestos!$B$10,19)</f>
        <v>38696844.6248618</v>
      </c>
      <c r="IA4" s="18" t="n">
        <f aca="false">Supuestos!$B$9*POWER(1+Supuestos!$B$10,19)</f>
        <v>38696844.6248618</v>
      </c>
      <c r="IB4" s="18" t="n">
        <f aca="false">Supuestos!$B$9*POWER(1+Supuestos!$B$10,19)</f>
        <v>38696844.6248618</v>
      </c>
      <c r="IC4" s="18" t="n">
        <f aca="false">Supuestos!$B$9*POWER(1+Supuestos!$B$10,19)</f>
        <v>38696844.6248618</v>
      </c>
      <c r="ID4" s="18" t="n">
        <f aca="false">Supuestos!$B$9*POWER(1+Supuestos!$B$10,19)</f>
        <v>38696844.6248618</v>
      </c>
      <c r="IE4" s="18" t="n">
        <f aca="false">Supuestos!$B$9*POWER(1+Supuestos!$B$10,19)</f>
        <v>38696844.6248618</v>
      </c>
      <c r="IF4" s="18" t="n">
        <f aca="false">Supuestos!$B$9*POWER(1+Supuestos!$B$10,19)</f>
        <v>38696844.6248618</v>
      </c>
      <c r="IG4" s="18" t="n">
        <f aca="false">Supuestos!$B$9*POWER(1+Supuestos!$B$10,19)</f>
        <v>38696844.6248618</v>
      </c>
      <c r="IH4" s="18" t="n">
        <f aca="false">Supuestos!$B$9*POWER(1+Supuestos!$B$10,20)</f>
        <v>41405623.7486022</v>
      </c>
      <c r="II4" s="18" t="n">
        <f aca="false">Supuestos!$B$9*POWER(1+Supuestos!$B$10,20)</f>
        <v>41405623.7486022</v>
      </c>
      <c r="IJ4" s="18" t="n">
        <f aca="false">Supuestos!$B$9*POWER(1+Supuestos!$B$10,20)</f>
        <v>41405623.7486022</v>
      </c>
      <c r="IK4" s="18" t="n">
        <f aca="false">Supuestos!$B$9*POWER(1+Supuestos!$B$10,20)</f>
        <v>41405623.7486022</v>
      </c>
      <c r="IL4" s="18" t="n">
        <f aca="false">Supuestos!$B$9*POWER(1+Supuestos!$B$10,20)</f>
        <v>41405623.7486022</v>
      </c>
      <c r="IM4" s="18" t="n">
        <f aca="false">Supuestos!$B$9*POWER(1+Supuestos!$B$10,20)</f>
        <v>41405623.7486022</v>
      </c>
      <c r="IN4" s="18" t="n">
        <f aca="false">Supuestos!$B$9*POWER(1+Supuestos!$B$10,20)</f>
        <v>41405623.7486022</v>
      </c>
      <c r="IO4" s="18" t="n">
        <f aca="false">Supuestos!$B$9*POWER(1+Supuestos!$B$10,20)</f>
        <v>41405623.7486022</v>
      </c>
      <c r="IP4" s="18" t="n">
        <f aca="false">Supuestos!$B$9*POWER(1+Supuestos!$B$10,20)</f>
        <v>41405623.7486022</v>
      </c>
      <c r="IQ4" s="18" t="n">
        <f aca="false">Supuestos!$B$9*POWER(1+Supuestos!$B$10,20)</f>
        <v>41405623.7486022</v>
      </c>
      <c r="IR4" s="18" t="n">
        <f aca="false">Supuestos!$B$9*POWER(1+Supuestos!$B$10,20)</f>
        <v>41405623.7486022</v>
      </c>
      <c r="IS4" s="18" t="n">
        <f aca="false">Supuestos!$B$9*POWER(1+Supuestos!$B$10,20)</f>
        <v>41405623.7486022</v>
      </c>
      <c r="IT4" s="18" t="n">
        <f aca="false">Supuestos!$B$9*POWER(1+Supuestos!$B$10,21)</f>
        <v>44304017.4110043</v>
      </c>
      <c r="IU4" s="18" t="n">
        <f aca="false">Supuestos!$B$9*POWER(1+Supuestos!$B$10,21)</f>
        <v>44304017.4110043</v>
      </c>
      <c r="IV4" s="18" t="n">
        <f aca="false">Supuestos!$B$9*POWER(1+Supuestos!$B$10,21)</f>
        <v>44304017.4110043</v>
      </c>
      <c r="IW4" s="18" t="n">
        <f aca="false">Supuestos!$B$9*POWER(1+Supuestos!$B$10,21)</f>
        <v>44304017.4110043</v>
      </c>
      <c r="IX4" s="18" t="n">
        <f aca="false">Supuestos!$B$9*POWER(1+Supuestos!$B$10,21)</f>
        <v>44304017.4110043</v>
      </c>
      <c r="IY4" s="18" t="n">
        <f aca="false">Supuestos!$B$9*POWER(1+Supuestos!$B$10,21)</f>
        <v>44304017.4110043</v>
      </c>
      <c r="IZ4" s="18" t="n">
        <f aca="false">Supuestos!$B$9*POWER(1+Supuestos!$B$10,21)</f>
        <v>44304017.4110043</v>
      </c>
      <c r="JA4" s="18" t="n">
        <f aca="false">Supuestos!$B$9*POWER(1+Supuestos!$B$10,21)</f>
        <v>44304017.4110043</v>
      </c>
      <c r="JB4" s="18" t="n">
        <f aca="false">Supuestos!$B$9*POWER(1+Supuestos!$B$10,21)</f>
        <v>44304017.4110043</v>
      </c>
      <c r="JC4" s="18" t="n">
        <f aca="false">Supuestos!$B$9*POWER(1+Supuestos!$B$10,21)</f>
        <v>44304017.4110043</v>
      </c>
      <c r="JD4" s="18" t="n">
        <f aca="false">Supuestos!$B$9*POWER(1+Supuestos!$B$10,21)</f>
        <v>44304017.4110043</v>
      </c>
      <c r="JE4" s="18" t="n">
        <f aca="false">Supuestos!$B$9*POWER(1+Supuestos!$B$10,21)</f>
        <v>44304017.4110043</v>
      </c>
      <c r="JF4" s="18" t="n">
        <f aca="false">Supuestos!$B$9*POWER(1+Supuestos!$B$10,22)</f>
        <v>47405298.6297746</v>
      </c>
      <c r="JG4" s="18" t="n">
        <f aca="false">Supuestos!$B$9*POWER(1+Supuestos!$B$10,22)</f>
        <v>47405298.6297746</v>
      </c>
      <c r="JH4" s="18" t="n">
        <f aca="false">Supuestos!$B$9*POWER(1+Supuestos!$B$10,22)</f>
        <v>47405298.6297746</v>
      </c>
      <c r="JI4" s="18" t="n">
        <f aca="false">Supuestos!$B$9*POWER(1+Supuestos!$B$10,22)</f>
        <v>47405298.6297746</v>
      </c>
      <c r="JJ4" s="18" t="n">
        <f aca="false">Supuestos!$B$9*POWER(1+Supuestos!$B$10,22)</f>
        <v>47405298.6297746</v>
      </c>
      <c r="JK4" s="18" t="n">
        <f aca="false">Supuestos!$B$9*POWER(1+Supuestos!$B$10,22)</f>
        <v>47405298.6297746</v>
      </c>
      <c r="JL4" s="18" t="n">
        <f aca="false">Supuestos!$B$9*POWER(1+Supuestos!$B$10,22)</f>
        <v>47405298.6297746</v>
      </c>
      <c r="JM4" s="18" t="n">
        <f aca="false">Supuestos!$B$9*POWER(1+Supuestos!$B$10,22)</f>
        <v>47405298.6297746</v>
      </c>
      <c r="JN4" s="18" t="n">
        <f aca="false">Supuestos!$B$9*POWER(1+Supuestos!$B$10,22)</f>
        <v>47405298.6297746</v>
      </c>
      <c r="JO4" s="18" t="n">
        <f aca="false">Supuestos!$B$9*POWER(1+Supuestos!$B$10,22)</f>
        <v>47405298.6297746</v>
      </c>
      <c r="JP4" s="18" t="n">
        <f aca="false">Supuestos!$B$9*POWER(1+Supuestos!$B$10,22)</f>
        <v>47405298.6297746</v>
      </c>
      <c r="JQ4" s="18" t="n">
        <f aca="false">Supuestos!$B$9*POWER(1+Supuestos!$B$10,22)</f>
        <v>47405298.6297746</v>
      </c>
      <c r="JR4" s="18" t="n">
        <f aca="false">Supuestos!$B$9*POWER(1+Supuestos!$B$10,23)</f>
        <v>50723669.5338589</v>
      </c>
      <c r="JS4" s="18" t="n">
        <f aca="false">Supuestos!$B$9*POWER(1+Supuestos!$B$10,23)</f>
        <v>50723669.5338589</v>
      </c>
      <c r="JT4" s="18" t="n">
        <f aca="false">Supuestos!$B$9*POWER(1+Supuestos!$B$10,23)</f>
        <v>50723669.5338589</v>
      </c>
      <c r="JU4" s="18" t="n">
        <f aca="false">Supuestos!$B$9*POWER(1+Supuestos!$B$10,23)</f>
        <v>50723669.5338589</v>
      </c>
      <c r="JV4" s="18" t="n">
        <f aca="false">Supuestos!$B$9*POWER(1+Supuestos!$B$10,23)</f>
        <v>50723669.5338589</v>
      </c>
      <c r="JW4" s="18" t="n">
        <f aca="false">Supuestos!$B$9*POWER(1+Supuestos!$B$10,23)</f>
        <v>50723669.5338589</v>
      </c>
      <c r="JX4" s="18" t="n">
        <f aca="false">Supuestos!$B$9*POWER(1+Supuestos!$B$10,23)</f>
        <v>50723669.5338589</v>
      </c>
      <c r="JY4" s="18" t="n">
        <f aca="false">Supuestos!$B$9*POWER(1+Supuestos!$B$10,23)</f>
        <v>50723669.5338589</v>
      </c>
      <c r="JZ4" s="18" t="n">
        <f aca="false">Supuestos!$B$9*POWER(1+Supuestos!$B$10,23)</f>
        <v>50723669.5338589</v>
      </c>
      <c r="KA4" s="18" t="n">
        <f aca="false">Supuestos!$B$9*POWER(1+Supuestos!$B$10,23)</f>
        <v>50723669.5338589</v>
      </c>
      <c r="KB4" s="18" t="n">
        <f aca="false">Supuestos!$B$9*POWER(1+Supuestos!$B$10,23)</f>
        <v>50723669.5338589</v>
      </c>
      <c r="KC4" s="18" t="n">
        <f aca="false">Supuestos!$B$9*POWER(1+Supuestos!$B$10,23)</f>
        <v>50723669.5338589</v>
      </c>
      <c r="KD4" s="18" t="n">
        <f aca="false">Supuestos!$B$9*POWER(1+Supuestos!$B$10,24)</f>
        <v>54274326.401229</v>
      </c>
      <c r="KE4" s="18" t="n">
        <f aca="false">Supuestos!$B$9*POWER(1+Supuestos!$B$10,24)</f>
        <v>54274326.401229</v>
      </c>
      <c r="KF4" s="18" t="n">
        <f aca="false">Supuestos!$B$9*POWER(1+Supuestos!$B$10,24)</f>
        <v>54274326.401229</v>
      </c>
      <c r="KG4" s="18" t="n">
        <f aca="false">Supuestos!$B$9*POWER(1+Supuestos!$B$10,24)</f>
        <v>54274326.401229</v>
      </c>
      <c r="KH4" s="18" t="n">
        <f aca="false">Supuestos!$B$9*POWER(1+Supuestos!$B$10,24)</f>
        <v>54274326.401229</v>
      </c>
      <c r="KI4" s="18" t="n">
        <f aca="false">Supuestos!$B$9*POWER(1+Supuestos!$B$10,24)</f>
        <v>54274326.401229</v>
      </c>
      <c r="KJ4" s="18" t="n">
        <f aca="false">Supuestos!$B$9*POWER(1+Supuestos!$B$10,24)</f>
        <v>54274326.401229</v>
      </c>
      <c r="KK4" s="18" t="n">
        <f aca="false">Supuestos!$B$9*POWER(1+Supuestos!$B$10,24)</f>
        <v>54274326.401229</v>
      </c>
      <c r="KL4" s="18" t="n">
        <f aca="false">Supuestos!$B$9*POWER(1+Supuestos!$B$10,24)</f>
        <v>54274326.401229</v>
      </c>
      <c r="KM4" s="18" t="n">
        <f aca="false">Supuestos!$B$9*POWER(1+Supuestos!$B$10,24)</f>
        <v>54274326.401229</v>
      </c>
      <c r="KN4" s="18" t="n">
        <f aca="false">Supuestos!$B$9*POWER(1+Supuestos!$B$10,24)</f>
        <v>54274326.401229</v>
      </c>
      <c r="KO4" s="18" t="n">
        <f aca="false">Supuestos!$B$9*POWER(1+Supuestos!$B$10,24)</f>
        <v>54274326.401229</v>
      </c>
    </row>
    <row r="5" customFormat="false" ht="14.25" hidden="false" customHeight="false" outlineLevel="0" collapsed="false">
      <c r="A5" s="0" t="s">
        <v>380</v>
      </c>
      <c r="B5" s="19" t="n">
        <v>0</v>
      </c>
      <c r="C5" s="19" t="n">
        <v>0</v>
      </c>
      <c r="D5" s="19" t="n">
        <v>0</v>
      </c>
      <c r="E5" s="19" t="n">
        <v>0</v>
      </c>
      <c r="F5" s="19" t="n">
        <v>0</v>
      </c>
      <c r="G5" s="19" t="n">
        <v>0</v>
      </c>
      <c r="H5" s="19" t="n">
        <v>0</v>
      </c>
      <c r="I5" s="19" t="n">
        <v>0</v>
      </c>
      <c r="J5" s="19" t="n">
        <v>0</v>
      </c>
      <c r="K5" s="19" t="n">
        <v>0</v>
      </c>
      <c r="L5" s="19" t="n">
        <v>0</v>
      </c>
      <c r="M5" s="19" t="n">
        <v>0</v>
      </c>
      <c r="N5" s="19" t="n">
        <v>0</v>
      </c>
      <c r="O5" s="19" t="n">
        <v>0</v>
      </c>
      <c r="P5" s="19" t="n">
        <v>0</v>
      </c>
      <c r="Q5" s="19" t="n">
        <v>0</v>
      </c>
      <c r="R5" s="19" t="n">
        <v>0</v>
      </c>
      <c r="S5" s="19" t="n">
        <v>0</v>
      </c>
      <c r="T5" s="19" t="n">
        <v>0</v>
      </c>
      <c r="U5" s="19" t="n">
        <v>0</v>
      </c>
      <c r="V5" s="19" t="n">
        <v>0</v>
      </c>
      <c r="W5" s="19" t="n">
        <v>0</v>
      </c>
      <c r="X5" s="19" t="n">
        <v>0</v>
      </c>
      <c r="Y5" s="19" t="n">
        <v>0</v>
      </c>
      <c r="Z5" s="19" t="n">
        <v>0</v>
      </c>
      <c r="AA5" s="19" t="n">
        <v>0</v>
      </c>
      <c r="AB5" s="19" t="n">
        <v>0</v>
      </c>
      <c r="AC5" s="19" t="n">
        <v>0</v>
      </c>
      <c r="AD5" s="19" t="n">
        <v>0</v>
      </c>
      <c r="AE5" s="19" t="n">
        <v>0</v>
      </c>
      <c r="AF5" s="19" t="n">
        <v>0</v>
      </c>
      <c r="AG5" s="19" t="n">
        <v>0</v>
      </c>
      <c r="AH5" s="19" t="n">
        <v>0</v>
      </c>
      <c r="AI5" s="19" t="n">
        <v>0</v>
      </c>
      <c r="AJ5" s="19" t="n">
        <v>0</v>
      </c>
      <c r="AK5" s="19" t="n">
        <v>0</v>
      </c>
      <c r="AL5" s="19" t="n">
        <v>0</v>
      </c>
      <c r="AM5" s="19" t="n">
        <v>0</v>
      </c>
      <c r="AN5" s="19" t="n">
        <v>0</v>
      </c>
      <c r="AO5" s="19" t="n">
        <v>0</v>
      </c>
      <c r="AP5" s="19" t="n">
        <v>0</v>
      </c>
      <c r="AQ5" s="19" t="n">
        <v>0</v>
      </c>
      <c r="AR5" s="19" t="n">
        <v>0</v>
      </c>
      <c r="AS5" s="19" t="n">
        <v>0</v>
      </c>
      <c r="AT5" s="19" t="n">
        <v>0</v>
      </c>
      <c r="AU5" s="19" t="n">
        <v>0</v>
      </c>
      <c r="AV5" s="19" t="n">
        <v>0</v>
      </c>
      <c r="AW5" s="19" t="n">
        <v>0</v>
      </c>
      <c r="AX5" s="19" t="n">
        <v>0</v>
      </c>
      <c r="AY5" s="19" t="n">
        <v>0</v>
      </c>
      <c r="AZ5" s="19" t="n">
        <v>0</v>
      </c>
      <c r="BA5" s="19" t="n">
        <v>0</v>
      </c>
      <c r="BB5" s="19" t="n">
        <v>0</v>
      </c>
      <c r="BC5" s="19" t="n">
        <v>0</v>
      </c>
      <c r="BD5" s="19" t="n">
        <v>0</v>
      </c>
      <c r="BE5" s="19" t="n">
        <v>0</v>
      </c>
      <c r="BF5" s="19" t="n">
        <v>0</v>
      </c>
      <c r="BG5" s="19" t="n">
        <v>0</v>
      </c>
      <c r="BH5" s="19" t="n">
        <v>0</v>
      </c>
      <c r="BI5" s="19" t="n">
        <v>0</v>
      </c>
      <c r="BJ5" s="19" t="n">
        <v>0</v>
      </c>
      <c r="BK5" s="19" t="n">
        <v>0</v>
      </c>
      <c r="BL5" s="19" t="n">
        <v>0</v>
      </c>
      <c r="BM5" s="19" t="n">
        <v>0</v>
      </c>
      <c r="BN5" s="19" t="n">
        <v>0</v>
      </c>
      <c r="BO5" s="19" t="n">
        <v>0</v>
      </c>
      <c r="BP5" s="19" t="n">
        <v>0</v>
      </c>
      <c r="BQ5" s="19" t="n">
        <v>0</v>
      </c>
      <c r="BR5" s="19" t="n">
        <v>0</v>
      </c>
      <c r="BS5" s="19" t="n">
        <v>0</v>
      </c>
      <c r="BT5" s="19" t="n">
        <v>0</v>
      </c>
      <c r="BU5" s="19" t="n">
        <v>0</v>
      </c>
      <c r="BV5" s="19" t="n">
        <v>0</v>
      </c>
      <c r="BW5" s="19" t="n">
        <v>0</v>
      </c>
      <c r="BX5" s="19" t="n">
        <v>0</v>
      </c>
      <c r="BY5" s="19" t="n">
        <v>0</v>
      </c>
      <c r="BZ5" s="19" t="n">
        <v>0</v>
      </c>
      <c r="CA5" s="19" t="n">
        <v>0</v>
      </c>
      <c r="CB5" s="19" t="n">
        <v>0</v>
      </c>
      <c r="CC5" s="19" t="n">
        <v>0</v>
      </c>
      <c r="CD5" s="19" t="n">
        <v>0</v>
      </c>
      <c r="CE5" s="19" t="n">
        <v>0</v>
      </c>
      <c r="CF5" s="19" t="n">
        <v>0</v>
      </c>
      <c r="CG5" s="19" t="n">
        <v>0</v>
      </c>
      <c r="CH5" s="19" t="n">
        <v>0</v>
      </c>
      <c r="CI5" s="19" t="n">
        <v>0</v>
      </c>
      <c r="CJ5" s="19" t="n">
        <v>0</v>
      </c>
      <c r="CK5" s="19" t="n">
        <v>0</v>
      </c>
      <c r="CL5" s="19" t="n">
        <v>0</v>
      </c>
      <c r="CM5" s="19" t="n">
        <v>0</v>
      </c>
      <c r="CN5" s="19" t="n">
        <v>0</v>
      </c>
      <c r="CO5" s="19" t="n">
        <v>0</v>
      </c>
      <c r="CP5" s="19" t="n">
        <v>0</v>
      </c>
      <c r="CQ5" s="19" t="n">
        <v>0</v>
      </c>
      <c r="CR5" s="19" t="n">
        <v>0</v>
      </c>
      <c r="CS5" s="19" t="n">
        <v>0</v>
      </c>
      <c r="CT5" s="19" t="n">
        <v>0</v>
      </c>
      <c r="CU5" s="19" t="n">
        <v>0</v>
      </c>
      <c r="CV5" s="19" t="n">
        <v>0</v>
      </c>
      <c r="CW5" s="19" t="n">
        <v>0</v>
      </c>
      <c r="CX5" s="19" t="n">
        <v>0</v>
      </c>
      <c r="CY5" s="19" t="n">
        <v>0</v>
      </c>
      <c r="CZ5" s="19" t="n">
        <v>0</v>
      </c>
      <c r="DA5" s="19" t="n">
        <v>0</v>
      </c>
      <c r="DB5" s="19" t="n">
        <v>0</v>
      </c>
      <c r="DC5" s="19" t="n">
        <v>0</v>
      </c>
      <c r="DD5" s="19" t="n">
        <v>0</v>
      </c>
      <c r="DE5" s="19" t="n">
        <v>0</v>
      </c>
      <c r="DF5" s="19" t="n">
        <v>0</v>
      </c>
      <c r="DG5" s="19" t="n">
        <v>0</v>
      </c>
      <c r="DH5" s="19" t="n">
        <v>0</v>
      </c>
      <c r="DI5" s="19" t="n">
        <v>0</v>
      </c>
      <c r="DJ5" s="19" t="n">
        <v>0</v>
      </c>
      <c r="DK5" s="19" t="n">
        <v>0</v>
      </c>
      <c r="DL5" s="19" t="n">
        <v>0</v>
      </c>
      <c r="DM5" s="19" t="n">
        <v>0</v>
      </c>
      <c r="DN5" s="19" t="n">
        <v>0</v>
      </c>
      <c r="DO5" s="19" t="n">
        <v>0</v>
      </c>
      <c r="DP5" s="19" t="n">
        <v>0</v>
      </c>
      <c r="DQ5" s="19" t="n">
        <v>0</v>
      </c>
      <c r="DR5" s="19" t="n">
        <v>0</v>
      </c>
      <c r="DS5" s="19" t="n">
        <v>0</v>
      </c>
      <c r="DT5" s="19" t="n">
        <v>0</v>
      </c>
      <c r="DU5" s="19" t="n">
        <v>0</v>
      </c>
      <c r="DV5" s="19" t="n">
        <v>0</v>
      </c>
      <c r="DW5" s="19" t="n">
        <v>0</v>
      </c>
      <c r="DX5" s="19" t="n">
        <v>0</v>
      </c>
      <c r="DY5" s="19" t="n">
        <v>0</v>
      </c>
      <c r="DZ5" s="19" t="n">
        <v>0</v>
      </c>
      <c r="EA5" s="19" t="n">
        <v>0</v>
      </c>
      <c r="EB5" s="19" t="n">
        <v>0</v>
      </c>
      <c r="EC5" s="19" t="n">
        <v>0</v>
      </c>
      <c r="ED5" s="19" t="n">
        <v>0</v>
      </c>
      <c r="EE5" s="19" t="n">
        <v>0</v>
      </c>
      <c r="EF5" s="19" t="n">
        <v>0</v>
      </c>
      <c r="EG5" s="19" t="n">
        <v>0</v>
      </c>
      <c r="EH5" s="19" t="n">
        <v>0</v>
      </c>
      <c r="EI5" s="19" t="n">
        <v>0</v>
      </c>
      <c r="EJ5" s="19" t="n">
        <v>0</v>
      </c>
      <c r="EK5" s="19" t="n">
        <v>0</v>
      </c>
      <c r="EL5" s="19" t="n">
        <v>0</v>
      </c>
      <c r="EM5" s="19" t="n">
        <v>0</v>
      </c>
      <c r="EN5" s="19" t="n">
        <v>0</v>
      </c>
      <c r="EO5" s="19" t="n">
        <v>0</v>
      </c>
      <c r="EP5" s="19" t="n">
        <v>0</v>
      </c>
      <c r="EQ5" s="19" t="n">
        <v>0</v>
      </c>
      <c r="ER5" s="19" t="n">
        <v>0</v>
      </c>
      <c r="ES5" s="19" t="n">
        <v>0</v>
      </c>
      <c r="ET5" s="19" t="n">
        <v>0</v>
      </c>
      <c r="EU5" s="19" t="n">
        <v>0</v>
      </c>
      <c r="EV5" s="19" t="n">
        <v>0</v>
      </c>
      <c r="EW5" s="19" t="n">
        <v>0</v>
      </c>
      <c r="EX5" s="19" t="n">
        <v>0</v>
      </c>
      <c r="EY5" s="19" t="n">
        <v>0</v>
      </c>
      <c r="EZ5" s="19" t="n">
        <v>0</v>
      </c>
      <c r="FA5" s="19" t="n">
        <v>0</v>
      </c>
      <c r="FB5" s="19" t="n">
        <v>0</v>
      </c>
      <c r="FC5" s="19" t="n">
        <v>0</v>
      </c>
      <c r="FD5" s="19" t="n">
        <v>0</v>
      </c>
      <c r="FE5" s="19" t="n">
        <v>0</v>
      </c>
      <c r="FF5" s="19" t="n">
        <v>0</v>
      </c>
      <c r="FG5" s="19" t="n">
        <v>0</v>
      </c>
      <c r="FH5" s="19" t="n">
        <v>0</v>
      </c>
      <c r="FI5" s="19" t="n">
        <v>0</v>
      </c>
      <c r="FJ5" s="19" t="n">
        <v>0</v>
      </c>
      <c r="FK5" s="19" t="n">
        <v>0</v>
      </c>
      <c r="FL5" s="19" t="n">
        <v>0</v>
      </c>
      <c r="FM5" s="19" t="n">
        <v>0</v>
      </c>
      <c r="FN5" s="19" t="n">
        <v>0</v>
      </c>
      <c r="FO5" s="19" t="n">
        <v>0</v>
      </c>
      <c r="FP5" s="19" t="n">
        <v>0</v>
      </c>
      <c r="FQ5" s="19" t="n">
        <v>0</v>
      </c>
      <c r="FR5" s="19" t="n">
        <v>0</v>
      </c>
      <c r="FS5" s="19" t="n">
        <v>0</v>
      </c>
      <c r="FT5" s="19" t="n">
        <v>0</v>
      </c>
      <c r="FU5" s="19" t="n">
        <v>0</v>
      </c>
      <c r="FV5" s="19" t="n">
        <v>0</v>
      </c>
      <c r="FW5" s="19" t="n">
        <v>0</v>
      </c>
      <c r="FX5" s="19" t="n">
        <v>0</v>
      </c>
      <c r="FY5" s="19" t="n">
        <v>0</v>
      </c>
      <c r="FZ5" s="19" t="n">
        <v>0</v>
      </c>
      <c r="GA5" s="19" t="n">
        <v>0</v>
      </c>
      <c r="GB5" s="19" t="n">
        <v>0</v>
      </c>
      <c r="GC5" s="19" t="n">
        <v>0</v>
      </c>
      <c r="GD5" s="19" t="n">
        <v>0</v>
      </c>
      <c r="GE5" s="19" t="n">
        <v>0</v>
      </c>
      <c r="GF5" s="19" t="n">
        <v>0</v>
      </c>
      <c r="GG5" s="19" t="n">
        <v>0</v>
      </c>
      <c r="GH5" s="19" t="n">
        <v>0</v>
      </c>
      <c r="GI5" s="19" t="n">
        <v>0</v>
      </c>
      <c r="GJ5" s="19" t="n">
        <v>0</v>
      </c>
      <c r="GK5" s="19" t="n">
        <v>0</v>
      </c>
      <c r="GL5" s="19" t="n">
        <v>0</v>
      </c>
      <c r="GM5" s="19" t="n">
        <v>0</v>
      </c>
      <c r="GN5" s="19" t="n">
        <v>0</v>
      </c>
      <c r="GO5" s="19" t="n">
        <v>0</v>
      </c>
      <c r="GP5" s="19" t="n">
        <v>0</v>
      </c>
      <c r="GQ5" s="19" t="n">
        <v>0</v>
      </c>
      <c r="GR5" s="19" t="n">
        <v>0</v>
      </c>
      <c r="GS5" s="19" t="n">
        <v>0</v>
      </c>
      <c r="GT5" s="19" t="n">
        <v>0</v>
      </c>
      <c r="GU5" s="19" t="n">
        <v>0</v>
      </c>
      <c r="GV5" s="19" t="n">
        <v>0</v>
      </c>
      <c r="GW5" s="19" t="n">
        <v>0</v>
      </c>
      <c r="GX5" s="19" t="n">
        <v>0</v>
      </c>
      <c r="GY5" s="19" t="n">
        <v>0</v>
      </c>
      <c r="GZ5" s="19" t="n">
        <v>0</v>
      </c>
      <c r="HA5" s="19" t="n">
        <v>0</v>
      </c>
      <c r="HB5" s="19" t="n">
        <v>0</v>
      </c>
      <c r="HC5" s="19" t="n">
        <v>0</v>
      </c>
      <c r="HD5" s="19" t="n">
        <v>0</v>
      </c>
      <c r="HE5" s="19" t="n">
        <v>0</v>
      </c>
      <c r="HF5" s="19" t="n">
        <v>0</v>
      </c>
      <c r="HG5" s="19" t="n">
        <v>0</v>
      </c>
      <c r="HH5" s="19" t="n">
        <v>0</v>
      </c>
      <c r="HI5" s="19" t="n">
        <v>0</v>
      </c>
      <c r="HJ5" s="19" t="n">
        <v>0</v>
      </c>
      <c r="HK5" s="19" t="n">
        <v>0</v>
      </c>
      <c r="HL5" s="19" t="n">
        <v>0</v>
      </c>
      <c r="HM5" s="19" t="n">
        <v>0</v>
      </c>
      <c r="HN5" s="19" t="n">
        <v>0</v>
      </c>
      <c r="HO5" s="19" t="n">
        <v>0</v>
      </c>
      <c r="HP5" s="19" t="n">
        <v>0</v>
      </c>
      <c r="HQ5" s="19" t="n">
        <v>0</v>
      </c>
      <c r="HR5" s="19" t="n">
        <v>0</v>
      </c>
      <c r="HS5" s="19" t="n">
        <v>0</v>
      </c>
      <c r="HT5" s="19" t="n">
        <v>0</v>
      </c>
      <c r="HU5" s="19" t="n">
        <v>0</v>
      </c>
      <c r="HV5" s="19" t="n">
        <v>0</v>
      </c>
      <c r="HW5" s="19" t="n">
        <v>0</v>
      </c>
      <c r="HX5" s="19" t="n">
        <v>0</v>
      </c>
      <c r="HY5" s="19" t="n">
        <v>0</v>
      </c>
      <c r="HZ5" s="19" t="n">
        <v>0</v>
      </c>
      <c r="IA5" s="19" t="n">
        <v>0</v>
      </c>
      <c r="IB5" s="19" t="n">
        <v>0</v>
      </c>
      <c r="IC5" s="19" t="n">
        <v>0</v>
      </c>
      <c r="ID5" s="19" t="n">
        <v>0</v>
      </c>
      <c r="IE5" s="19" t="n">
        <v>0</v>
      </c>
      <c r="IF5" s="19" t="n">
        <v>0</v>
      </c>
      <c r="IG5" s="19" t="n">
        <v>0</v>
      </c>
      <c r="IH5" s="19" t="n">
        <v>0</v>
      </c>
      <c r="II5" s="19" t="n">
        <v>0</v>
      </c>
      <c r="IJ5" s="19" t="n">
        <v>0</v>
      </c>
      <c r="IK5" s="19" t="n">
        <v>0</v>
      </c>
      <c r="IL5" s="19" t="n">
        <v>0</v>
      </c>
      <c r="IM5" s="19" t="n">
        <v>0</v>
      </c>
      <c r="IN5" s="19" t="n">
        <v>0</v>
      </c>
      <c r="IO5" s="19" t="n">
        <v>0</v>
      </c>
      <c r="IP5" s="19" t="n">
        <v>0</v>
      </c>
      <c r="IQ5" s="19" t="n">
        <v>0</v>
      </c>
      <c r="IR5" s="19" t="n">
        <v>0</v>
      </c>
      <c r="IS5" s="19" t="n">
        <v>0</v>
      </c>
      <c r="IT5" s="19" t="n">
        <v>0</v>
      </c>
      <c r="IU5" s="19" t="n">
        <v>0</v>
      </c>
      <c r="IV5" s="19" t="n">
        <v>0</v>
      </c>
      <c r="IW5" s="19" t="n">
        <v>0</v>
      </c>
      <c r="IX5" s="19" t="n">
        <v>0</v>
      </c>
      <c r="IY5" s="19" t="n">
        <v>0</v>
      </c>
      <c r="IZ5" s="19" t="n">
        <v>0</v>
      </c>
      <c r="JA5" s="19" t="n">
        <v>0</v>
      </c>
      <c r="JB5" s="19" t="n">
        <v>0</v>
      </c>
      <c r="JC5" s="19" t="n">
        <v>0</v>
      </c>
      <c r="JD5" s="19" t="n">
        <v>0</v>
      </c>
      <c r="JE5" s="19" t="n">
        <v>0</v>
      </c>
      <c r="JF5" s="19" t="n">
        <v>0</v>
      </c>
      <c r="JG5" s="19" t="n">
        <v>0</v>
      </c>
      <c r="JH5" s="19" t="n">
        <v>0</v>
      </c>
      <c r="JI5" s="19" t="n">
        <v>0</v>
      </c>
      <c r="JJ5" s="19" t="n">
        <v>0</v>
      </c>
      <c r="JK5" s="19" t="n">
        <v>0</v>
      </c>
      <c r="JL5" s="19" t="n">
        <v>0</v>
      </c>
      <c r="JM5" s="19" t="n">
        <v>0</v>
      </c>
      <c r="JN5" s="19" t="n">
        <v>0</v>
      </c>
      <c r="JO5" s="19" t="n">
        <v>0</v>
      </c>
      <c r="JP5" s="19" t="n">
        <v>0</v>
      </c>
      <c r="JQ5" s="19" t="n">
        <v>0</v>
      </c>
      <c r="JR5" s="19" t="n">
        <v>0</v>
      </c>
      <c r="JS5" s="19" t="n">
        <v>0</v>
      </c>
      <c r="JT5" s="19" t="n">
        <v>0</v>
      </c>
      <c r="JU5" s="19" t="n">
        <v>0</v>
      </c>
      <c r="JV5" s="19" t="n">
        <v>0</v>
      </c>
      <c r="JW5" s="19" t="n">
        <v>0</v>
      </c>
      <c r="JX5" s="19" t="n">
        <v>0</v>
      </c>
      <c r="JY5" s="19" t="n">
        <v>0</v>
      </c>
      <c r="JZ5" s="19" t="n">
        <v>0</v>
      </c>
      <c r="KA5" s="19" t="n">
        <v>0</v>
      </c>
      <c r="KB5" s="19" t="n">
        <v>0</v>
      </c>
      <c r="KC5" s="19" t="n">
        <v>0</v>
      </c>
      <c r="KD5" s="19" t="n">
        <v>0</v>
      </c>
      <c r="KE5" s="19" t="n">
        <v>0</v>
      </c>
      <c r="KF5" s="19" t="n">
        <v>0</v>
      </c>
      <c r="KG5" s="19" t="n">
        <v>0</v>
      </c>
      <c r="KH5" s="19" t="n">
        <v>0</v>
      </c>
      <c r="KI5" s="19" t="n">
        <v>0</v>
      </c>
      <c r="KJ5" s="19" t="n">
        <v>0</v>
      </c>
      <c r="KK5" s="19" t="n">
        <v>0</v>
      </c>
      <c r="KL5" s="19" t="n">
        <v>0</v>
      </c>
      <c r="KM5" s="19" t="n">
        <v>0</v>
      </c>
      <c r="KN5" s="19" t="n">
        <v>0</v>
      </c>
      <c r="KO5" s="19" t="n">
        <v>0</v>
      </c>
    </row>
    <row r="6" customFormat="false" ht="14.25" hidden="false" customHeight="false" outlineLevel="0" collapsed="false">
      <c r="A6" s="14" t="s">
        <v>381</v>
      </c>
      <c r="B6" s="18" t="n">
        <f aca="false">B4+B5</f>
        <v>10700000</v>
      </c>
      <c r="C6" s="18" t="n">
        <f aca="false">C4+C5</f>
        <v>10700000</v>
      </c>
      <c r="D6" s="18" t="n">
        <f aca="false">D4+D5</f>
        <v>10700000</v>
      </c>
      <c r="E6" s="18" t="n">
        <f aca="false">E4+E5</f>
        <v>10700000</v>
      </c>
      <c r="F6" s="18" t="n">
        <f aca="false">F4+F5</f>
        <v>10700000</v>
      </c>
      <c r="G6" s="18" t="n">
        <f aca="false">G4+G5</f>
        <v>10700000</v>
      </c>
      <c r="H6" s="18" t="n">
        <f aca="false">H4+H5</f>
        <v>10700000</v>
      </c>
      <c r="I6" s="18" t="n">
        <f aca="false">I4+I5</f>
        <v>10700000</v>
      </c>
      <c r="J6" s="18" t="n">
        <f aca="false">J4+J5</f>
        <v>10700000</v>
      </c>
      <c r="K6" s="18" t="n">
        <f aca="false">K4+K5</f>
        <v>10700000</v>
      </c>
      <c r="L6" s="18" t="n">
        <f aca="false">L4+L5</f>
        <v>10700000</v>
      </c>
      <c r="M6" s="18" t="n">
        <f aca="false">M4+M5</f>
        <v>10700000</v>
      </c>
      <c r="N6" s="18" t="n">
        <f aca="false">N4+N5</f>
        <v>11449000</v>
      </c>
      <c r="O6" s="18" t="n">
        <f aca="false">O4+O5</f>
        <v>11449000</v>
      </c>
      <c r="P6" s="18" t="n">
        <f aca="false">P4+P5</f>
        <v>11449000</v>
      </c>
      <c r="Q6" s="18" t="n">
        <f aca="false">Q4+Q5</f>
        <v>11449000</v>
      </c>
      <c r="R6" s="18" t="n">
        <f aca="false">R4+R5</f>
        <v>11449000</v>
      </c>
      <c r="S6" s="18" t="n">
        <f aca="false">S4+S5</f>
        <v>11449000</v>
      </c>
      <c r="T6" s="18" t="n">
        <f aca="false">T4+T5</f>
        <v>11449000</v>
      </c>
      <c r="U6" s="18" t="n">
        <f aca="false">U4+U5</f>
        <v>11449000</v>
      </c>
      <c r="V6" s="18" t="n">
        <f aca="false">V4+V5</f>
        <v>11449000</v>
      </c>
      <c r="W6" s="18" t="n">
        <f aca="false">W4+W5</f>
        <v>11449000</v>
      </c>
      <c r="X6" s="18" t="n">
        <f aca="false">X4+X5</f>
        <v>11449000</v>
      </c>
      <c r="Y6" s="18" t="n">
        <f aca="false">Y4+Y5</f>
        <v>11449000</v>
      </c>
      <c r="Z6" s="18" t="n">
        <f aca="false">Z4+Z5</f>
        <v>12250430</v>
      </c>
      <c r="AA6" s="18" t="n">
        <f aca="false">AA4+AA5</f>
        <v>12250430</v>
      </c>
      <c r="AB6" s="18" t="n">
        <f aca="false">AB4+AB5</f>
        <v>12250430</v>
      </c>
      <c r="AC6" s="18" t="n">
        <f aca="false">AC4+AC5</f>
        <v>12250430</v>
      </c>
      <c r="AD6" s="18" t="n">
        <f aca="false">AD4+AD5</f>
        <v>12250430</v>
      </c>
      <c r="AE6" s="18" t="n">
        <f aca="false">AE4+AE5</f>
        <v>12250430</v>
      </c>
      <c r="AF6" s="18" t="n">
        <f aca="false">AF4+AF5</f>
        <v>12250430</v>
      </c>
      <c r="AG6" s="18" t="n">
        <f aca="false">AG4+AG5</f>
        <v>12250430</v>
      </c>
      <c r="AH6" s="18" t="n">
        <f aca="false">AH4+AH5</f>
        <v>12250430</v>
      </c>
      <c r="AI6" s="18" t="n">
        <f aca="false">AI4+AI5</f>
        <v>12250430</v>
      </c>
      <c r="AJ6" s="18" t="n">
        <f aca="false">AJ4+AJ5</f>
        <v>12250430</v>
      </c>
      <c r="AK6" s="18" t="n">
        <f aca="false">AK4+AK5</f>
        <v>12250430</v>
      </c>
      <c r="AL6" s="18" t="n">
        <f aca="false">AL4+AL5</f>
        <v>13107960.1</v>
      </c>
      <c r="AM6" s="18" t="n">
        <f aca="false">AM4+AM5</f>
        <v>13107960.1</v>
      </c>
      <c r="AN6" s="18" t="n">
        <f aca="false">AN4+AN5</f>
        <v>13107960.1</v>
      </c>
      <c r="AO6" s="18" t="n">
        <f aca="false">AO4+AO5</f>
        <v>13107960.1</v>
      </c>
      <c r="AP6" s="18" t="n">
        <f aca="false">AP4+AP5</f>
        <v>13107960.1</v>
      </c>
      <c r="AQ6" s="18" t="n">
        <f aca="false">AQ4+AQ5</f>
        <v>13107960.1</v>
      </c>
      <c r="AR6" s="18" t="n">
        <f aca="false">AR4+AR5</f>
        <v>13107960.1</v>
      </c>
      <c r="AS6" s="18" t="n">
        <f aca="false">AS4+AS5</f>
        <v>13107960.1</v>
      </c>
      <c r="AT6" s="18" t="n">
        <f aca="false">AT4+AT5</f>
        <v>13107960.1</v>
      </c>
      <c r="AU6" s="18" t="n">
        <f aca="false">AU4+AU5</f>
        <v>13107960.1</v>
      </c>
      <c r="AV6" s="18" t="n">
        <f aca="false">AV4+AV5</f>
        <v>13107960.1</v>
      </c>
      <c r="AW6" s="18" t="n">
        <f aca="false">AW4+AW5</f>
        <v>13107960.1</v>
      </c>
      <c r="AX6" s="18" t="n">
        <f aca="false">AX4+AX5</f>
        <v>14025517.307</v>
      </c>
      <c r="AY6" s="18" t="n">
        <f aca="false">AY4+AY5</f>
        <v>14025517.307</v>
      </c>
      <c r="AZ6" s="18" t="n">
        <f aca="false">AZ4+AZ5</f>
        <v>14025517.307</v>
      </c>
      <c r="BA6" s="18" t="n">
        <f aca="false">BA4+BA5</f>
        <v>14025517.307</v>
      </c>
      <c r="BB6" s="18" t="n">
        <f aca="false">BB4+BB5</f>
        <v>14025517.307</v>
      </c>
      <c r="BC6" s="18" t="n">
        <f aca="false">BC4+BC5</f>
        <v>14025517.307</v>
      </c>
      <c r="BD6" s="18" t="n">
        <f aca="false">BD4+BD5</f>
        <v>14025517.307</v>
      </c>
      <c r="BE6" s="18" t="n">
        <f aca="false">BE4+BE5</f>
        <v>14025517.307</v>
      </c>
      <c r="BF6" s="18" t="n">
        <f aca="false">BF4+BF5</f>
        <v>14025517.307</v>
      </c>
      <c r="BG6" s="18" t="n">
        <f aca="false">BG4+BG5</f>
        <v>14025517.307</v>
      </c>
      <c r="BH6" s="18" t="n">
        <f aca="false">BH4+BH5</f>
        <v>14025517.307</v>
      </c>
      <c r="BI6" s="18" t="n">
        <f aca="false">BI4+BI5</f>
        <v>14025517.307</v>
      </c>
      <c r="BJ6" s="18" t="n">
        <f aca="false">BJ4+BJ5</f>
        <v>15007303.51849</v>
      </c>
      <c r="BK6" s="18" t="n">
        <f aca="false">BK4+BK5</f>
        <v>15007303.51849</v>
      </c>
      <c r="BL6" s="18" t="n">
        <f aca="false">BL4+BL5</f>
        <v>15007303.51849</v>
      </c>
      <c r="BM6" s="18" t="n">
        <f aca="false">BM4+BM5</f>
        <v>15007303.51849</v>
      </c>
      <c r="BN6" s="18" t="n">
        <f aca="false">BN4+BN5</f>
        <v>15007303.51849</v>
      </c>
      <c r="BO6" s="18" t="n">
        <f aca="false">BO4+BO5</f>
        <v>15007303.51849</v>
      </c>
      <c r="BP6" s="18" t="n">
        <f aca="false">BP4+BP5</f>
        <v>15007303.51849</v>
      </c>
      <c r="BQ6" s="18" t="n">
        <f aca="false">BQ4+BQ5</f>
        <v>15007303.51849</v>
      </c>
      <c r="BR6" s="18" t="n">
        <f aca="false">BR4+BR5</f>
        <v>15007303.51849</v>
      </c>
      <c r="BS6" s="18" t="n">
        <f aca="false">BS4+BS5</f>
        <v>15007303.51849</v>
      </c>
      <c r="BT6" s="18" t="n">
        <f aca="false">BT4+BT5</f>
        <v>15007303.51849</v>
      </c>
      <c r="BU6" s="18" t="n">
        <f aca="false">BU4+BU5</f>
        <v>15007303.51849</v>
      </c>
      <c r="BV6" s="18" t="n">
        <f aca="false">BV4+BV5</f>
        <v>16057814.7647843</v>
      </c>
      <c r="BW6" s="18" t="n">
        <f aca="false">BW4+BW5</f>
        <v>16057814.7647843</v>
      </c>
      <c r="BX6" s="18" t="n">
        <f aca="false">BX4+BX5</f>
        <v>16057814.7647843</v>
      </c>
      <c r="BY6" s="18" t="n">
        <f aca="false">BY4+BY5</f>
        <v>16057814.7647843</v>
      </c>
      <c r="BZ6" s="18" t="n">
        <f aca="false">BZ4+BZ5</f>
        <v>16057814.7647843</v>
      </c>
      <c r="CA6" s="18" t="n">
        <f aca="false">CA4+CA5</f>
        <v>16057814.7647843</v>
      </c>
      <c r="CB6" s="18" t="n">
        <f aca="false">CB4+CB5</f>
        <v>16057814.7647843</v>
      </c>
      <c r="CC6" s="18" t="n">
        <f aca="false">CC4+CC5</f>
        <v>16057814.7647843</v>
      </c>
      <c r="CD6" s="18" t="n">
        <f aca="false">CD4+CD5</f>
        <v>16057814.7647843</v>
      </c>
      <c r="CE6" s="18" t="n">
        <f aca="false">CE4+CE5</f>
        <v>16057814.7647843</v>
      </c>
      <c r="CF6" s="18" t="n">
        <f aca="false">CF4+CF5</f>
        <v>16057814.7647843</v>
      </c>
      <c r="CG6" s="18" t="n">
        <f aca="false">CG4+CG5</f>
        <v>16057814.7647843</v>
      </c>
      <c r="CH6" s="18" t="n">
        <f aca="false">CH4+CH5</f>
        <v>17181861.7983192</v>
      </c>
      <c r="CI6" s="18" t="n">
        <f aca="false">CI4+CI5</f>
        <v>17181861.7983192</v>
      </c>
      <c r="CJ6" s="18" t="n">
        <f aca="false">CJ4+CJ5</f>
        <v>17181861.7983192</v>
      </c>
      <c r="CK6" s="18" t="n">
        <f aca="false">CK4+CK5</f>
        <v>17181861.7983192</v>
      </c>
      <c r="CL6" s="18" t="n">
        <f aca="false">CL4+CL5</f>
        <v>17181861.7983192</v>
      </c>
      <c r="CM6" s="18" t="n">
        <f aca="false">CM4+CM5</f>
        <v>17181861.7983192</v>
      </c>
      <c r="CN6" s="18" t="n">
        <f aca="false">CN4+CN5</f>
        <v>17181861.7983192</v>
      </c>
      <c r="CO6" s="18" t="n">
        <f aca="false">CO4+CO5</f>
        <v>17181861.7983192</v>
      </c>
      <c r="CP6" s="18" t="n">
        <f aca="false">CP4+CP5</f>
        <v>17181861.7983192</v>
      </c>
      <c r="CQ6" s="18" t="n">
        <f aca="false">CQ4+CQ5</f>
        <v>17181861.7983192</v>
      </c>
      <c r="CR6" s="18" t="n">
        <f aca="false">CR4+CR5</f>
        <v>17181861.7983192</v>
      </c>
      <c r="CS6" s="18" t="n">
        <f aca="false">CS4+CS5</f>
        <v>17181861.7983192</v>
      </c>
      <c r="CT6" s="18" t="n">
        <f aca="false">CT4+CT5</f>
        <v>18384592.1242016</v>
      </c>
      <c r="CU6" s="18" t="n">
        <f aca="false">CU4+CU5</f>
        <v>18384592.1242016</v>
      </c>
      <c r="CV6" s="18" t="n">
        <f aca="false">CV4+CV5</f>
        <v>18384592.1242016</v>
      </c>
      <c r="CW6" s="18" t="n">
        <f aca="false">CW4+CW5</f>
        <v>18384592.1242016</v>
      </c>
      <c r="CX6" s="18" t="n">
        <f aca="false">CX4+CX5</f>
        <v>18384592.1242016</v>
      </c>
      <c r="CY6" s="18" t="n">
        <f aca="false">CY4+CY5</f>
        <v>18384592.1242016</v>
      </c>
      <c r="CZ6" s="18" t="n">
        <f aca="false">CZ4+CZ5</f>
        <v>18384592.1242016</v>
      </c>
      <c r="DA6" s="18" t="n">
        <f aca="false">DA4+DA5</f>
        <v>18384592.1242016</v>
      </c>
      <c r="DB6" s="18" t="n">
        <f aca="false">DB4+DB5</f>
        <v>18384592.1242016</v>
      </c>
      <c r="DC6" s="18" t="n">
        <f aca="false">DC4+DC5</f>
        <v>18384592.1242016</v>
      </c>
      <c r="DD6" s="18" t="n">
        <f aca="false">DD4+DD5</f>
        <v>18384592.1242016</v>
      </c>
      <c r="DE6" s="18" t="n">
        <f aca="false">DE4+DE5</f>
        <v>18384592.1242016</v>
      </c>
      <c r="DF6" s="18" t="n">
        <f aca="false">DF4+DF5</f>
        <v>19671513.5728957</v>
      </c>
      <c r="DG6" s="18" t="n">
        <f aca="false">DG4+DG5</f>
        <v>19671513.5728957</v>
      </c>
      <c r="DH6" s="18" t="n">
        <f aca="false">DH4+DH5</f>
        <v>19671513.5728957</v>
      </c>
      <c r="DI6" s="18" t="n">
        <f aca="false">DI4+DI5</f>
        <v>19671513.5728957</v>
      </c>
      <c r="DJ6" s="18" t="n">
        <f aca="false">DJ4+DJ5</f>
        <v>19671513.5728957</v>
      </c>
      <c r="DK6" s="18" t="n">
        <f aca="false">DK4+DK5</f>
        <v>19671513.5728957</v>
      </c>
      <c r="DL6" s="18" t="n">
        <f aca="false">DL4+DL5</f>
        <v>19671513.5728957</v>
      </c>
      <c r="DM6" s="18" t="n">
        <f aca="false">DM4+DM5</f>
        <v>19671513.5728957</v>
      </c>
      <c r="DN6" s="18" t="n">
        <f aca="false">DN4+DN5</f>
        <v>19671513.5728957</v>
      </c>
      <c r="DO6" s="18" t="n">
        <f aca="false">DO4+DO5</f>
        <v>19671513.5728957</v>
      </c>
      <c r="DP6" s="18" t="n">
        <f aca="false">DP4+DP5</f>
        <v>19671513.5728957</v>
      </c>
      <c r="DQ6" s="18" t="n">
        <f aca="false">DQ4+DQ5</f>
        <v>19671513.5728957</v>
      </c>
      <c r="DR6" s="18" t="n">
        <f aca="false">DR4+DR5</f>
        <v>21048519.5229984</v>
      </c>
      <c r="DS6" s="18" t="n">
        <f aca="false">DS4+DS5</f>
        <v>21048519.5229984</v>
      </c>
      <c r="DT6" s="18" t="n">
        <f aca="false">DT4+DT5</f>
        <v>21048519.5229984</v>
      </c>
      <c r="DU6" s="18" t="n">
        <f aca="false">DU4+DU5</f>
        <v>21048519.5229984</v>
      </c>
      <c r="DV6" s="18" t="n">
        <f aca="false">DV4+DV5</f>
        <v>21048519.5229984</v>
      </c>
      <c r="DW6" s="18" t="n">
        <f aca="false">DW4+DW5</f>
        <v>21048519.5229984</v>
      </c>
      <c r="DX6" s="18" t="n">
        <f aca="false">DX4+DX5</f>
        <v>21048519.5229984</v>
      </c>
      <c r="DY6" s="18" t="n">
        <f aca="false">DY4+DY5</f>
        <v>21048519.5229984</v>
      </c>
      <c r="DZ6" s="18" t="n">
        <f aca="false">DZ4+DZ5</f>
        <v>21048519.5229984</v>
      </c>
      <c r="EA6" s="18" t="n">
        <f aca="false">EA4+EA5</f>
        <v>21048519.5229984</v>
      </c>
      <c r="EB6" s="18" t="n">
        <f aca="false">EB4+EB5</f>
        <v>21048519.5229984</v>
      </c>
      <c r="EC6" s="18" t="n">
        <f aca="false">EC4+EC5</f>
        <v>21048519.5229984</v>
      </c>
      <c r="ED6" s="18" t="n">
        <f aca="false">ED4+ED5</f>
        <v>22521915.8896083</v>
      </c>
      <c r="EE6" s="18" t="n">
        <f aca="false">EE4+EE5</f>
        <v>22521915.8896083</v>
      </c>
      <c r="EF6" s="18" t="n">
        <f aca="false">EF4+EF5</f>
        <v>22521915.8896083</v>
      </c>
      <c r="EG6" s="18" t="n">
        <f aca="false">EG4+EG5</f>
        <v>22521915.8896083</v>
      </c>
      <c r="EH6" s="18" t="n">
        <f aca="false">EH4+EH5</f>
        <v>22521915.8896083</v>
      </c>
      <c r="EI6" s="18" t="n">
        <f aca="false">EI4+EI5</f>
        <v>22521915.8896083</v>
      </c>
      <c r="EJ6" s="18" t="n">
        <f aca="false">EJ4+EJ5</f>
        <v>22521915.8896083</v>
      </c>
      <c r="EK6" s="18" t="n">
        <f aca="false">EK4+EK5</f>
        <v>22521915.8896083</v>
      </c>
      <c r="EL6" s="18" t="n">
        <f aca="false">EL4+EL5</f>
        <v>22521915.8896083</v>
      </c>
      <c r="EM6" s="18" t="n">
        <f aca="false">EM4+EM5</f>
        <v>22521915.8896083</v>
      </c>
      <c r="EN6" s="18" t="n">
        <f aca="false">EN4+EN5</f>
        <v>22521915.8896083</v>
      </c>
      <c r="EO6" s="18" t="n">
        <f aca="false">EO4+EO5</f>
        <v>22521915.8896083</v>
      </c>
      <c r="EP6" s="18" t="n">
        <f aca="false">EP4+EP5</f>
        <v>24098450.0018808</v>
      </c>
      <c r="EQ6" s="18" t="n">
        <f aca="false">EQ4+EQ5</f>
        <v>24098450.0018808</v>
      </c>
      <c r="ER6" s="18" t="n">
        <f aca="false">ER4+ER5</f>
        <v>24098450.0018808</v>
      </c>
      <c r="ES6" s="18" t="n">
        <f aca="false">ES4+ES5</f>
        <v>24098450.0018808</v>
      </c>
      <c r="ET6" s="18" t="n">
        <f aca="false">ET4+ET5</f>
        <v>24098450.0018808</v>
      </c>
      <c r="EU6" s="18" t="n">
        <f aca="false">EU4+EU5</f>
        <v>24098450.0018808</v>
      </c>
      <c r="EV6" s="18" t="n">
        <f aca="false">EV4+EV5</f>
        <v>24098450.0018808</v>
      </c>
      <c r="EW6" s="18" t="n">
        <f aca="false">EW4+EW5</f>
        <v>24098450.0018808</v>
      </c>
      <c r="EX6" s="18" t="n">
        <f aca="false">EX4+EX5</f>
        <v>24098450.0018808</v>
      </c>
      <c r="EY6" s="18" t="n">
        <f aca="false">EY4+EY5</f>
        <v>24098450.0018808</v>
      </c>
      <c r="EZ6" s="18" t="n">
        <f aca="false">EZ4+EZ5</f>
        <v>24098450.0018808</v>
      </c>
      <c r="FA6" s="18" t="n">
        <f aca="false">FA4+FA5</f>
        <v>24098450.0018808</v>
      </c>
      <c r="FB6" s="18" t="n">
        <f aca="false">FB4+FB5</f>
        <v>25785341.5020125</v>
      </c>
      <c r="FC6" s="18" t="n">
        <f aca="false">FC4+FC5</f>
        <v>25785341.5020125</v>
      </c>
      <c r="FD6" s="18" t="n">
        <f aca="false">FD4+FD5</f>
        <v>25785341.5020125</v>
      </c>
      <c r="FE6" s="18" t="n">
        <f aca="false">FE4+FE5</f>
        <v>25785341.5020125</v>
      </c>
      <c r="FF6" s="18" t="n">
        <f aca="false">FF4+FF5</f>
        <v>25785341.5020125</v>
      </c>
      <c r="FG6" s="18" t="n">
        <f aca="false">FG4+FG5</f>
        <v>25785341.5020125</v>
      </c>
      <c r="FH6" s="18" t="n">
        <f aca="false">FH4+FH5</f>
        <v>25785341.5020125</v>
      </c>
      <c r="FI6" s="18" t="n">
        <f aca="false">FI4+FI5</f>
        <v>25785341.5020125</v>
      </c>
      <c r="FJ6" s="18" t="n">
        <f aca="false">FJ4+FJ5</f>
        <v>25785341.5020125</v>
      </c>
      <c r="FK6" s="18" t="n">
        <f aca="false">FK4+FK5</f>
        <v>25785341.5020125</v>
      </c>
      <c r="FL6" s="18" t="n">
        <f aca="false">FL4+FL5</f>
        <v>25785341.5020125</v>
      </c>
      <c r="FM6" s="18" t="n">
        <f aca="false">FM4+FM5</f>
        <v>25785341.5020125</v>
      </c>
      <c r="FN6" s="18" t="n">
        <f aca="false">FN4+FN5</f>
        <v>27590315.4071534</v>
      </c>
      <c r="FO6" s="18" t="n">
        <f aca="false">FO4+FO5</f>
        <v>27590315.4071534</v>
      </c>
      <c r="FP6" s="18" t="n">
        <f aca="false">FP4+FP5</f>
        <v>27590315.4071534</v>
      </c>
      <c r="FQ6" s="18" t="n">
        <f aca="false">FQ4+FQ5</f>
        <v>27590315.4071534</v>
      </c>
      <c r="FR6" s="18" t="n">
        <f aca="false">FR4+FR5</f>
        <v>27590315.4071534</v>
      </c>
      <c r="FS6" s="18" t="n">
        <f aca="false">FS4+FS5</f>
        <v>27590315.4071534</v>
      </c>
      <c r="FT6" s="18" t="n">
        <f aca="false">FT4+FT5</f>
        <v>27590315.4071534</v>
      </c>
      <c r="FU6" s="18" t="n">
        <f aca="false">FU4+FU5</f>
        <v>27590315.4071534</v>
      </c>
      <c r="FV6" s="18" t="n">
        <f aca="false">FV4+FV5</f>
        <v>27590315.4071534</v>
      </c>
      <c r="FW6" s="18" t="n">
        <f aca="false">FW4+FW5</f>
        <v>27590315.4071534</v>
      </c>
      <c r="FX6" s="18" t="n">
        <f aca="false">FX4+FX5</f>
        <v>27590315.4071534</v>
      </c>
      <c r="FY6" s="18" t="n">
        <f aca="false">FY4+FY5</f>
        <v>27590315.4071534</v>
      </c>
      <c r="FZ6" s="18" t="n">
        <f aca="false">FZ4+FZ5</f>
        <v>29521637.4856541</v>
      </c>
      <c r="GA6" s="18" t="n">
        <f aca="false">GA4+GA5</f>
        <v>29521637.4856541</v>
      </c>
      <c r="GB6" s="18" t="n">
        <f aca="false">GB4+GB5</f>
        <v>29521637.4856541</v>
      </c>
      <c r="GC6" s="18" t="n">
        <f aca="false">GC4+GC5</f>
        <v>29521637.4856541</v>
      </c>
      <c r="GD6" s="18" t="n">
        <f aca="false">GD4+GD5</f>
        <v>29521637.4856541</v>
      </c>
      <c r="GE6" s="18" t="n">
        <f aca="false">GE4+GE5</f>
        <v>29521637.4856541</v>
      </c>
      <c r="GF6" s="18" t="n">
        <f aca="false">GF4+GF5</f>
        <v>29521637.4856541</v>
      </c>
      <c r="GG6" s="18" t="n">
        <f aca="false">GG4+GG5</f>
        <v>29521637.4856541</v>
      </c>
      <c r="GH6" s="18" t="n">
        <f aca="false">GH4+GH5</f>
        <v>29521637.4856541</v>
      </c>
      <c r="GI6" s="18" t="n">
        <f aca="false">GI4+GI5</f>
        <v>29521637.4856541</v>
      </c>
      <c r="GJ6" s="18" t="n">
        <f aca="false">GJ4+GJ5</f>
        <v>29521637.4856541</v>
      </c>
      <c r="GK6" s="18" t="n">
        <f aca="false">GK4+GK5</f>
        <v>29521637.4856541</v>
      </c>
      <c r="GL6" s="18" t="n">
        <f aca="false">GL4+GL5</f>
        <v>31588152.1096499</v>
      </c>
      <c r="GM6" s="18" t="n">
        <f aca="false">GM4+GM5</f>
        <v>31588152.1096499</v>
      </c>
      <c r="GN6" s="18" t="n">
        <f aca="false">GN4+GN5</f>
        <v>31588152.1096499</v>
      </c>
      <c r="GO6" s="18" t="n">
        <f aca="false">GO4+GO5</f>
        <v>31588152.1096499</v>
      </c>
      <c r="GP6" s="18" t="n">
        <f aca="false">GP4+GP5</f>
        <v>31588152.1096499</v>
      </c>
      <c r="GQ6" s="18" t="n">
        <f aca="false">GQ4+GQ5</f>
        <v>31588152.1096499</v>
      </c>
      <c r="GR6" s="18" t="n">
        <f aca="false">GR4+GR5</f>
        <v>31588152.1096499</v>
      </c>
      <c r="GS6" s="18" t="n">
        <f aca="false">GS4+GS5</f>
        <v>31588152.1096499</v>
      </c>
      <c r="GT6" s="18" t="n">
        <f aca="false">GT4+GT5</f>
        <v>31588152.1096499</v>
      </c>
      <c r="GU6" s="18" t="n">
        <f aca="false">GU4+GU5</f>
        <v>31588152.1096499</v>
      </c>
      <c r="GV6" s="18" t="n">
        <f aca="false">GV4+GV5</f>
        <v>31588152.1096499</v>
      </c>
      <c r="GW6" s="18" t="n">
        <f aca="false">GW4+GW5</f>
        <v>31588152.1096499</v>
      </c>
      <c r="GX6" s="18" t="n">
        <f aca="false">GX4+GX5</f>
        <v>33799322.7573254</v>
      </c>
      <c r="GY6" s="18" t="n">
        <f aca="false">GY4+GY5</f>
        <v>33799322.7573254</v>
      </c>
      <c r="GZ6" s="18" t="n">
        <f aca="false">GZ4+GZ5</f>
        <v>33799322.7573254</v>
      </c>
      <c r="HA6" s="18" t="n">
        <f aca="false">HA4+HA5</f>
        <v>33799322.7573254</v>
      </c>
      <c r="HB6" s="18" t="n">
        <f aca="false">HB4+HB5</f>
        <v>33799322.7573254</v>
      </c>
      <c r="HC6" s="18" t="n">
        <f aca="false">HC4+HC5</f>
        <v>33799322.7573254</v>
      </c>
      <c r="HD6" s="18" t="n">
        <f aca="false">HD4+HD5</f>
        <v>33799322.7573254</v>
      </c>
      <c r="HE6" s="18" t="n">
        <f aca="false">HE4+HE5</f>
        <v>33799322.7573254</v>
      </c>
      <c r="HF6" s="18" t="n">
        <f aca="false">HF4+HF5</f>
        <v>33799322.7573254</v>
      </c>
      <c r="HG6" s="18" t="n">
        <f aca="false">HG4+HG5</f>
        <v>33799322.7573254</v>
      </c>
      <c r="HH6" s="18" t="n">
        <f aca="false">HH4+HH5</f>
        <v>33799322.7573254</v>
      </c>
      <c r="HI6" s="18" t="n">
        <f aca="false">HI4+HI5</f>
        <v>33799322.7573254</v>
      </c>
      <c r="HJ6" s="18" t="n">
        <f aca="false">HJ4+HJ5</f>
        <v>36165275.3503382</v>
      </c>
      <c r="HK6" s="18" t="n">
        <f aca="false">HK4+HK5</f>
        <v>36165275.3503382</v>
      </c>
      <c r="HL6" s="18" t="n">
        <f aca="false">HL4+HL5</f>
        <v>36165275.3503382</v>
      </c>
      <c r="HM6" s="18" t="n">
        <f aca="false">HM4+HM5</f>
        <v>36165275.3503382</v>
      </c>
      <c r="HN6" s="18" t="n">
        <f aca="false">HN4+HN5</f>
        <v>36165275.3503382</v>
      </c>
      <c r="HO6" s="18" t="n">
        <f aca="false">HO4+HO5</f>
        <v>36165275.3503382</v>
      </c>
      <c r="HP6" s="18" t="n">
        <f aca="false">HP4+HP5</f>
        <v>36165275.3503382</v>
      </c>
      <c r="HQ6" s="18" t="n">
        <f aca="false">HQ4+HQ5</f>
        <v>36165275.3503382</v>
      </c>
      <c r="HR6" s="18" t="n">
        <f aca="false">HR4+HR5</f>
        <v>36165275.3503382</v>
      </c>
      <c r="HS6" s="18" t="n">
        <f aca="false">HS4+HS5</f>
        <v>36165275.3503382</v>
      </c>
      <c r="HT6" s="18" t="n">
        <f aca="false">HT4+HT5</f>
        <v>36165275.3503382</v>
      </c>
      <c r="HU6" s="18" t="n">
        <f aca="false">HU4+HU5</f>
        <v>36165275.3503382</v>
      </c>
      <c r="HV6" s="18" t="n">
        <f aca="false">HV4+HV5</f>
        <v>38696844.6248618</v>
      </c>
      <c r="HW6" s="18" t="n">
        <f aca="false">HW4+HW5</f>
        <v>38696844.6248618</v>
      </c>
      <c r="HX6" s="18" t="n">
        <f aca="false">HX4+HX5</f>
        <v>38696844.6248618</v>
      </c>
      <c r="HY6" s="18" t="n">
        <f aca="false">HY4+HY5</f>
        <v>38696844.6248618</v>
      </c>
      <c r="HZ6" s="18" t="n">
        <f aca="false">HZ4+HZ5</f>
        <v>38696844.6248618</v>
      </c>
      <c r="IA6" s="18" t="n">
        <f aca="false">IA4+IA5</f>
        <v>38696844.6248618</v>
      </c>
      <c r="IB6" s="18" t="n">
        <f aca="false">IB4+IB5</f>
        <v>38696844.6248618</v>
      </c>
      <c r="IC6" s="18" t="n">
        <f aca="false">IC4+IC5</f>
        <v>38696844.6248618</v>
      </c>
      <c r="ID6" s="18" t="n">
        <f aca="false">ID4+ID5</f>
        <v>38696844.6248618</v>
      </c>
      <c r="IE6" s="18" t="n">
        <f aca="false">IE4+IE5</f>
        <v>38696844.6248618</v>
      </c>
      <c r="IF6" s="18" t="n">
        <f aca="false">IF4+IF5</f>
        <v>38696844.6248618</v>
      </c>
      <c r="IG6" s="18" t="n">
        <f aca="false">IG4+IG5</f>
        <v>38696844.6248618</v>
      </c>
      <c r="IH6" s="18" t="n">
        <f aca="false">IH4+IH5</f>
        <v>41405623.7486022</v>
      </c>
      <c r="II6" s="18" t="n">
        <f aca="false">II4+II5</f>
        <v>41405623.7486022</v>
      </c>
      <c r="IJ6" s="18" t="n">
        <f aca="false">IJ4+IJ5</f>
        <v>41405623.7486022</v>
      </c>
      <c r="IK6" s="18" t="n">
        <f aca="false">IK4+IK5</f>
        <v>41405623.7486022</v>
      </c>
      <c r="IL6" s="18" t="n">
        <f aca="false">IL4+IL5</f>
        <v>41405623.7486022</v>
      </c>
      <c r="IM6" s="18" t="n">
        <f aca="false">IM4+IM5</f>
        <v>41405623.7486022</v>
      </c>
      <c r="IN6" s="18" t="n">
        <f aca="false">IN4+IN5</f>
        <v>41405623.7486022</v>
      </c>
      <c r="IO6" s="18" t="n">
        <f aca="false">IO4+IO5</f>
        <v>41405623.7486022</v>
      </c>
      <c r="IP6" s="18" t="n">
        <f aca="false">IP4+IP5</f>
        <v>41405623.7486022</v>
      </c>
      <c r="IQ6" s="18" t="n">
        <f aca="false">IQ4+IQ5</f>
        <v>41405623.7486022</v>
      </c>
      <c r="IR6" s="18" t="n">
        <f aca="false">IR4+IR5</f>
        <v>41405623.7486022</v>
      </c>
      <c r="IS6" s="18" t="n">
        <f aca="false">IS4+IS5</f>
        <v>41405623.7486022</v>
      </c>
      <c r="IT6" s="18" t="n">
        <f aca="false">IT4+IT5</f>
        <v>44304017.4110043</v>
      </c>
      <c r="IU6" s="18" t="n">
        <f aca="false">IU4+IU5</f>
        <v>44304017.4110043</v>
      </c>
      <c r="IV6" s="18" t="n">
        <f aca="false">IV4+IV5</f>
        <v>44304017.4110043</v>
      </c>
      <c r="IW6" s="18" t="n">
        <f aca="false">IW4+IW5</f>
        <v>44304017.4110043</v>
      </c>
      <c r="IX6" s="18" t="n">
        <f aca="false">IX4+IX5</f>
        <v>44304017.4110043</v>
      </c>
      <c r="IY6" s="18" t="n">
        <f aca="false">IY4+IY5</f>
        <v>44304017.4110043</v>
      </c>
      <c r="IZ6" s="18" t="n">
        <f aca="false">IZ4+IZ5</f>
        <v>44304017.4110043</v>
      </c>
      <c r="JA6" s="18" t="n">
        <f aca="false">JA4+JA5</f>
        <v>44304017.4110043</v>
      </c>
      <c r="JB6" s="18" t="n">
        <f aca="false">JB4+JB5</f>
        <v>44304017.4110043</v>
      </c>
      <c r="JC6" s="18" t="n">
        <f aca="false">JC4+JC5</f>
        <v>44304017.4110043</v>
      </c>
      <c r="JD6" s="18" t="n">
        <f aca="false">JD4+JD5</f>
        <v>44304017.4110043</v>
      </c>
      <c r="JE6" s="18" t="n">
        <f aca="false">JE4+JE5</f>
        <v>44304017.4110043</v>
      </c>
      <c r="JF6" s="18" t="n">
        <f aca="false">JF4+JF5</f>
        <v>47405298.6297746</v>
      </c>
      <c r="JG6" s="18" t="n">
        <f aca="false">JG4+JG5</f>
        <v>47405298.6297746</v>
      </c>
      <c r="JH6" s="18" t="n">
        <f aca="false">JH4+JH5</f>
        <v>47405298.6297746</v>
      </c>
      <c r="JI6" s="18" t="n">
        <f aca="false">JI4+JI5</f>
        <v>47405298.6297746</v>
      </c>
      <c r="JJ6" s="18" t="n">
        <f aca="false">JJ4+JJ5</f>
        <v>47405298.6297746</v>
      </c>
      <c r="JK6" s="18" t="n">
        <f aca="false">JK4+JK5</f>
        <v>47405298.6297746</v>
      </c>
      <c r="JL6" s="18" t="n">
        <f aca="false">JL4+JL5</f>
        <v>47405298.6297746</v>
      </c>
      <c r="JM6" s="18" t="n">
        <f aca="false">JM4+JM5</f>
        <v>47405298.6297746</v>
      </c>
      <c r="JN6" s="18" t="n">
        <f aca="false">JN4+JN5</f>
        <v>47405298.6297746</v>
      </c>
      <c r="JO6" s="18" t="n">
        <f aca="false">JO4+JO5</f>
        <v>47405298.6297746</v>
      </c>
      <c r="JP6" s="18" t="n">
        <f aca="false">JP4+JP5</f>
        <v>47405298.6297746</v>
      </c>
      <c r="JQ6" s="18" t="n">
        <f aca="false">JQ4+JQ5</f>
        <v>47405298.6297746</v>
      </c>
      <c r="JR6" s="18" t="n">
        <f aca="false">JR4+JR5</f>
        <v>50723669.5338589</v>
      </c>
      <c r="JS6" s="18" t="n">
        <f aca="false">JS4+JS5</f>
        <v>50723669.5338589</v>
      </c>
      <c r="JT6" s="18" t="n">
        <f aca="false">JT4+JT5</f>
        <v>50723669.5338589</v>
      </c>
      <c r="JU6" s="18" t="n">
        <f aca="false">JU4+JU5</f>
        <v>50723669.5338589</v>
      </c>
      <c r="JV6" s="18" t="n">
        <f aca="false">JV4+JV5</f>
        <v>50723669.5338589</v>
      </c>
      <c r="JW6" s="18" t="n">
        <f aca="false">JW4+JW5</f>
        <v>50723669.5338589</v>
      </c>
      <c r="JX6" s="18" t="n">
        <f aca="false">JX4+JX5</f>
        <v>50723669.5338589</v>
      </c>
      <c r="JY6" s="18" t="n">
        <f aca="false">JY4+JY5</f>
        <v>50723669.5338589</v>
      </c>
      <c r="JZ6" s="18" t="n">
        <f aca="false">JZ4+JZ5</f>
        <v>50723669.5338589</v>
      </c>
      <c r="KA6" s="18" t="n">
        <f aca="false">KA4+KA5</f>
        <v>50723669.5338589</v>
      </c>
      <c r="KB6" s="18" t="n">
        <f aca="false">KB4+KB5</f>
        <v>50723669.5338589</v>
      </c>
      <c r="KC6" s="18" t="n">
        <f aca="false">KC4+KC5</f>
        <v>50723669.5338589</v>
      </c>
      <c r="KD6" s="18" t="n">
        <f aca="false">KD4+KD5</f>
        <v>54274326.401229</v>
      </c>
      <c r="KE6" s="18" t="n">
        <f aca="false">KE4+KE5</f>
        <v>54274326.401229</v>
      </c>
      <c r="KF6" s="18" t="n">
        <f aca="false">KF4+KF5</f>
        <v>54274326.401229</v>
      </c>
      <c r="KG6" s="18" t="n">
        <f aca="false">KG4+KG5</f>
        <v>54274326.401229</v>
      </c>
      <c r="KH6" s="18" t="n">
        <f aca="false">KH4+KH5</f>
        <v>54274326.401229</v>
      </c>
      <c r="KI6" s="18" t="n">
        <f aca="false">KI4+KI5</f>
        <v>54274326.401229</v>
      </c>
      <c r="KJ6" s="18" t="n">
        <f aca="false">KJ4+KJ5</f>
        <v>54274326.401229</v>
      </c>
      <c r="KK6" s="18" t="n">
        <f aca="false">KK4+KK5</f>
        <v>54274326.401229</v>
      </c>
      <c r="KL6" s="18" t="n">
        <f aca="false">KL4+KL5</f>
        <v>54274326.401229</v>
      </c>
      <c r="KM6" s="18" t="n">
        <f aca="false">KM4+KM5</f>
        <v>54274326.401229</v>
      </c>
      <c r="KN6" s="18" t="n">
        <f aca="false">KN4+KN5</f>
        <v>54274326.401229</v>
      </c>
      <c r="KO6" s="18" t="n">
        <f aca="false">KO4+KO5</f>
        <v>54274326.401229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O1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B25" activeCellId="0" sqref="B25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301" min="2" style="0" width="12"/>
  </cols>
  <sheetData>
    <row r="1" customFormat="false" ht="18" hidden="false" customHeight="true" outlineLevel="0" collapsed="false">
      <c r="A1" s="13" t="s">
        <v>382</v>
      </c>
    </row>
    <row r="3" customFormat="false" ht="14.25" hidden="false" customHeight="false" outlineLevel="0" collapsed="false">
      <c r="A3" s="16" t="s">
        <v>78</v>
      </c>
      <c r="B3" s="17" t="s">
        <v>79</v>
      </c>
      <c r="C3" s="17" t="s">
        <v>80</v>
      </c>
      <c r="D3" s="17" t="s">
        <v>81</v>
      </c>
      <c r="E3" s="17" t="s">
        <v>82</v>
      </c>
      <c r="F3" s="17" t="s">
        <v>83</v>
      </c>
      <c r="G3" s="17" t="s">
        <v>84</v>
      </c>
      <c r="H3" s="17" t="s">
        <v>85</v>
      </c>
      <c r="I3" s="17" t="s">
        <v>86</v>
      </c>
      <c r="J3" s="17" t="s">
        <v>87</v>
      </c>
      <c r="K3" s="17" t="s">
        <v>88</v>
      </c>
      <c r="L3" s="17" t="s">
        <v>89</v>
      </c>
      <c r="M3" s="17" t="s">
        <v>90</v>
      </c>
      <c r="N3" s="17" t="s">
        <v>91</v>
      </c>
      <c r="O3" s="17" t="s">
        <v>92</v>
      </c>
      <c r="P3" s="17" t="s">
        <v>93</v>
      </c>
      <c r="Q3" s="17" t="s">
        <v>94</v>
      </c>
      <c r="R3" s="17" t="s">
        <v>95</v>
      </c>
      <c r="S3" s="17" t="s">
        <v>96</v>
      </c>
      <c r="T3" s="17" t="s">
        <v>97</v>
      </c>
      <c r="U3" s="17" t="s">
        <v>98</v>
      </c>
      <c r="V3" s="17" t="s">
        <v>99</v>
      </c>
      <c r="W3" s="17" t="s">
        <v>100</v>
      </c>
      <c r="X3" s="17" t="s">
        <v>101</v>
      </c>
      <c r="Y3" s="17" t="s">
        <v>102</v>
      </c>
      <c r="Z3" s="17" t="s">
        <v>103</v>
      </c>
      <c r="AA3" s="17" t="s">
        <v>104</v>
      </c>
      <c r="AB3" s="17" t="s">
        <v>105</v>
      </c>
      <c r="AC3" s="17" t="s">
        <v>106</v>
      </c>
      <c r="AD3" s="17" t="s">
        <v>107</v>
      </c>
      <c r="AE3" s="17" t="s">
        <v>108</v>
      </c>
      <c r="AF3" s="17" t="s">
        <v>109</v>
      </c>
      <c r="AG3" s="17" t="s">
        <v>110</v>
      </c>
      <c r="AH3" s="17" t="s">
        <v>111</v>
      </c>
      <c r="AI3" s="17" t="s">
        <v>112</v>
      </c>
      <c r="AJ3" s="17" t="s">
        <v>113</v>
      </c>
      <c r="AK3" s="17" t="s">
        <v>114</v>
      </c>
      <c r="AL3" s="17" t="s">
        <v>115</v>
      </c>
      <c r="AM3" s="17" t="s">
        <v>116</v>
      </c>
      <c r="AN3" s="17" t="s">
        <v>117</v>
      </c>
      <c r="AO3" s="17" t="s">
        <v>118</v>
      </c>
      <c r="AP3" s="17" t="s">
        <v>119</v>
      </c>
      <c r="AQ3" s="17" t="s">
        <v>120</v>
      </c>
      <c r="AR3" s="17" t="s">
        <v>121</v>
      </c>
      <c r="AS3" s="17" t="s">
        <v>122</v>
      </c>
      <c r="AT3" s="17" t="s">
        <v>123</v>
      </c>
      <c r="AU3" s="17" t="s">
        <v>124</v>
      </c>
      <c r="AV3" s="17" t="s">
        <v>125</v>
      </c>
      <c r="AW3" s="17" t="s">
        <v>126</v>
      </c>
      <c r="AX3" s="17" t="s">
        <v>127</v>
      </c>
      <c r="AY3" s="17" t="s">
        <v>128</v>
      </c>
      <c r="AZ3" s="17" t="s">
        <v>129</v>
      </c>
      <c r="BA3" s="17" t="s">
        <v>130</v>
      </c>
      <c r="BB3" s="17" t="s">
        <v>131</v>
      </c>
      <c r="BC3" s="17" t="s">
        <v>132</v>
      </c>
      <c r="BD3" s="17" t="s">
        <v>133</v>
      </c>
      <c r="BE3" s="17" t="s">
        <v>134</v>
      </c>
      <c r="BF3" s="17" t="s">
        <v>135</v>
      </c>
      <c r="BG3" s="17" t="s">
        <v>136</v>
      </c>
      <c r="BH3" s="17" t="s">
        <v>137</v>
      </c>
      <c r="BI3" s="17" t="s">
        <v>138</v>
      </c>
      <c r="BJ3" s="17" t="s">
        <v>139</v>
      </c>
      <c r="BK3" s="17" t="s">
        <v>140</v>
      </c>
      <c r="BL3" s="17" t="s">
        <v>141</v>
      </c>
      <c r="BM3" s="17" t="s">
        <v>142</v>
      </c>
      <c r="BN3" s="17" t="s">
        <v>143</v>
      </c>
      <c r="BO3" s="17" t="s">
        <v>144</v>
      </c>
      <c r="BP3" s="17" t="s">
        <v>145</v>
      </c>
      <c r="BQ3" s="17" t="s">
        <v>146</v>
      </c>
      <c r="BR3" s="17" t="s">
        <v>147</v>
      </c>
      <c r="BS3" s="17" t="s">
        <v>148</v>
      </c>
      <c r="BT3" s="17" t="s">
        <v>149</v>
      </c>
      <c r="BU3" s="17" t="s">
        <v>150</v>
      </c>
      <c r="BV3" s="17" t="s">
        <v>151</v>
      </c>
      <c r="BW3" s="17" t="s">
        <v>152</v>
      </c>
      <c r="BX3" s="17" t="s">
        <v>153</v>
      </c>
      <c r="BY3" s="17" t="s">
        <v>154</v>
      </c>
      <c r="BZ3" s="17" t="s">
        <v>155</v>
      </c>
      <c r="CA3" s="17" t="s">
        <v>156</v>
      </c>
      <c r="CB3" s="17" t="s">
        <v>157</v>
      </c>
      <c r="CC3" s="17" t="s">
        <v>158</v>
      </c>
      <c r="CD3" s="17" t="s">
        <v>159</v>
      </c>
      <c r="CE3" s="17" t="s">
        <v>160</v>
      </c>
      <c r="CF3" s="17" t="s">
        <v>161</v>
      </c>
      <c r="CG3" s="17" t="s">
        <v>162</v>
      </c>
      <c r="CH3" s="17" t="s">
        <v>163</v>
      </c>
      <c r="CI3" s="17" t="s">
        <v>164</v>
      </c>
      <c r="CJ3" s="17" t="s">
        <v>165</v>
      </c>
      <c r="CK3" s="17" t="s">
        <v>166</v>
      </c>
      <c r="CL3" s="17" t="s">
        <v>167</v>
      </c>
      <c r="CM3" s="17" t="s">
        <v>168</v>
      </c>
      <c r="CN3" s="17" t="s">
        <v>169</v>
      </c>
      <c r="CO3" s="17" t="s">
        <v>170</v>
      </c>
      <c r="CP3" s="17" t="s">
        <v>171</v>
      </c>
      <c r="CQ3" s="17" t="s">
        <v>172</v>
      </c>
      <c r="CR3" s="17" t="s">
        <v>173</v>
      </c>
      <c r="CS3" s="17" t="s">
        <v>174</v>
      </c>
      <c r="CT3" s="17" t="s">
        <v>175</v>
      </c>
      <c r="CU3" s="17" t="s">
        <v>176</v>
      </c>
      <c r="CV3" s="17" t="s">
        <v>177</v>
      </c>
      <c r="CW3" s="17" t="s">
        <v>178</v>
      </c>
      <c r="CX3" s="17" t="s">
        <v>179</v>
      </c>
      <c r="CY3" s="17" t="s">
        <v>180</v>
      </c>
      <c r="CZ3" s="17" t="s">
        <v>181</v>
      </c>
      <c r="DA3" s="17" t="s">
        <v>182</v>
      </c>
      <c r="DB3" s="17" t="s">
        <v>183</v>
      </c>
      <c r="DC3" s="17" t="s">
        <v>184</v>
      </c>
      <c r="DD3" s="17" t="s">
        <v>185</v>
      </c>
      <c r="DE3" s="17" t="s">
        <v>186</v>
      </c>
      <c r="DF3" s="17" t="s">
        <v>187</v>
      </c>
      <c r="DG3" s="17" t="s">
        <v>188</v>
      </c>
      <c r="DH3" s="17" t="s">
        <v>189</v>
      </c>
      <c r="DI3" s="17" t="s">
        <v>190</v>
      </c>
      <c r="DJ3" s="17" t="s">
        <v>191</v>
      </c>
      <c r="DK3" s="17" t="s">
        <v>192</v>
      </c>
      <c r="DL3" s="17" t="s">
        <v>193</v>
      </c>
      <c r="DM3" s="17" t="s">
        <v>194</v>
      </c>
      <c r="DN3" s="17" t="s">
        <v>195</v>
      </c>
      <c r="DO3" s="17" t="s">
        <v>196</v>
      </c>
      <c r="DP3" s="17" t="s">
        <v>197</v>
      </c>
      <c r="DQ3" s="17" t="s">
        <v>198</v>
      </c>
      <c r="DR3" s="17" t="s">
        <v>199</v>
      </c>
      <c r="DS3" s="17" t="s">
        <v>200</v>
      </c>
      <c r="DT3" s="17" t="s">
        <v>201</v>
      </c>
      <c r="DU3" s="17" t="s">
        <v>202</v>
      </c>
      <c r="DV3" s="17" t="s">
        <v>203</v>
      </c>
      <c r="DW3" s="17" t="s">
        <v>204</v>
      </c>
      <c r="DX3" s="17" t="s">
        <v>205</v>
      </c>
      <c r="DY3" s="17" t="s">
        <v>206</v>
      </c>
      <c r="DZ3" s="17" t="s">
        <v>207</v>
      </c>
      <c r="EA3" s="17" t="s">
        <v>208</v>
      </c>
      <c r="EB3" s="17" t="s">
        <v>209</v>
      </c>
      <c r="EC3" s="17" t="s">
        <v>210</v>
      </c>
      <c r="ED3" s="17" t="s">
        <v>211</v>
      </c>
      <c r="EE3" s="17" t="s">
        <v>212</v>
      </c>
      <c r="EF3" s="17" t="s">
        <v>213</v>
      </c>
      <c r="EG3" s="17" t="s">
        <v>214</v>
      </c>
      <c r="EH3" s="17" t="s">
        <v>215</v>
      </c>
      <c r="EI3" s="17" t="s">
        <v>216</v>
      </c>
      <c r="EJ3" s="17" t="s">
        <v>217</v>
      </c>
      <c r="EK3" s="17" t="s">
        <v>218</v>
      </c>
      <c r="EL3" s="17" t="s">
        <v>219</v>
      </c>
      <c r="EM3" s="17" t="s">
        <v>220</v>
      </c>
      <c r="EN3" s="17" t="s">
        <v>221</v>
      </c>
      <c r="EO3" s="17" t="s">
        <v>222</v>
      </c>
      <c r="EP3" s="17" t="s">
        <v>223</v>
      </c>
      <c r="EQ3" s="17" t="s">
        <v>224</v>
      </c>
      <c r="ER3" s="17" t="s">
        <v>225</v>
      </c>
      <c r="ES3" s="17" t="s">
        <v>226</v>
      </c>
      <c r="ET3" s="17" t="s">
        <v>227</v>
      </c>
      <c r="EU3" s="17" t="s">
        <v>228</v>
      </c>
      <c r="EV3" s="17" t="s">
        <v>229</v>
      </c>
      <c r="EW3" s="17" t="s">
        <v>230</v>
      </c>
      <c r="EX3" s="17" t="s">
        <v>231</v>
      </c>
      <c r="EY3" s="17" t="s">
        <v>232</v>
      </c>
      <c r="EZ3" s="17" t="s">
        <v>233</v>
      </c>
      <c r="FA3" s="17" t="s">
        <v>234</v>
      </c>
      <c r="FB3" s="17" t="s">
        <v>235</v>
      </c>
      <c r="FC3" s="17" t="s">
        <v>236</v>
      </c>
      <c r="FD3" s="17" t="s">
        <v>237</v>
      </c>
      <c r="FE3" s="17" t="s">
        <v>238</v>
      </c>
      <c r="FF3" s="17" t="s">
        <v>239</v>
      </c>
      <c r="FG3" s="17" t="s">
        <v>240</v>
      </c>
      <c r="FH3" s="17" t="s">
        <v>241</v>
      </c>
      <c r="FI3" s="17" t="s">
        <v>242</v>
      </c>
      <c r="FJ3" s="17" t="s">
        <v>243</v>
      </c>
      <c r="FK3" s="17" t="s">
        <v>244</v>
      </c>
      <c r="FL3" s="17" t="s">
        <v>245</v>
      </c>
      <c r="FM3" s="17" t="s">
        <v>246</v>
      </c>
      <c r="FN3" s="17" t="s">
        <v>247</v>
      </c>
      <c r="FO3" s="17" t="s">
        <v>248</v>
      </c>
      <c r="FP3" s="17" t="s">
        <v>249</v>
      </c>
      <c r="FQ3" s="17" t="s">
        <v>250</v>
      </c>
      <c r="FR3" s="17" t="s">
        <v>251</v>
      </c>
      <c r="FS3" s="17" t="s">
        <v>252</v>
      </c>
      <c r="FT3" s="17" t="s">
        <v>253</v>
      </c>
      <c r="FU3" s="17" t="s">
        <v>254</v>
      </c>
      <c r="FV3" s="17" t="s">
        <v>255</v>
      </c>
      <c r="FW3" s="17" t="s">
        <v>256</v>
      </c>
      <c r="FX3" s="17" t="s">
        <v>257</v>
      </c>
      <c r="FY3" s="17" t="s">
        <v>258</v>
      </c>
      <c r="FZ3" s="17" t="s">
        <v>259</v>
      </c>
      <c r="GA3" s="17" t="s">
        <v>260</v>
      </c>
      <c r="GB3" s="17" t="s">
        <v>261</v>
      </c>
      <c r="GC3" s="17" t="s">
        <v>262</v>
      </c>
      <c r="GD3" s="17" t="s">
        <v>263</v>
      </c>
      <c r="GE3" s="17" t="s">
        <v>264</v>
      </c>
      <c r="GF3" s="17" t="s">
        <v>265</v>
      </c>
      <c r="GG3" s="17" t="s">
        <v>266</v>
      </c>
      <c r="GH3" s="17" t="s">
        <v>267</v>
      </c>
      <c r="GI3" s="17" t="s">
        <v>268</v>
      </c>
      <c r="GJ3" s="17" t="s">
        <v>269</v>
      </c>
      <c r="GK3" s="17" t="s">
        <v>270</v>
      </c>
      <c r="GL3" s="17" t="s">
        <v>271</v>
      </c>
      <c r="GM3" s="17" t="s">
        <v>272</v>
      </c>
      <c r="GN3" s="17" t="s">
        <v>273</v>
      </c>
      <c r="GO3" s="17" t="s">
        <v>274</v>
      </c>
      <c r="GP3" s="17" t="s">
        <v>275</v>
      </c>
      <c r="GQ3" s="17" t="s">
        <v>276</v>
      </c>
      <c r="GR3" s="17" t="s">
        <v>277</v>
      </c>
      <c r="GS3" s="17" t="s">
        <v>278</v>
      </c>
      <c r="GT3" s="17" t="s">
        <v>279</v>
      </c>
      <c r="GU3" s="17" t="s">
        <v>280</v>
      </c>
      <c r="GV3" s="17" t="s">
        <v>281</v>
      </c>
      <c r="GW3" s="17" t="s">
        <v>282</v>
      </c>
      <c r="GX3" s="17" t="s">
        <v>283</v>
      </c>
      <c r="GY3" s="17" t="s">
        <v>284</v>
      </c>
      <c r="GZ3" s="17" t="s">
        <v>285</v>
      </c>
      <c r="HA3" s="17" t="s">
        <v>286</v>
      </c>
      <c r="HB3" s="17" t="s">
        <v>287</v>
      </c>
      <c r="HC3" s="17" t="s">
        <v>288</v>
      </c>
      <c r="HD3" s="17" t="s">
        <v>289</v>
      </c>
      <c r="HE3" s="17" t="s">
        <v>290</v>
      </c>
      <c r="HF3" s="17" t="s">
        <v>291</v>
      </c>
      <c r="HG3" s="17" t="s">
        <v>292</v>
      </c>
      <c r="HH3" s="17" t="s">
        <v>293</v>
      </c>
      <c r="HI3" s="17" t="s">
        <v>294</v>
      </c>
      <c r="HJ3" s="17" t="s">
        <v>295</v>
      </c>
      <c r="HK3" s="17" t="s">
        <v>296</v>
      </c>
      <c r="HL3" s="17" t="s">
        <v>297</v>
      </c>
      <c r="HM3" s="17" t="s">
        <v>298</v>
      </c>
      <c r="HN3" s="17" t="s">
        <v>299</v>
      </c>
      <c r="HO3" s="17" t="s">
        <v>300</v>
      </c>
      <c r="HP3" s="17" t="s">
        <v>301</v>
      </c>
      <c r="HQ3" s="17" t="s">
        <v>302</v>
      </c>
      <c r="HR3" s="17" t="s">
        <v>303</v>
      </c>
      <c r="HS3" s="17" t="s">
        <v>304</v>
      </c>
      <c r="HT3" s="17" t="s">
        <v>305</v>
      </c>
      <c r="HU3" s="17" t="s">
        <v>306</v>
      </c>
      <c r="HV3" s="17" t="s">
        <v>307</v>
      </c>
      <c r="HW3" s="17" t="s">
        <v>308</v>
      </c>
      <c r="HX3" s="17" t="s">
        <v>309</v>
      </c>
      <c r="HY3" s="17" t="s">
        <v>310</v>
      </c>
      <c r="HZ3" s="17" t="s">
        <v>311</v>
      </c>
      <c r="IA3" s="17" t="s">
        <v>312</v>
      </c>
      <c r="IB3" s="17" t="s">
        <v>313</v>
      </c>
      <c r="IC3" s="17" t="s">
        <v>314</v>
      </c>
      <c r="ID3" s="17" t="s">
        <v>315</v>
      </c>
      <c r="IE3" s="17" t="s">
        <v>316</v>
      </c>
      <c r="IF3" s="17" t="s">
        <v>317</v>
      </c>
      <c r="IG3" s="17" t="s">
        <v>318</v>
      </c>
      <c r="IH3" s="17" t="s">
        <v>319</v>
      </c>
      <c r="II3" s="17" t="s">
        <v>320</v>
      </c>
      <c r="IJ3" s="17" t="s">
        <v>321</v>
      </c>
      <c r="IK3" s="17" t="s">
        <v>322</v>
      </c>
      <c r="IL3" s="17" t="s">
        <v>323</v>
      </c>
      <c r="IM3" s="17" t="s">
        <v>324</v>
      </c>
      <c r="IN3" s="17" t="s">
        <v>325</v>
      </c>
      <c r="IO3" s="17" t="s">
        <v>326</v>
      </c>
      <c r="IP3" s="17" t="s">
        <v>327</v>
      </c>
      <c r="IQ3" s="17" t="s">
        <v>328</v>
      </c>
      <c r="IR3" s="17" t="s">
        <v>329</v>
      </c>
      <c r="IS3" s="17" t="s">
        <v>330</v>
      </c>
      <c r="IT3" s="17" t="s">
        <v>331</v>
      </c>
      <c r="IU3" s="17" t="s">
        <v>332</v>
      </c>
      <c r="IV3" s="17" t="s">
        <v>333</v>
      </c>
      <c r="IW3" s="17" t="s">
        <v>334</v>
      </c>
      <c r="IX3" s="17" t="s">
        <v>335</v>
      </c>
      <c r="IY3" s="17" t="s">
        <v>336</v>
      </c>
      <c r="IZ3" s="17" t="s">
        <v>337</v>
      </c>
      <c r="JA3" s="17" t="s">
        <v>338</v>
      </c>
      <c r="JB3" s="17" t="s">
        <v>339</v>
      </c>
      <c r="JC3" s="17" t="s">
        <v>340</v>
      </c>
      <c r="JD3" s="17" t="s">
        <v>341</v>
      </c>
      <c r="JE3" s="17" t="s">
        <v>342</v>
      </c>
      <c r="JF3" s="17" t="s">
        <v>343</v>
      </c>
      <c r="JG3" s="17" t="s">
        <v>344</v>
      </c>
      <c r="JH3" s="17" t="s">
        <v>345</v>
      </c>
      <c r="JI3" s="17" t="s">
        <v>346</v>
      </c>
      <c r="JJ3" s="17" t="s">
        <v>347</v>
      </c>
      <c r="JK3" s="17" t="s">
        <v>348</v>
      </c>
      <c r="JL3" s="17" t="s">
        <v>349</v>
      </c>
      <c r="JM3" s="17" t="s">
        <v>350</v>
      </c>
      <c r="JN3" s="17" t="s">
        <v>351</v>
      </c>
      <c r="JO3" s="17" t="s">
        <v>352</v>
      </c>
      <c r="JP3" s="17" t="s">
        <v>353</v>
      </c>
      <c r="JQ3" s="17" t="s">
        <v>354</v>
      </c>
      <c r="JR3" s="17" t="s">
        <v>355</v>
      </c>
      <c r="JS3" s="17" t="s">
        <v>356</v>
      </c>
      <c r="JT3" s="17" t="s">
        <v>357</v>
      </c>
      <c r="JU3" s="17" t="s">
        <v>358</v>
      </c>
      <c r="JV3" s="17" t="s">
        <v>359</v>
      </c>
      <c r="JW3" s="17" t="s">
        <v>360</v>
      </c>
      <c r="JX3" s="17" t="s">
        <v>361</v>
      </c>
      <c r="JY3" s="17" t="s">
        <v>362</v>
      </c>
      <c r="JZ3" s="17" t="s">
        <v>363</v>
      </c>
      <c r="KA3" s="17" t="s">
        <v>364</v>
      </c>
      <c r="KB3" s="17" t="s">
        <v>365</v>
      </c>
      <c r="KC3" s="17" t="s">
        <v>366</v>
      </c>
      <c r="KD3" s="17" t="s">
        <v>367</v>
      </c>
      <c r="KE3" s="17" t="s">
        <v>368</v>
      </c>
      <c r="KF3" s="17" t="s">
        <v>369</v>
      </c>
      <c r="KG3" s="17" t="s">
        <v>370</v>
      </c>
      <c r="KH3" s="17" t="s">
        <v>371</v>
      </c>
      <c r="KI3" s="17" t="s">
        <v>372</v>
      </c>
      <c r="KJ3" s="17" t="s">
        <v>373</v>
      </c>
      <c r="KK3" s="17" t="s">
        <v>374</v>
      </c>
      <c r="KL3" s="17" t="s">
        <v>375</v>
      </c>
      <c r="KM3" s="17" t="s">
        <v>376</v>
      </c>
      <c r="KN3" s="17" t="s">
        <v>377</v>
      </c>
      <c r="KO3" s="17" t="s">
        <v>378</v>
      </c>
    </row>
    <row r="4" s="21" customFormat="true" ht="14.25" hidden="false" customHeight="false" outlineLevel="0" collapsed="false">
      <c r="A4" s="20" t="s">
        <v>59</v>
      </c>
    </row>
    <row r="5" s="21" customFormat="true" ht="14.25" hidden="false" customHeight="false" outlineLevel="0" collapsed="false">
      <c r="A5" s="21" t="s">
        <v>383</v>
      </c>
      <c r="B5" s="18" t="n">
        <f aca="false">Ingresos!B6*Supuestos!$B$13</f>
        <v>3959000</v>
      </c>
      <c r="C5" s="18" t="n">
        <f aca="false">Ingresos!C6*Supuestos!$B$13</f>
        <v>3959000</v>
      </c>
      <c r="D5" s="18" t="n">
        <f aca="false">Ingresos!D6*Supuestos!$B$13</f>
        <v>3959000</v>
      </c>
      <c r="E5" s="18" t="n">
        <f aca="false">Ingresos!E6*Supuestos!$B$13</f>
        <v>3959000</v>
      </c>
      <c r="F5" s="18" t="n">
        <f aca="false">Ingresos!F6*Supuestos!$B$13</f>
        <v>3959000</v>
      </c>
      <c r="G5" s="18" t="n">
        <f aca="false">Ingresos!G6*Supuestos!$B$13</f>
        <v>3959000</v>
      </c>
      <c r="H5" s="18" t="n">
        <f aca="false">Ingresos!H6*Supuestos!$B$13</f>
        <v>3959000</v>
      </c>
      <c r="I5" s="18" t="n">
        <f aca="false">Ingresos!I6*Supuestos!$B$13</f>
        <v>3959000</v>
      </c>
      <c r="J5" s="18" t="n">
        <f aca="false">Ingresos!J6*Supuestos!$B$13</f>
        <v>3959000</v>
      </c>
      <c r="K5" s="18" t="n">
        <f aca="false">Ingresos!K6*Supuestos!$B$13</f>
        <v>3959000</v>
      </c>
      <c r="L5" s="18" t="n">
        <f aca="false">Ingresos!L6*Supuestos!$B$13</f>
        <v>3959000</v>
      </c>
      <c r="M5" s="18" t="n">
        <f aca="false">Ingresos!M6*Supuestos!$B$13</f>
        <v>3959000</v>
      </c>
      <c r="N5" s="18" t="n">
        <f aca="false">Ingresos!N6*Supuestos!$B$13</f>
        <v>4236130</v>
      </c>
      <c r="O5" s="18" t="n">
        <f aca="false">Ingresos!O6*Supuestos!$B$13</f>
        <v>4236130</v>
      </c>
      <c r="P5" s="18" t="n">
        <f aca="false">Ingresos!P6*Supuestos!$B$13</f>
        <v>4236130</v>
      </c>
      <c r="Q5" s="18" t="n">
        <f aca="false">Ingresos!Q6*Supuestos!$B$13</f>
        <v>4236130</v>
      </c>
      <c r="R5" s="18" t="n">
        <f aca="false">Ingresos!R6*Supuestos!$B$13</f>
        <v>4236130</v>
      </c>
      <c r="S5" s="18" t="n">
        <f aca="false">Ingresos!S6*Supuestos!$B$13</f>
        <v>4236130</v>
      </c>
      <c r="T5" s="18" t="n">
        <f aca="false">Ingresos!T6*Supuestos!$B$13</f>
        <v>4236130</v>
      </c>
      <c r="U5" s="18" t="n">
        <f aca="false">Ingresos!U6*Supuestos!$B$13</f>
        <v>4236130</v>
      </c>
      <c r="V5" s="18" t="n">
        <f aca="false">Ingresos!V6*Supuestos!$B$13</f>
        <v>4236130</v>
      </c>
      <c r="W5" s="18" t="n">
        <f aca="false">Ingresos!W6*Supuestos!$B$13</f>
        <v>4236130</v>
      </c>
      <c r="X5" s="18" t="n">
        <f aca="false">Ingresos!X6*Supuestos!$B$13</f>
        <v>4236130</v>
      </c>
      <c r="Y5" s="18" t="n">
        <f aca="false">Ingresos!Y6*Supuestos!$B$13</f>
        <v>4236130</v>
      </c>
      <c r="Z5" s="18" t="n">
        <f aca="false">Ingresos!Z6*Supuestos!$B$13</f>
        <v>4532659.1</v>
      </c>
      <c r="AA5" s="18" t="n">
        <f aca="false">Ingresos!AA6*Supuestos!$B$13</f>
        <v>4532659.1</v>
      </c>
      <c r="AB5" s="18" t="n">
        <f aca="false">Ingresos!AB6*Supuestos!$B$13</f>
        <v>4532659.1</v>
      </c>
      <c r="AC5" s="18" t="n">
        <f aca="false">Ingresos!AC6*Supuestos!$B$13</f>
        <v>4532659.1</v>
      </c>
      <c r="AD5" s="18" t="n">
        <f aca="false">Ingresos!AD6*Supuestos!$B$13</f>
        <v>4532659.1</v>
      </c>
      <c r="AE5" s="18" t="n">
        <f aca="false">Ingresos!AE6*Supuestos!$B$13</f>
        <v>4532659.1</v>
      </c>
      <c r="AF5" s="18" t="n">
        <f aca="false">Ingresos!AF6*Supuestos!$B$13</f>
        <v>4532659.1</v>
      </c>
      <c r="AG5" s="18" t="n">
        <f aca="false">Ingresos!AG6*Supuestos!$B$13</f>
        <v>4532659.1</v>
      </c>
      <c r="AH5" s="18" t="n">
        <f aca="false">Ingresos!AH6*Supuestos!$B$13</f>
        <v>4532659.1</v>
      </c>
      <c r="AI5" s="18" t="n">
        <f aca="false">Ingresos!AI6*Supuestos!$B$13</f>
        <v>4532659.1</v>
      </c>
      <c r="AJ5" s="18" t="n">
        <f aca="false">Ingresos!AJ6*Supuestos!$B$13</f>
        <v>4532659.1</v>
      </c>
      <c r="AK5" s="18" t="n">
        <f aca="false">Ingresos!AK6*Supuestos!$B$13</f>
        <v>4532659.1</v>
      </c>
      <c r="AL5" s="18" t="n">
        <f aca="false">Ingresos!AL6*Supuestos!$B$13</f>
        <v>4849945.237</v>
      </c>
      <c r="AM5" s="18" t="n">
        <f aca="false">Ingresos!AM6*Supuestos!$B$13</f>
        <v>4849945.237</v>
      </c>
      <c r="AN5" s="18" t="n">
        <f aca="false">Ingresos!AN6*Supuestos!$B$13</f>
        <v>4849945.237</v>
      </c>
      <c r="AO5" s="18" t="n">
        <f aca="false">Ingresos!AO6*Supuestos!$B$13</f>
        <v>4849945.237</v>
      </c>
      <c r="AP5" s="18" t="n">
        <f aca="false">Ingresos!AP6*Supuestos!$B$13</f>
        <v>4849945.237</v>
      </c>
      <c r="AQ5" s="18" t="n">
        <f aca="false">Ingresos!AQ6*Supuestos!$B$13</f>
        <v>4849945.237</v>
      </c>
      <c r="AR5" s="18" t="n">
        <f aca="false">Ingresos!AR6*Supuestos!$B$13</f>
        <v>4849945.237</v>
      </c>
      <c r="AS5" s="18" t="n">
        <f aca="false">Ingresos!AS6*Supuestos!$B$13</f>
        <v>4849945.237</v>
      </c>
      <c r="AT5" s="18" t="n">
        <f aca="false">Ingresos!AT6*Supuestos!$B$13</f>
        <v>4849945.237</v>
      </c>
      <c r="AU5" s="18" t="n">
        <f aca="false">Ingresos!AU6*Supuestos!$B$13</f>
        <v>4849945.237</v>
      </c>
      <c r="AV5" s="18" t="n">
        <f aca="false">Ingresos!AV6*Supuestos!$B$13</f>
        <v>4849945.237</v>
      </c>
      <c r="AW5" s="18" t="n">
        <f aca="false">Ingresos!AW6*Supuestos!$B$13</f>
        <v>4849945.237</v>
      </c>
      <c r="AX5" s="18" t="n">
        <f aca="false">Ingresos!AX6*Supuestos!$B$13</f>
        <v>5189441.40359</v>
      </c>
      <c r="AY5" s="18" t="n">
        <f aca="false">Ingresos!AY6*Supuestos!$B$13</f>
        <v>5189441.40359</v>
      </c>
      <c r="AZ5" s="18" t="n">
        <f aca="false">Ingresos!AZ6*Supuestos!$B$13</f>
        <v>5189441.40359</v>
      </c>
      <c r="BA5" s="18" t="n">
        <f aca="false">Ingresos!BA6*Supuestos!$B$13</f>
        <v>5189441.40359</v>
      </c>
      <c r="BB5" s="18" t="n">
        <f aca="false">Ingresos!BB6*Supuestos!$B$13</f>
        <v>5189441.40359</v>
      </c>
      <c r="BC5" s="18" t="n">
        <f aca="false">Ingresos!BC6*Supuestos!$B$13</f>
        <v>5189441.40359</v>
      </c>
      <c r="BD5" s="18" t="n">
        <f aca="false">Ingresos!BD6*Supuestos!$B$13</f>
        <v>5189441.40359</v>
      </c>
      <c r="BE5" s="18" t="n">
        <f aca="false">Ingresos!BE6*Supuestos!$B$13</f>
        <v>5189441.40359</v>
      </c>
      <c r="BF5" s="18" t="n">
        <f aca="false">Ingresos!BF6*Supuestos!$B$13</f>
        <v>5189441.40359</v>
      </c>
      <c r="BG5" s="18" t="n">
        <f aca="false">Ingresos!BG6*Supuestos!$B$13</f>
        <v>5189441.40359</v>
      </c>
      <c r="BH5" s="18" t="n">
        <f aca="false">Ingresos!BH6*Supuestos!$B$13</f>
        <v>5189441.40359</v>
      </c>
      <c r="BI5" s="18" t="n">
        <f aca="false">Ingresos!BI6*Supuestos!$B$13</f>
        <v>5189441.40359</v>
      </c>
      <c r="BJ5" s="18" t="n">
        <f aca="false">Ingresos!BJ6*Supuestos!$B$13</f>
        <v>5552702.3018413</v>
      </c>
      <c r="BK5" s="18" t="n">
        <f aca="false">Ingresos!BK6*Supuestos!$B$13</f>
        <v>5552702.3018413</v>
      </c>
      <c r="BL5" s="18" t="n">
        <f aca="false">Ingresos!BL6*Supuestos!$B$13</f>
        <v>5552702.3018413</v>
      </c>
      <c r="BM5" s="18" t="n">
        <f aca="false">Ingresos!BM6*Supuestos!$B$13</f>
        <v>5552702.3018413</v>
      </c>
      <c r="BN5" s="18" t="n">
        <f aca="false">Ingresos!BN6*Supuestos!$B$13</f>
        <v>5552702.3018413</v>
      </c>
      <c r="BO5" s="18" t="n">
        <f aca="false">Ingresos!BO6*Supuestos!$B$13</f>
        <v>5552702.3018413</v>
      </c>
      <c r="BP5" s="18" t="n">
        <f aca="false">Ingresos!BP6*Supuestos!$B$13</f>
        <v>5552702.3018413</v>
      </c>
      <c r="BQ5" s="18" t="n">
        <f aca="false">Ingresos!BQ6*Supuestos!$B$13</f>
        <v>5552702.3018413</v>
      </c>
      <c r="BR5" s="18" t="n">
        <f aca="false">Ingresos!BR6*Supuestos!$B$13</f>
        <v>5552702.3018413</v>
      </c>
      <c r="BS5" s="18" t="n">
        <f aca="false">Ingresos!BS6*Supuestos!$B$13</f>
        <v>5552702.3018413</v>
      </c>
      <c r="BT5" s="18" t="n">
        <f aca="false">Ingresos!BT6*Supuestos!$B$13</f>
        <v>5552702.3018413</v>
      </c>
      <c r="BU5" s="18" t="n">
        <f aca="false">Ingresos!BU6*Supuestos!$B$13</f>
        <v>5552702.3018413</v>
      </c>
      <c r="BV5" s="18" t="n">
        <f aca="false">Ingresos!BV6*Supuestos!$B$13</f>
        <v>5941391.46297019</v>
      </c>
      <c r="BW5" s="18" t="n">
        <f aca="false">Ingresos!BW6*Supuestos!$B$13</f>
        <v>5941391.46297019</v>
      </c>
      <c r="BX5" s="18" t="n">
        <f aca="false">Ingresos!BX6*Supuestos!$B$13</f>
        <v>5941391.46297019</v>
      </c>
      <c r="BY5" s="18" t="n">
        <f aca="false">Ingresos!BY6*Supuestos!$B$13</f>
        <v>5941391.46297019</v>
      </c>
      <c r="BZ5" s="18" t="n">
        <f aca="false">Ingresos!BZ6*Supuestos!$B$13</f>
        <v>5941391.46297019</v>
      </c>
      <c r="CA5" s="18" t="n">
        <f aca="false">Ingresos!CA6*Supuestos!$B$13</f>
        <v>5941391.46297019</v>
      </c>
      <c r="CB5" s="18" t="n">
        <f aca="false">Ingresos!CB6*Supuestos!$B$13</f>
        <v>5941391.46297019</v>
      </c>
      <c r="CC5" s="18" t="n">
        <f aca="false">Ingresos!CC6*Supuestos!$B$13</f>
        <v>5941391.46297019</v>
      </c>
      <c r="CD5" s="18" t="n">
        <f aca="false">Ingresos!CD6*Supuestos!$B$13</f>
        <v>5941391.46297019</v>
      </c>
      <c r="CE5" s="18" t="n">
        <f aca="false">Ingresos!CE6*Supuestos!$B$13</f>
        <v>5941391.46297019</v>
      </c>
      <c r="CF5" s="18" t="n">
        <f aca="false">Ingresos!CF6*Supuestos!$B$13</f>
        <v>5941391.46297019</v>
      </c>
      <c r="CG5" s="18" t="n">
        <f aca="false">Ingresos!CG6*Supuestos!$B$13</f>
        <v>5941391.46297019</v>
      </c>
      <c r="CH5" s="18" t="n">
        <f aca="false">Ingresos!CH6*Supuestos!$B$13</f>
        <v>6357288.86537811</v>
      </c>
      <c r="CI5" s="18" t="n">
        <f aca="false">Ingresos!CI6*Supuestos!$B$13</f>
        <v>6357288.86537811</v>
      </c>
      <c r="CJ5" s="18" t="n">
        <f aca="false">Ingresos!CJ6*Supuestos!$B$13</f>
        <v>6357288.86537811</v>
      </c>
      <c r="CK5" s="18" t="n">
        <f aca="false">Ingresos!CK6*Supuestos!$B$13</f>
        <v>6357288.86537811</v>
      </c>
      <c r="CL5" s="18" t="n">
        <f aca="false">Ingresos!CL6*Supuestos!$B$13</f>
        <v>6357288.86537811</v>
      </c>
      <c r="CM5" s="18" t="n">
        <f aca="false">Ingresos!CM6*Supuestos!$B$13</f>
        <v>6357288.86537811</v>
      </c>
      <c r="CN5" s="18" t="n">
        <f aca="false">Ingresos!CN6*Supuestos!$B$13</f>
        <v>6357288.86537811</v>
      </c>
      <c r="CO5" s="18" t="n">
        <f aca="false">Ingresos!CO6*Supuestos!$B$13</f>
        <v>6357288.86537811</v>
      </c>
      <c r="CP5" s="18" t="n">
        <f aca="false">Ingresos!CP6*Supuestos!$B$13</f>
        <v>6357288.86537811</v>
      </c>
      <c r="CQ5" s="18" t="n">
        <f aca="false">Ingresos!CQ6*Supuestos!$B$13</f>
        <v>6357288.86537811</v>
      </c>
      <c r="CR5" s="18" t="n">
        <f aca="false">Ingresos!CR6*Supuestos!$B$13</f>
        <v>6357288.86537811</v>
      </c>
      <c r="CS5" s="18" t="n">
        <f aca="false">Ingresos!CS6*Supuestos!$B$13</f>
        <v>6357288.86537811</v>
      </c>
      <c r="CT5" s="18" t="n">
        <f aca="false">Ingresos!CT6*Supuestos!$B$13</f>
        <v>6802299.08595458</v>
      </c>
      <c r="CU5" s="18" t="n">
        <f aca="false">Ingresos!CU6*Supuestos!$B$13</f>
        <v>6802299.08595458</v>
      </c>
      <c r="CV5" s="18" t="n">
        <f aca="false">Ingresos!CV6*Supuestos!$B$13</f>
        <v>6802299.08595458</v>
      </c>
      <c r="CW5" s="18" t="n">
        <f aca="false">Ingresos!CW6*Supuestos!$B$13</f>
        <v>6802299.08595458</v>
      </c>
      <c r="CX5" s="18" t="n">
        <f aca="false">Ingresos!CX6*Supuestos!$B$13</f>
        <v>6802299.08595458</v>
      </c>
      <c r="CY5" s="18" t="n">
        <f aca="false">Ingresos!CY6*Supuestos!$B$13</f>
        <v>6802299.08595458</v>
      </c>
      <c r="CZ5" s="18" t="n">
        <f aca="false">Ingresos!CZ6*Supuestos!$B$13</f>
        <v>6802299.08595458</v>
      </c>
      <c r="DA5" s="18" t="n">
        <f aca="false">Ingresos!DA6*Supuestos!$B$13</f>
        <v>6802299.08595458</v>
      </c>
      <c r="DB5" s="18" t="n">
        <f aca="false">Ingresos!DB6*Supuestos!$B$13</f>
        <v>6802299.08595458</v>
      </c>
      <c r="DC5" s="18" t="n">
        <f aca="false">Ingresos!DC6*Supuestos!$B$13</f>
        <v>6802299.08595458</v>
      </c>
      <c r="DD5" s="18" t="n">
        <f aca="false">Ingresos!DD6*Supuestos!$B$13</f>
        <v>6802299.08595458</v>
      </c>
      <c r="DE5" s="18" t="n">
        <f aca="false">Ingresos!DE6*Supuestos!$B$13</f>
        <v>6802299.08595458</v>
      </c>
      <c r="DF5" s="18" t="n">
        <f aca="false">Ingresos!DF6*Supuestos!$B$13</f>
        <v>7278460.0219714</v>
      </c>
      <c r="DG5" s="18" t="n">
        <f aca="false">Ingresos!DG6*Supuestos!$B$13</f>
        <v>7278460.0219714</v>
      </c>
      <c r="DH5" s="18" t="n">
        <f aca="false">Ingresos!DH6*Supuestos!$B$13</f>
        <v>7278460.0219714</v>
      </c>
      <c r="DI5" s="18" t="n">
        <f aca="false">Ingresos!DI6*Supuestos!$B$13</f>
        <v>7278460.0219714</v>
      </c>
      <c r="DJ5" s="18" t="n">
        <f aca="false">Ingresos!DJ6*Supuestos!$B$13</f>
        <v>7278460.0219714</v>
      </c>
      <c r="DK5" s="18" t="n">
        <f aca="false">Ingresos!DK6*Supuestos!$B$13</f>
        <v>7278460.0219714</v>
      </c>
      <c r="DL5" s="18" t="n">
        <f aca="false">Ingresos!DL6*Supuestos!$B$13</f>
        <v>7278460.0219714</v>
      </c>
      <c r="DM5" s="18" t="n">
        <f aca="false">Ingresos!DM6*Supuestos!$B$13</f>
        <v>7278460.0219714</v>
      </c>
      <c r="DN5" s="18" t="n">
        <f aca="false">Ingresos!DN6*Supuestos!$B$13</f>
        <v>7278460.0219714</v>
      </c>
      <c r="DO5" s="18" t="n">
        <f aca="false">Ingresos!DO6*Supuestos!$B$13</f>
        <v>7278460.0219714</v>
      </c>
      <c r="DP5" s="18" t="n">
        <f aca="false">Ingresos!DP6*Supuestos!$B$13</f>
        <v>7278460.0219714</v>
      </c>
      <c r="DQ5" s="18" t="n">
        <f aca="false">Ingresos!DQ6*Supuestos!$B$13</f>
        <v>7278460.0219714</v>
      </c>
      <c r="DR5" s="18" t="n">
        <f aca="false">Ingresos!DR6*Supuestos!$B$13</f>
        <v>7787952.2235094</v>
      </c>
      <c r="DS5" s="18" t="n">
        <f aca="false">Ingresos!DS6*Supuestos!$B$13</f>
        <v>7787952.2235094</v>
      </c>
      <c r="DT5" s="18" t="n">
        <f aca="false">Ingresos!DT6*Supuestos!$B$13</f>
        <v>7787952.2235094</v>
      </c>
      <c r="DU5" s="18" t="n">
        <f aca="false">Ingresos!DU6*Supuestos!$B$13</f>
        <v>7787952.2235094</v>
      </c>
      <c r="DV5" s="18" t="n">
        <f aca="false">Ingresos!DV6*Supuestos!$B$13</f>
        <v>7787952.2235094</v>
      </c>
      <c r="DW5" s="18" t="n">
        <f aca="false">Ingresos!DW6*Supuestos!$B$13</f>
        <v>7787952.2235094</v>
      </c>
      <c r="DX5" s="18" t="n">
        <f aca="false">Ingresos!DX6*Supuestos!$B$13</f>
        <v>7787952.2235094</v>
      </c>
      <c r="DY5" s="18" t="n">
        <f aca="false">Ingresos!DY6*Supuestos!$B$13</f>
        <v>7787952.2235094</v>
      </c>
      <c r="DZ5" s="18" t="n">
        <f aca="false">Ingresos!DZ6*Supuestos!$B$13</f>
        <v>7787952.2235094</v>
      </c>
      <c r="EA5" s="18" t="n">
        <f aca="false">Ingresos!EA6*Supuestos!$B$13</f>
        <v>7787952.2235094</v>
      </c>
      <c r="EB5" s="18" t="n">
        <f aca="false">Ingresos!EB6*Supuestos!$B$13</f>
        <v>7787952.2235094</v>
      </c>
      <c r="EC5" s="18" t="n">
        <f aca="false">Ingresos!EC6*Supuestos!$B$13</f>
        <v>7787952.2235094</v>
      </c>
      <c r="ED5" s="18" t="n">
        <f aca="false">Ingresos!ED6*Supuestos!$B$13</f>
        <v>8333108.87915505</v>
      </c>
      <c r="EE5" s="18" t="n">
        <f aca="false">Ingresos!EE6*Supuestos!$B$13</f>
        <v>8333108.87915505</v>
      </c>
      <c r="EF5" s="18" t="n">
        <f aca="false">Ingresos!EF6*Supuestos!$B$13</f>
        <v>8333108.87915505</v>
      </c>
      <c r="EG5" s="18" t="n">
        <f aca="false">Ingresos!EG6*Supuestos!$B$13</f>
        <v>8333108.87915505</v>
      </c>
      <c r="EH5" s="18" t="n">
        <f aca="false">Ingresos!EH6*Supuestos!$B$13</f>
        <v>8333108.87915505</v>
      </c>
      <c r="EI5" s="18" t="n">
        <f aca="false">Ingresos!EI6*Supuestos!$B$13</f>
        <v>8333108.87915505</v>
      </c>
      <c r="EJ5" s="18" t="n">
        <f aca="false">Ingresos!EJ6*Supuestos!$B$13</f>
        <v>8333108.87915505</v>
      </c>
      <c r="EK5" s="18" t="n">
        <f aca="false">Ingresos!EK6*Supuestos!$B$13</f>
        <v>8333108.87915505</v>
      </c>
      <c r="EL5" s="18" t="n">
        <f aca="false">Ingresos!EL6*Supuestos!$B$13</f>
        <v>8333108.87915505</v>
      </c>
      <c r="EM5" s="18" t="n">
        <f aca="false">Ingresos!EM6*Supuestos!$B$13</f>
        <v>8333108.87915505</v>
      </c>
      <c r="EN5" s="18" t="n">
        <f aca="false">Ingresos!EN6*Supuestos!$B$13</f>
        <v>8333108.87915505</v>
      </c>
      <c r="EO5" s="18" t="n">
        <f aca="false">Ingresos!EO6*Supuestos!$B$13</f>
        <v>8333108.87915505</v>
      </c>
      <c r="EP5" s="18" t="n">
        <f aca="false">Ingresos!EP6*Supuestos!$B$13</f>
        <v>8916426.50069591</v>
      </c>
      <c r="EQ5" s="18" t="n">
        <f aca="false">Ingresos!EQ6*Supuestos!$B$13</f>
        <v>8916426.50069591</v>
      </c>
      <c r="ER5" s="18" t="n">
        <f aca="false">Ingresos!ER6*Supuestos!$B$13</f>
        <v>8916426.50069591</v>
      </c>
      <c r="ES5" s="18" t="n">
        <f aca="false">Ingresos!ES6*Supuestos!$B$13</f>
        <v>8916426.50069591</v>
      </c>
      <c r="ET5" s="18" t="n">
        <f aca="false">Ingresos!ET6*Supuestos!$B$13</f>
        <v>8916426.50069591</v>
      </c>
      <c r="EU5" s="18" t="n">
        <f aca="false">Ingresos!EU6*Supuestos!$B$13</f>
        <v>8916426.50069591</v>
      </c>
      <c r="EV5" s="18" t="n">
        <f aca="false">Ingresos!EV6*Supuestos!$B$13</f>
        <v>8916426.50069591</v>
      </c>
      <c r="EW5" s="18" t="n">
        <f aca="false">Ingresos!EW6*Supuestos!$B$13</f>
        <v>8916426.50069591</v>
      </c>
      <c r="EX5" s="18" t="n">
        <f aca="false">Ingresos!EX6*Supuestos!$B$13</f>
        <v>8916426.50069591</v>
      </c>
      <c r="EY5" s="18" t="n">
        <f aca="false">Ingresos!EY6*Supuestos!$B$13</f>
        <v>8916426.50069591</v>
      </c>
      <c r="EZ5" s="18" t="n">
        <f aca="false">Ingresos!EZ6*Supuestos!$B$13</f>
        <v>8916426.50069591</v>
      </c>
      <c r="FA5" s="18" t="n">
        <f aca="false">Ingresos!FA6*Supuestos!$B$13</f>
        <v>8916426.50069591</v>
      </c>
      <c r="FB5" s="18" t="n">
        <f aca="false">Ingresos!FB6*Supuestos!$B$13</f>
        <v>9540576.35574462</v>
      </c>
      <c r="FC5" s="18" t="n">
        <f aca="false">Ingresos!FC6*Supuestos!$B$13</f>
        <v>9540576.35574462</v>
      </c>
      <c r="FD5" s="18" t="n">
        <f aca="false">Ingresos!FD6*Supuestos!$B$13</f>
        <v>9540576.35574462</v>
      </c>
      <c r="FE5" s="18" t="n">
        <f aca="false">Ingresos!FE6*Supuestos!$B$13</f>
        <v>9540576.35574462</v>
      </c>
      <c r="FF5" s="18" t="n">
        <f aca="false">Ingresos!FF6*Supuestos!$B$13</f>
        <v>9540576.35574462</v>
      </c>
      <c r="FG5" s="18" t="n">
        <f aca="false">Ingresos!FG6*Supuestos!$B$13</f>
        <v>9540576.35574462</v>
      </c>
      <c r="FH5" s="18" t="n">
        <f aca="false">Ingresos!FH6*Supuestos!$B$13</f>
        <v>9540576.35574462</v>
      </c>
      <c r="FI5" s="18" t="n">
        <f aca="false">Ingresos!FI6*Supuestos!$B$13</f>
        <v>9540576.35574462</v>
      </c>
      <c r="FJ5" s="18" t="n">
        <f aca="false">Ingresos!FJ6*Supuestos!$B$13</f>
        <v>9540576.35574462</v>
      </c>
      <c r="FK5" s="18" t="n">
        <f aca="false">Ingresos!FK6*Supuestos!$B$13</f>
        <v>9540576.35574462</v>
      </c>
      <c r="FL5" s="18" t="n">
        <f aca="false">Ingresos!FL6*Supuestos!$B$13</f>
        <v>9540576.35574462</v>
      </c>
      <c r="FM5" s="18" t="n">
        <f aca="false">Ingresos!FM6*Supuestos!$B$13</f>
        <v>9540576.35574462</v>
      </c>
      <c r="FN5" s="18" t="n">
        <f aca="false">Ingresos!FN6*Supuestos!$B$13</f>
        <v>10208416.7006467</v>
      </c>
      <c r="FO5" s="18" t="n">
        <f aca="false">Ingresos!FO6*Supuestos!$B$13</f>
        <v>10208416.7006467</v>
      </c>
      <c r="FP5" s="18" t="n">
        <f aca="false">Ingresos!FP6*Supuestos!$B$13</f>
        <v>10208416.7006467</v>
      </c>
      <c r="FQ5" s="18" t="n">
        <f aca="false">Ingresos!FQ6*Supuestos!$B$13</f>
        <v>10208416.7006467</v>
      </c>
      <c r="FR5" s="18" t="n">
        <f aca="false">Ingresos!FR6*Supuestos!$B$13</f>
        <v>10208416.7006467</v>
      </c>
      <c r="FS5" s="18" t="n">
        <f aca="false">Ingresos!FS6*Supuestos!$B$13</f>
        <v>10208416.7006467</v>
      </c>
      <c r="FT5" s="18" t="n">
        <f aca="false">Ingresos!FT6*Supuestos!$B$13</f>
        <v>10208416.7006467</v>
      </c>
      <c r="FU5" s="18" t="n">
        <f aca="false">Ingresos!FU6*Supuestos!$B$13</f>
        <v>10208416.7006467</v>
      </c>
      <c r="FV5" s="18" t="n">
        <f aca="false">Ingresos!FV6*Supuestos!$B$13</f>
        <v>10208416.7006467</v>
      </c>
      <c r="FW5" s="18" t="n">
        <f aca="false">Ingresos!FW6*Supuestos!$B$13</f>
        <v>10208416.7006467</v>
      </c>
      <c r="FX5" s="18" t="n">
        <f aca="false">Ingresos!FX6*Supuestos!$B$13</f>
        <v>10208416.7006467</v>
      </c>
      <c r="FY5" s="18" t="n">
        <f aca="false">Ingresos!FY6*Supuestos!$B$13</f>
        <v>10208416.7006467</v>
      </c>
      <c r="FZ5" s="18" t="n">
        <f aca="false">Ingresos!FZ6*Supuestos!$B$13</f>
        <v>10923005.869692</v>
      </c>
      <c r="GA5" s="18" t="n">
        <f aca="false">Ingresos!GA6*Supuestos!$B$13</f>
        <v>10923005.869692</v>
      </c>
      <c r="GB5" s="18" t="n">
        <f aca="false">Ingresos!GB6*Supuestos!$B$13</f>
        <v>10923005.869692</v>
      </c>
      <c r="GC5" s="18" t="n">
        <f aca="false">Ingresos!GC6*Supuestos!$B$13</f>
        <v>10923005.869692</v>
      </c>
      <c r="GD5" s="18" t="n">
        <f aca="false">Ingresos!GD6*Supuestos!$B$13</f>
        <v>10923005.869692</v>
      </c>
      <c r="GE5" s="18" t="n">
        <f aca="false">Ingresos!GE6*Supuestos!$B$13</f>
        <v>10923005.869692</v>
      </c>
      <c r="GF5" s="18" t="n">
        <f aca="false">Ingresos!GF6*Supuestos!$B$13</f>
        <v>10923005.869692</v>
      </c>
      <c r="GG5" s="18" t="n">
        <f aca="false">Ingresos!GG6*Supuestos!$B$13</f>
        <v>10923005.869692</v>
      </c>
      <c r="GH5" s="18" t="n">
        <f aca="false">Ingresos!GH6*Supuestos!$B$13</f>
        <v>10923005.869692</v>
      </c>
      <c r="GI5" s="18" t="n">
        <f aca="false">Ingresos!GI6*Supuestos!$B$13</f>
        <v>10923005.869692</v>
      </c>
      <c r="GJ5" s="18" t="n">
        <f aca="false">Ingresos!GJ6*Supuestos!$B$13</f>
        <v>10923005.869692</v>
      </c>
      <c r="GK5" s="18" t="n">
        <f aca="false">Ingresos!GK6*Supuestos!$B$13</f>
        <v>10923005.869692</v>
      </c>
      <c r="GL5" s="18" t="n">
        <f aca="false">Ingresos!GL6*Supuestos!$B$13</f>
        <v>11687616.2805705</v>
      </c>
      <c r="GM5" s="18" t="n">
        <f aca="false">Ingresos!GM6*Supuestos!$B$13</f>
        <v>11687616.2805705</v>
      </c>
      <c r="GN5" s="18" t="n">
        <f aca="false">Ingresos!GN6*Supuestos!$B$13</f>
        <v>11687616.2805705</v>
      </c>
      <c r="GO5" s="18" t="n">
        <f aca="false">Ingresos!GO6*Supuestos!$B$13</f>
        <v>11687616.2805705</v>
      </c>
      <c r="GP5" s="18" t="n">
        <f aca="false">Ingresos!GP6*Supuestos!$B$13</f>
        <v>11687616.2805705</v>
      </c>
      <c r="GQ5" s="18" t="n">
        <f aca="false">Ingresos!GQ6*Supuestos!$B$13</f>
        <v>11687616.2805705</v>
      </c>
      <c r="GR5" s="18" t="n">
        <f aca="false">Ingresos!GR6*Supuestos!$B$13</f>
        <v>11687616.2805705</v>
      </c>
      <c r="GS5" s="18" t="n">
        <f aca="false">Ingresos!GS6*Supuestos!$B$13</f>
        <v>11687616.2805705</v>
      </c>
      <c r="GT5" s="18" t="n">
        <f aca="false">Ingresos!GT6*Supuestos!$B$13</f>
        <v>11687616.2805705</v>
      </c>
      <c r="GU5" s="18" t="n">
        <f aca="false">Ingresos!GU6*Supuestos!$B$13</f>
        <v>11687616.2805705</v>
      </c>
      <c r="GV5" s="18" t="n">
        <f aca="false">Ingresos!GV6*Supuestos!$B$13</f>
        <v>11687616.2805705</v>
      </c>
      <c r="GW5" s="18" t="n">
        <f aca="false">Ingresos!GW6*Supuestos!$B$13</f>
        <v>11687616.2805705</v>
      </c>
      <c r="GX5" s="18" t="n">
        <f aca="false">Ingresos!GX6*Supuestos!$B$13</f>
        <v>12505749.4202104</v>
      </c>
      <c r="GY5" s="18" t="n">
        <f aca="false">Ingresos!GY6*Supuestos!$B$13</f>
        <v>12505749.4202104</v>
      </c>
      <c r="GZ5" s="18" t="n">
        <f aca="false">Ingresos!GZ6*Supuestos!$B$13</f>
        <v>12505749.4202104</v>
      </c>
      <c r="HA5" s="18" t="n">
        <f aca="false">Ingresos!HA6*Supuestos!$B$13</f>
        <v>12505749.4202104</v>
      </c>
      <c r="HB5" s="18" t="n">
        <f aca="false">Ingresos!HB6*Supuestos!$B$13</f>
        <v>12505749.4202104</v>
      </c>
      <c r="HC5" s="18" t="n">
        <f aca="false">Ingresos!HC6*Supuestos!$B$13</f>
        <v>12505749.4202104</v>
      </c>
      <c r="HD5" s="18" t="n">
        <f aca="false">Ingresos!HD6*Supuestos!$B$13</f>
        <v>12505749.4202104</v>
      </c>
      <c r="HE5" s="18" t="n">
        <f aca="false">Ingresos!HE6*Supuestos!$B$13</f>
        <v>12505749.4202104</v>
      </c>
      <c r="HF5" s="18" t="n">
        <f aca="false">Ingresos!HF6*Supuestos!$B$13</f>
        <v>12505749.4202104</v>
      </c>
      <c r="HG5" s="18" t="n">
        <f aca="false">Ingresos!HG6*Supuestos!$B$13</f>
        <v>12505749.4202104</v>
      </c>
      <c r="HH5" s="18" t="n">
        <f aca="false">Ingresos!HH6*Supuestos!$B$13</f>
        <v>12505749.4202104</v>
      </c>
      <c r="HI5" s="18" t="n">
        <f aca="false">Ingresos!HI6*Supuestos!$B$13</f>
        <v>12505749.4202104</v>
      </c>
      <c r="HJ5" s="18" t="n">
        <f aca="false">Ingresos!HJ6*Supuestos!$B$13</f>
        <v>13381151.8796251</v>
      </c>
      <c r="HK5" s="18" t="n">
        <f aca="false">Ingresos!HK6*Supuestos!$B$13</f>
        <v>13381151.8796251</v>
      </c>
      <c r="HL5" s="18" t="n">
        <f aca="false">Ingresos!HL6*Supuestos!$B$13</f>
        <v>13381151.8796251</v>
      </c>
      <c r="HM5" s="18" t="n">
        <f aca="false">Ingresos!HM6*Supuestos!$B$13</f>
        <v>13381151.8796251</v>
      </c>
      <c r="HN5" s="18" t="n">
        <f aca="false">Ingresos!HN6*Supuestos!$B$13</f>
        <v>13381151.8796251</v>
      </c>
      <c r="HO5" s="18" t="n">
        <f aca="false">Ingresos!HO6*Supuestos!$B$13</f>
        <v>13381151.8796251</v>
      </c>
      <c r="HP5" s="18" t="n">
        <f aca="false">Ingresos!HP6*Supuestos!$B$13</f>
        <v>13381151.8796251</v>
      </c>
      <c r="HQ5" s="18" t="n">
        <f aca="false">Ingresos!HQ6*Supuestos!$B$13</f>
        <v>13381151.8796251</v>
      </c>
      <c r="HR5" s="18" t="n">
        <f aca="false">Ingresos!HR6*Supuestos!$B$13</f>
        <v>13381151.8796251</v>
      </c>
      <c r="HS5" s="18" t="n">
        <f aca="false">Ingresos!HS6*Supuestos!$B$13</f>
        <v>13381151.8796251</v>
      </c>
      <c r="HT5" s="18" t="n">
        <f aca="false">Ingresos!HT6*Supuestos!$B$13</f>
        <v>13381151.8796251</v>
      </c>
      <c r="HU5" s="18" t="n">
        <f aca="false">Ingresos!HU6*Supuestos!$B$13</f>
        <v>13381151.8796251</v>
      </c>
      <c r="HV5" s="18" t="n">
        <f aca="false">Ingresos!HV6*Supuestos!$B$13</f>
        <v>14317832.5111989</v>
      </c>
      <c r="HW5" s="18" t="n">
        <f aca="false">Ingresos!HW6*Supuestos!$B$13</f>
        <v>14317832.5111989</v>
      </c>
      <c r="HX5" s="18" t="n">
        <f aca="false">Ingresos!HX6*Supuestos!$B$13</f>
        <v>14317832.5111989</v>
      </c>
      <c r="HY5" s="18" t="n">
        <f aca="false">Ingresos!HY6*Supuestos!$B$13</f>
        <v>14317832.5111989</v>
      </c>
      <c r="HZ5" s="18" t="n">
        <f aca="false">Ingresos!HZ6*Supuestos!$B$13</f>
        <v>14317832.5111989</v>
      </c>
      <c r="IA5" s="18" t="n">
        <f aca="false">Ingresos!IA6*Supuestos!$B$13</f>
        <v>14317832.5111989</v>
      </c>
      <c r="IB5" s="18" t="n">
        <f aca="false">Ingresos!IB6*Supuestos!$B$13</f>
        <v>14317832.5111989</v>
      </c>
      <c r="IC5" s="18" t="n">
        <f aca="false">Ingresos!IC6*Supuestos!$B$13</f>
        <v>14317832.5111989</v>
      </c>
      <c r="ID5" s="18" t="n">
        <f aca="false">Ingresos!ID6*Supuestos!$B$13</f>
        <v>14317832.5111989</v>
      </c>
      <c r="IE5" s="18" t="n">
        <f aca="false">Ingresos!IE6*Supuestos!$B$13</f>
        <v>14317832.5111989</v>
      </c>
      <c r="IF5" s="18" t="n">
        <f aca="false">Ingresos!IF6*Supuestos!$B$13</f>
        <v>14317832.5111989</v>
      </c>
      <c r="IG5" s="18" t="n">
        <f aca="false">Ingresos!IG6*Supuestos!$B$13</f>
        <v>14317832.5111989</v>
      </c>
      <c r="IH5" s="18" t="n">
        <f aca="false">Ingresos!IH6*Supuestos!$B$13</f>
        <v>15320080.7869828</v>
      </c>
      <c r="II5" s="18" t="n">
        <f aca="false">Ingresos!II6*Supuestos!$B$13</f>
        <v>15320080.7869828</v>
      </c>
      <c r="IJ5" s="18" t="n">
        <f aca="false">Ingresos!IJ6*Supuestos!$B$13</f>
        <v>15320080.7869828</v>
      </c>
      <c r="IK5" s="18" t="n">
        <f aca="false">Ingresos!IK6*Supuestos!$B$13</f>
        <v>15320080.7869828</v>
      </c>
      <c r="IL5" s="18" t="n">
        <f aca="false">Ingresos!IL6*Supuestos!$B$13</f>
        <v>15320080.7869828</v>
      </c>
      <c r="IM5" s="18" t="n">
        <f aca="false">Ingresos!IM6*Supuestos!$B$13</f>
        <v>15320080.7869828</v>
      </c>
      <c r="IN5" s="18" t="n">
        <f aca="false">Ingresos!IN6*Supuestos!$B$13</f>
        <v>15320080.7869828</v>
      </c>
      <c r="IO5" s="18" t="n">
        <f aca="false">Ingresos!IO6*Supuestos!$B$13</f>
        <v>15320080.7869828</v>
      </c>
      <c r="IP5" s="18" t="n">
        <f aca="false">Ingresos!IP6*Supuestos!$B$13</f>
        <v>15320080.7869828</v>
      </c>
      <c r="IQ5" s="18" t="n">
        <f aca="false">Ingresos!IQ6*Supuestos!$B$13</f>
        <v>15320080.7869828</v>
      </c>
      <c r="IR5" s="18" t="n">
        <f aca="false">Ingresos!IR6*Supuestos!$B$13</f>
        <v>15320080.7869828</v>
      </c>
      <c r="IS5" s="18" t="n">
        <f aca="false">Ingresos!IS6*Supuestos!$B$13</f>
        <v>15320080.7869828</v>
      </c>
      <c r="IT5" s="18" t="n">
        <f aca="false">Ingresos!IT6*Supuestos!$B$13</f>
        <v>16392486.4420716</v>
      </c>
      <c r="IU5" s="18" t="n">
        <f aca="false">Ingresos!IU6*Supuestos!$B$13</f>
        <v>16392486.4420716</v>
      </c>
      <c r="IV5" s="18" t="n">
        <f aca="false">Ingresos!IV6*Supuestos!$B$13</f>
        <v>16392486.4420716</v>
      </c>
      <c r="IW5" s="18" t="n">
        <f aca="false">Ingresos!IW6*Supuestos!$B$13</f>
        <v>16392486.4420716</v>
      </c>
      <c r="IX5" s="18" t="n">
        <f aca="false">Ingresos!IX6*Supuestos!$B$13</f>
        <v>16392486.4420716</v>
      </c>
      <c r="IY5" s="18" t="n">
        <f aca="false">Ingresos!IY6*Supuestos!$B$13</f>
        <v>16392486.4420716</v>
      </c>
      <c r="IZ5" s="18" t="n">
        <f aca="false">Ingresos!IZ6*Supuestos!$B$13</f>
        <v>16392486.4420716</v>
      </c>
      <c r="JA5" s="18" t="n">
        <f aca="false">Ingresos!JA6*Supuestos!$B$13</f>
        <v>16392486.4420716</v>
      </c>
      <c r="JB5" s="18" t="n">
        <f aca="false">Ingresos!JB6*Supuestos!$B$13</f>
        <v>16392486.4420716</v>
      </c>
      <c r="JC5" s="18" t="n">
        <f aca="false">Ingresos!JC6*Supuestos!$B$13</f>
        <v>16392486.4420716</v>
      </c>
      <c r="JD5" s="18" t="n">
        <f aca="false">Ingresos!JD6*Supuestos!$B$13</f>
        <v>16392486.4420716</v>
      </c>
      <c r="JE5" s="18" t="n">
        <f aca="false">Ingresos!JE6*Supuestos!$B$13</f>
        <v>16392486.4420716</v>
      </c>
      <c r="JF5" s="18" t="n">
        <f aca="false">Ingresos!JF6*Supuestos!$B$13</f>
        <v>17539960.4930166</v>
      </c>
      <c r="JG5" s="18" t="n">
        <f aca="false">Ingresos!JG6*Supuestos!$B$13</f>
        <v>17539960.4930166</v>
      </c>
      <c r="JH5" s="18" t="n">
        <f aca="false">Ingresos!JH6*Supuestos!$B$13</f>
        <v>17539960.4930166</v>
      </c>
      <c r="JI5" s="18" t="n">
        <f aca="false">Ingresos!JI6*Supuestos!$B$13</f>
        <v>17539960.4930166</v>
      </c>
      <c r="JJ5" s="18" t="n">
        <f aca="false">Ingresos!JJ6*Supuestos!$B$13</f>
        <v>17539960.4930166</v>
      </c>
      <c r="JK5" s="18" t="n">
        <f aca="false">Ingresos!JK6*Supuestos!$B$13</f>
        <v>17539960.4930166</v>
      </c>
      <c r="JL5" s="18" t="n">
        <f aca="false">Ingresos!JL6*Supuestos!$B$13</f>
        <v>17539960.4930166</v>
      </c>
      <c r="JM5" s="18" t="n">
        <f aca="false">Ingresos!JM6*Supuestos!$B$13</f>
        <v>17539960.4930166</v>
      </c>
      <c r="JN5" s="18" t="n">
        <f aca="false">Ingresos!JN6*Supuestos!$B$13</f>
        <v>17539960.4930166</v>
      </c>
      <c r="JO5" s="18" t="n">
        <f aca="false">Ingresos!JO6*Supuestos!$B$13</f>
        <v>17539960.4930166</v>
      </c>
      <c r="JP5" s="18" t="n">
        <f aca="false">Ingresos!JP6*Supuestos!$B$13</f>
        <v>17539960.4930166</v>
      </c>
      <c r="JQ5" s="18" t="n">
        <f aca="false">Ingresos!JQ6*Supuestos!$B$13</f>
        <v>17539960.4930166</v>
      </c>
      <c r="JR5" s="18" t="n">
        <f aca="false">Ingresos!JR6*Supuestos!$B$13</f>
        <v>18767757.7275278</v>
      </c>
      <c r="JS5" s="18" t="n">
        <f aca="false">Ingresos!JS6*Supuestos!$B$13</f>
        <v>18767757.7275278</v>
      </c>
      <c r="JT5" s="18" t="n">
        <f aca="false">Ingresos!JT6*Supuestos!$B$13</f>
        <v>18767757.7275278</v>
      </c>
      <c r="JU5" s="18" t="n">
        <f aca="false">Ingresos!JU6*Supuestos!$B$13</f>
        <v>18767757.7275278</v>
      </c>
      <c r="JV5" s="18" t="n">
        <f aca="false">Ingresos!JV6*Supuestos!$B$13</f>
        <v>18767757.7275278</v>
      </c>
      <c r="JW5" s="18" t="n">
        <f aca="false">Ingresos!JW6*Supuestos!$B$13</f>
        <v>18767757.7275278</v>
      </c>
      <c r="JX5" s="18" t="n">
        <f aca="false">Ingresos!JX6*Supuestos!$B$13</f>
        <v>18767757.7275278</v>
      </c>
      <c r="JY5" s="18" t="n">
        <f aca="false">Ingresos!JY6*Supuestos!$B$13</f>
        <v>18767757.7275278</v>
      </c>
      <c r="JZ5" s="18" t="n">
        <f aca="false">Ingresos!JZ6*Supuestos!$B$13</f>
        <v>18767757.7275278</v>
      </c>
      <c r="KA5" s="18" t="n">
        <f aca="false">Ingresos!KA6*Supuestos!$B$13</f>
        <v>18767757.7275278</v>
      </c>
      <c r="KB5" s="18" t="n">
        <f aca="false">Ingresos!KB6*Supuestos!$B$13</f>
        <v>18767757.7275278</v>
      </c>
      <c r="KC5" s="18" t="n">
        <f aca="false">Ingresos!KC6*Supuestos!$B$13</f>
        <v>18767757.7275278</v>
      </c>
      <c r="KD5" s="18" t="n">
        <f aca="false">Ingresos!KD6*Supuestos!$B$13</f>
        <v>20081500.7684547</v>
      </c>
      <c r="KE5" s="18" t="n">
        <f aca="false">Ingresos!KE6*Supuestos!$B$13</f>
        <v>20081500.7684547</v>
      </c>
      <c r="KF5" s="18" t="n">
        <f aca="false">Ingresos!KF6*Supuestos!$B$13</f>
        <v>20081500.7684547</v>
      </c>
      <c r="KG5" s="18" t="n">
        <f aca="false">Ingresos!KG6*Supuestos!$B$13</f>
        <v>20081500.7684547</v>
      </c>
      <c r="KH5" s="18" t="n">
        <f aca="false">Ingresos!KH6*Supuestos!$B$13</f>
        <v>20081500.7684547</v>
      </c>
      <c r="KI5" s="18" t="n">
        <f aca="false">Ingresos!KI6*Supuestos!$B$13</f>
        <v>20081500.7684547</v>
      </c>
      <c r="KJ5" s="18" t="n">
        <f aca="false">Ingresos!KJ6*Supuestos!$B$13</f>
        <v>20081500.7684547</v>
      </c>
      <c r="KK5" s="18" t="n">
        <f aca="false">Ingresos!KK6*Supuestos!$B$13</f>
        <v>20081500.7684547</v>
      </c>
      <c r="KL5" s="18" t="n">
        <f aca="false">Ingresos!KL6*Supuestos!$B$13</f>
        <v>20081500.7684547</v>
      </c>
      <c r="KM5" s="18" t="n">
        <f aca="false">Ingresos!KM6*Supuestos!$B$13</f>
        <v>20081500.7684547</v>
      </c>
      <c r="KN5" s="18" t="n">
        <f aca="false">Ingresos!KN6*Supuestos!$B$13</f>
        <v>20081500.7684547</v>
      </c>
      <c r="KO5" s="18" t="n">
        <f aca="false">Ingresos!KO6*Supuestos!$B$13</f>
        <v>20081500.7684547</v>
      </c>
    </row>
    <row r="6" s="21" customFormat="true" ht="14.25" hidden="false" customHeight="false" outlineLevel="0" collapsed="false">
      <c r="A6" s="14" t="s">
        <v>384</v>
      </c>
      <c r="B6" s="18" t="n">
        <f aca="false">B5</f>
        <v>3959000</v>
      </c>
      <c r="C6" s="18" t="n">
        <f aca="false">C5</f>
        <v>3959000</v>
      </c>
      <c r="D6" s="18" t="n">
        <f aca="false">D5</f>
        <v>3959000</v>
      </c>
      <c r="E6" s="18" t="n">
        <f aca="false">E5</f>
        <v>3959000</v>
      </c>
      <c r="F6" s="18" t="n">
        <f aca="false">F5</f>
        <v>3959000</v>
      </c>
      <c r="G6" s="18" t="n">
        <f aca="false">G5</f>
        <v>3959000</v>
      </c>
      <c r="H6" s="18" t="n">
        <f aca="false">H5</f>
        <v>3959000</v>
      </c>
      <c r="I6" s="18" t="n">
        <f aca="false">I5</f>
        <v>3959000</v>
      </c>
      <c r="J6" s="18" t="n">
        <f aca="false">J5</f>
        <v>3959000</v>
      </c>
      <c r="K6" s="18" t="n">
        <f aca="false">K5</f>
        <v>3959000</v>
      </c>
      <c r="L6" s="18" t="n">
        <f aca="false">L5</f>
        <v>3959000</v>
      </c>
      <c r="M6" s="18" t="n">
        <f aca="false">M5</f>
        <v>3959000</v>
      </c>
      <c r="N6" s="18" t="n">
        <f aca="false">N5</f>
        <v>4236130</v>
      </c>
      <c r="O6" s="18" t="n">
        <f aca="false">O5</f>
        <v>4236130</v>
      </c>
      <c r="P6" s="18" t="n">
        <f aca="false">P5</f>
        <v>4236130</v>
      </c>
      <c r="Q6" s="18" t="n">
        <f aca="false">Q5</f>
        <v>4236130</v>
      </c>
      <c r="R6" s="18" t="n">
        <f aca="false">R5</f>
        <v>4236130</v>
      </c>
      <c r="S6" s="18" t="n">
        <f aca="false">S5</f>
        <v>4236130</v>
      </c>
      <c r="T6" s="18" t="n">
        <f aca="false">T5</f>
        <v>4236130</v>
      </c>
      <c r="U6" s="18" t="n">
        <f aca="false">U5</f>
        <v>4236130</v>
      </c>
      <c r="V6" s="18" t="n">
        <f aca="false">V5</f>
        <v>4236130</v>
      </c>
      <c r="W6" s="18" t="n">
        <f aca="false">W5</f>
        <v>4236130</v>
      </c>
      <c r="X6" s="18" t="n">
        <f aca="false">X5</f>
        <v>4236130</v>
      </c>
      <c r="Y6" s="18" t="n">
        <f aca="false">Y5</f>
        <v>4236130</v>
      </c>
      <c r="Z6" s="18" t="n">
        <f aca="false">Z5</f>
        <v>4532659.1</v>
      </c>
      <c r="AA6" s="18" t="n">
        <f aca="false">AA5</f>
        <v>4532659.1</v>
      </c>
      <c r="AB6" s="18" t="n">
        <f aca="false">AB5</f>
        <v>4532659.1</v>
      </c>
      <c r="AC6" s="18" t="n">
        <f aca="false">AC5</f>
        <v>4532659.1</v>
      </c>
      <c r="AD6" s="18" t="n">
        <f aca="false">AD5</f>
        <v>4532659.1</v>
      </c>
      <c r="AE6" s="18" t="n">
        <f aca="false">AE5</f>
        <v>4532659.1</v>
      </c>
      <c r="AF6" s="18" t="n">
        <f aca="false">AF5</f>
        <v>4532659.1</v>
      </c>
      <c r="AG6" s="18" t="n">
        <f aca="false">AG5</f>
        <v>4532659.1</v>
      </c>
      <c r="AH6" s="18" t="n">
        <f aca="false">AH5</f>
        <v>4532659.1</v>
      </c>
      <c r="AI6" s="18" t="n">
        <f aca="false">AI5</f>
        <v>4532659.1</v>
      </c>
      <c r="AJ6" s="18" t="n">
        <f aca="false">AJ5</f>
        <v>4532659.1</v>
      </c>
      <c r="AK6" s="18" t="n">
        <f aca="false">AK5</f>
        <v>4532659.1</v>
      </c>
      <c r="AL6" s="18" t="n">
        <f aca="false">AL5</f>
        <v>4849945.237</v>
      </c>
      <c r="AM6" s="18" t="n">
        <f aca="false">AM5</f>
        <v>4849945.237</v>
      </c>
      <c r="AN6" s="18" t="n">
        <f aca="false">AN5</f>
        <v>4849945.237</v>
      </c>
      <c r="AO6" s="18" t="n">
        <f aca="false">AO5</f>
        <v>4849945.237</v>
      </c>
      <c r="AP6" s="18" t="n">
        <f aca="false">AP5</f>
        <v>4849945.237</v>
      </c>
      <c r="AQ6" s="18" t="n">
        <f aca="false">AQ5</f>
        <v>4849945.237</v>
      </c>
      <c r="AR6" s="18" t="n">
        <f aca="false">AR5</f>
        <v>4849945.237</v>
      </c>
      <c r="AS6" s="18" t="n">
        <f aca="false">AS5</f>
        <v>4849945.237</v>
      </c>
      <c r="AT6" s="18" t="n">
        <f aca="false">AT5</f>
        <v>4849945.237</v>
      </c>
      <c r="AU6" s="18" t="n">
        <f aca="false">AU5</f>
        <v>4849945.237</v>
      </c>
      <c r="AV6" s="18" t="n">
        <f aca="false">AV5</f>
        <v>4849945.237</v>
      </c>
      <c r="AW6" s="18" t="n">
        <f aca="false">AW5</f>
        <v>4849945.237</v>
      </c>
      <c r="AX6" s="18" t="n">
        <f aca="false">AX5</f>
        <v>5189441.40359</v>
      </c>
      <c r="AY6" s="18" t="n">
        <f aca="false">AY5</f>
        <v>5189441.40359</v>
      </c>
      <c r="AZ6" s="18" t="n">
        <f aca="false">AZ5</f>
        <v>5189441.40359</v>
      </c>
      <c r="BA6" s="18" t="n">
        <f aca="false">BA5</f>
        <v>5189441.40359</v>
      </c>
      <c r="BB6" s="18" t="n">
        <f aca="false">BB5</f>
        <v>5189441.40359</v>
      </c>
      <c r="BC6" s="18" t="n">
        <f aca="false">BC5</f>
        <v>5189441.40359</v>
      </c>
      <c r="BD6" s="18" t="n">
        <f aca="false">BD5</f>
        <v>5189441.40359</v>
      </c>
      <c r="BE6" s="18" t="n">
        <f aca="false">BE5</f>
        <v>5189441.40359</v>
      </c>
      <c r="BF6" s="18" t="n">
        <f aca="false">BF5</f>
        <v>5189441.40359</v>
      </c>
      <c r="BG6" s="18" t="n">
        <f aca="false">BG5</f>
        <v>5189441.40359</v>
      </c>
      <c r="BH6" s="18" t="n">
        <f aca="false">BH5</f>
        <v>5189441.40359</v>
      </c>
      <c r="BI6" s="18" t="n">
        <f aca="false">BI5</f>
        <v>5189441.40359</v>
      </c>
      <c r="BJ6" s="18" t="n">
        <f aca="false">BJ5</f>
        <v>5552702.3018413</v>
      </c>
      <c r="BK6" s="18" t="n">
        <f aca="false">BK5</f>
        <v>5552702.3018413</v>
      </c>
      <c r="BL6" s="18" t="n">
        <f aca="false">BL5</f>
        <v>5552702.3018413</v>
      </c>
      <c r="BM6" s="18" t="n">
        <f aca="false">BM5</f>
        <v>5552702.3018413</v>
      </c>
      <c r="BN6" s="18" t="n">
        <f aca="false">BN5</f>
        <v>5552702.3018413</v>
      </c>
      <c r="BO6" s="18" t="n">
        <f aca="false">BO5</f>
        <v>5552702.3018413</v>
      </c>
      <c r="BP6" s="18" t="n">
        <f aca="false">BP5</f>
        <v>5552702.3018413</v>
      </c>
      <c r="BQ6" s="18" t="n">
        <f aca="false">BQ5</f>
        <v>5552702.3018413</v>
      </c>
      <c r="BR6" s="18" t="n">
        <f aca="false">BR5</f>
        <v>5552702.3018413</v>
      </c>
      <c r="BS6" s="18" t="n">
        <f aca="false">BS5</f>
        <v>5552702.3018413</v>
      </c>
      <c r="BT6" s="18" t="n">
        <f aca="false">BT5</f>
        <v>5552702.3018413</v>
      </c>
      <c r="BU6" s="18" t="n">
        <f aca="false">BU5</f>
        <v>5552702.3018413</v>
      </c>
      <c r="BV6" s="18" t="n">
        <f aca="false">BV5</f>
        <v>5941391.46297019</v>
      </c>
      <c r="BW6" s="18" t="n">
        <f aca="false">BW5</f>
        <v>5941391.46297019</v>
      </c>
      <c r="BX6" s="18" t="n">
        <f aca="false">BX5</f>
        <v>5941391.46297019</v>
      </c>
      <c r="BY6" s="18" t="n">
        <f aca="false">BY5</f>
        <v>5941391.46297019</v>
      </c>
      <c r="BZ6" s="18" t="n">
        <f aca="false">BZ5</f>
        <v>5941391.46297019</v>
      </c>
      <c r="CA6" s="18" t="n">
        <f aca="false">CA5</f>
        <v>5941391.46297019</v>
      </c>
      <c r="CB6" s="18" t="n">
        <f aca="false">CB5</f>
        <v>5941391.46297019</v>
      </c>
      <c r="CC6" s="18" t="n">
        <f aca="false">CC5</f>
        <v>5941391.46297019</v>
      </c>
      <c r="CD6" s="18" t="n">
        <f aca="false">CD5</f>
        <v>5941391.46297019</v>
      </c>
      <c r="CE6" s="18" t="n">
        <f aca="false">CE5</f>
        <v>5941391.46297019</v>
      </c>
      <c r="CF6" s="18" t="n">
        <f aca="false">CF5</f>
        <v>5941391.46297019</v>
      </c>
      <c r="CG6" s="18" t="n">
        <f aca="false">CG5</f>
        <v>5941391.46297019</v>
      </c>
      <c r="CH6" s="18" t="n">
        <f aca="false">CH5</f>
        <v>6357288.86537811</v>
      </c>
      <c r="CI6" s="18" t="n">
        <f aca="false">CI5</f>
        <v>6357288.86537811</v>
      </c>
      <c r="CJ6" s="18" t="n">
        <f aca="false">CJ5</f>
        <v>6357288.86537811</v>
      </c>
      <c r="CK6" s="18" t="n">
        <f aca="false">CK5</f>
        <v>6357288.86537811</v>
      </c>
      <c r="CL6" s="18" t="n">
        <f aca="false">CL5</f>
        <v>6357288.86537811</v>
      </c>
      <c r="CM6" s="18" t="n">
        <f aca="false">CM5</f>
        <v>6357288.86537811</v>
      </c>
      <c r="CN6" s="18" t="n">
        <f aca="false">CN5</f>
        <v>6357288.86537811</v>
      </c>
      <c r="CO6" s="18" t="n">
        <f aca="false">CO5</f>
        <v>6357288.86537811</v>
      </c>
      <c r="CP6" s="18" t="n">
        <f aca="false">CP5</f>
        <v>6357288.86537811</v>
      </c>
      <c r="CQ6" s="18" t="n">
        <f aca="false">CQ5</f>
        <v>6357288.86537811</v>
      </c>
      <c r="CR6" s="18" t="n">
        <f aca="false">CR5</f>
        <v>6357288.86537811</v>
      </c>
      <c r="CS6" s="18" t="n">
        <f aca="false">CS5</f>
        <v>6357288.86537811</v>
      </c>
      <c r="CT6" s="18" t="n">
        <f aca="false">CT5</f>
        <v>6802299.08595458</v>
      </c>
      <c r="CU6" s="18" t="n">
        <f aca="false">CU5</f>
        <v>6802299.08595458</v>
      </c>
      <c r="CV6" s="18" t="n">
        <f aca="false">CV5</f>
        <v>6802299.08595458</v>
      </c>
      <c r="CW6" s="18" t="n">
        <f aca="false">CW5</f>
        <v>6802299.08595458</v>
      </c>
      <c r="CX6" s="18" t="n">
        <f aca="false">CX5</f>
        <v>6802299.08595458</v>
      </c>
      <c r="CY6" s="18" t="n">
        <f aca="false">CY5</f>
        <v>6802299.08595458</v>
      </c>
      <c r="CZ6" s="18" t="n">
        <f aca="false">CZ5</f>
        <v>6802299.08595458</v>
      </c>
      <c r="DA6" s="18" t="n">
        <f aca="false">DA5</f>
        <v>6802299.08595458</v>
      </c>
      <c r="DB6" s="18" t="n">
        <f aca="false">DB5</f>
        <v>6802299.08595458</v>
      </c>
      <c r="DC6" s="18" t="n">
        <f aca="false">DC5</f>
        <v>6802299.08595458</v>
      </c>
      <c r="DD6" s="18" t="n">
        <f aca="false">DD5</f>
        <v>6802299.08595458</v>
      </c>
      <c r="DE6" s="18" t="n">
        <f aca="false">DE5</f>
        <v>6802299.08595458</v>
      </c>
      <c r="DF6" s="18" t="n">
        <f aca="false">DF5</f>
        <v>7278460.0219714</v>
      </c>
      <c r="DG6" s="18" t="n">
        <f aca="false">DG5</f>
        <v>7278460.0219714</v>
      </c>
      <c r="DH6" s="18" t="n">
        <f aca="false">DH5</f>
        <v>7278460.0219714</v>
      </c>
      <c r="DI6" s="18" t="n">
        <f aca="false">DI5</f>
        <v>7278460.0219714</v>
      </c>
      <c r="DJ6" s="18" t="n">
        <f aca="false">DJ5</f>
        <v>7278460.0219714</v>
      </c>
      <c r="DK6" s="18" t="n">
        <f aca="false">DK5</f>
        <v>7278460.0219714</v>
      </c>
      <c r="DL6" s="18" t="n">
        <f aca="false">DL5</f>
        <v>7278460.0219714</v>
      </c>
      <c r="DM6" s="18" t="n">
        <f aca="false">DM5</f>
        <v>7278460.0219714</v>
      </c>
      <c r="DN6" s="18" t="n">
        <f aca="false">DN5</f>
        <v>7278460.0219714</v>
      </c>
      <c r="DO6" s="18" t="n">
        <f aca="false">DO5</f>
        <v>7278460.0219714</v>
      </c>
      <c r="DP6" s="18" t="n">
        <f aca="false">DP5</f>
        <v>7278460.0219714</v>
      </c>
      <c r="DQ6" s="18" t="n">
        <f aca="false">DQ5</f>
        <v>7278460.0219714</v>
      </c>
      <c r="DR6" s="18" t="n">
        <f aca="false">DR5</f>
        <v>7787952.2235094</v>
      </c>
      <c r="DS6" s="18" t="n">
        <f aca="false">DS5</f>
        <v>7787952.2235094</v>
      </c>
      <c r="DT6" s="18" t="n">
        <f aca="false">DT5</f>
        <v>7787952.2235094</v>
      </c>
      <c r="DU6" s="18" t="n">
        <f aca="false">DU5</f>
        <v>7787952.2235094</v>
      </c>
      <c r="DV6" s="18" t="n">
        <f aca="false">DV5</f>
        <v>7787952.2235094</v>
      </c>
      <c r="DW6" s="18" t="n">
        <f aca="false">DW5</f>
        <v>7787952.2235094</v>
      </c>
      <c r="DX6" s="18" t="n">
        <f aca="false">DX5</f>
        <v>7787952.2235094</v>
      </c>
      <c r="DY6" s="18" t="n">
        <f aca="false">DY5</f>
        <v>7787952.2235094</v>
      </c>
      <c r="DZ6" s="18" t="n">
        <f aca="false">DZ5</f>
        <v>7787952.2235094</v>
      </c>
      <c r="EA6" s="18" t="n">
        <f aca="false">EA5</f>
        <v>7787952.2235094</v>
      </c>
      <c r="EB6" s="18" t="n">
        <f aca="false">EB5</f>
        <v>7787952.2235094</v>
      </c>
      <c r="EC6" s="18" t="n">
        <f aca="false">EC5</f>
        <v>7787952.2235094</v>
      </c>
      <c r="ED6" s="18" t="n">
        <f aca="false">ED5</f>
        <v>8333108.87915505</v>
      </c>
      <c r="EE6" s="18" t="n">
        <f aca="false">EE5</f>
        <v>8333108.87915505</v>
      </c>
      <c r="EF6" s="18" t="n">
        <f aca="false">EF5</f>
        <v>8333108.87915505</v>
      </c>
      <c r="EG6" s="18" t="n">
        <f aca="false">EG5</f>
        <v>8333108.87915505</v>
      </c>
      <c r="EH6" s="18" t="n">
        <f aca="false">EH5</f>
        <v>8333108.87915505</v>
      </c>
      <c r="EI6" s="18" t="n">
        <f aca="false">EI5</f>
        <v>8333108.87915505</v>
      </c>
      <c r="EJ6" s="18" t="n">
        <f aca="false">EJ5</f>
        <v>8333108.87915505</v>
      </c>
      <c r="EK6" s="18" t="n">
        <f aca="false">EK5</f>
        <v>8333108.87915505</v>
      </c>
      <c r="EL6" s="18" t="n">
        <f aca="false">EL5</f>
        <v>8333108.87915505</v>
      </c>
      <c r="EM6" s="18" t="n">
        <f aca="false">EM5</f>
        <v>8333108.87915505</v>
      </c>
      <c r="EN6" s="18" t="n">
        <f aca="false">EN5</f>
        <v>8333108.87915505</v>
      </c>
      <c r="EO6" s="18" t="n">
        <f aca="false">EO5</f>
        <v>8333108.87915505</v>
      </c>
      <c r="EP6" s="18" t="n">
        <f aca="false">EP5</f>
        <v>8916426.50069591</v>
      </c>
      <c r="EQ6" s="18" t="n">
        <f aca="false">EQ5</f>
        <v>8916426.50069591</v>
      </c>
      <c r="ER6" s="18" t="n">
        <f aca="false">ER5</f>
        <v>8916426.50069591</v>
      </c>
      <c r="ES6" s="18" t="n">
        <f aca="false">ES5</f>
        <v>8916426.50069591</v>
      </c>
      <c r="ET6" s="18" t="n">
        <f aca="false">ET5</f>
        <v>8916426.50069591</v>
      </c>
      <c r="EU6" s="18" t="n">
        <f aca="false">EU5</f>
        <v>8916426.50069591</v>
      </c>
      <c r="EV6" s="18" t="n">
        <f aca="false">EV5</f>
        <v>8916426.50069591</v>
      </c>
      <c r="EW6" s="18" t="n">
        <f aca="false">EW5</f>
        <v>8916426.50069591</v>
      </c>
      <c r="EX6" s="18" t="n">
        <f aca="false">EX5</f>
        <v>8916426.50069591</v>
      </c>
      <c r="EY6" s="18" t="n">
        <f aca="false">EY5</f>
        <v>8916426.50069591</v>
      </c>
      <c r="EZ6" s="18" t="n">
        <f aca="false">EZ5</f>
        <v>8916426.50069591</v>
      </c>
      <c r="FA6" s="18" t="n">
        <f aca="false">FA5</f>
        <v>8916426.50069591</v>
      </c>
      <c r="FB6" s="18" t="n">
        <f aca="false">FB5</f>
        <v>9540576.35574462</v>
      </c>
      <c r="FC6" s="18" t="n">
        <f aca="false">FC5</f>
        <v>9540576.35574462</v>
      </c>
      <c r="FD6" s="18" t="n">
        <f aca="false">FD5</f>
        <v>9540576.35574462</v>
      </c>
      <c r="FE6" s="18" t="n">
        <f aca="false">FE5</f>
        <v>9540576.35574462</v>
      </c>
      <c r="FF6" s="18" t="n">
        <f aca="false">FF5</f>
        <v>9540576.35574462</v>
      </c>
      <c r="FG6" s="18" t="n">
        <f aca="false">FG5</f>
        <v>9540576.35574462</v>
      </c>
      <c r="FH6" s="18" t="n">
        <f aca="false">FH5</f>
        <v>9540576.35574462</v>
      </c>
      <c r="FI6" s="18" t="n">
        <f aca="false">FI5</f>
        <v>9540576.35574462</v>
      </c>
      <c r="FJ6" s="18" t="n">
        <f aca="false">FJ5</f>
        <v>9540576.35574462</v>
      </c>
      <c r="FK6" s="18" t="n">
        <f aca="false">FK5</f>
        <v>9540576.35574462</v>
      </c>
      <c r="FL6" s="18" t="n">
        <f aca="false">FL5</f>
        <v>9540576.35574462</v>
      </c>
      <c r="FM6" s="18" t="n">
        <f aca="false">FM5</f>
        <v>9540576.35574462</v>
      </c>
      <c r="FN6" s="18" t="n">
        <f aca="false">FN5</f>
        <v>10208416.7006467</v>
      </c>
      <c r="FO6" s="18" t="n">
        <f aca="false">FO5</f>
        <v>10208416.7006467</v>
      </c>
      <c r="FP6" s="18" t="n">
        <f aca="false">FP5</f>
        <v>10208416.7006467</v>
      </c>
      <c r="FQ6" s="18" t="n">
        <f aca="false">FQ5</f>
        <v>10208416.7006467</v>
      </c>
      <c r="FR6" s="18" t="n">
        <f aca="false">FR5</f>
        <v>10208416.7006467</v>
      </c>
      <c r="FS6" s="18" t="n">
        <f aca="false">FS5</f>
        <v>10208416.7006467</v>
      </c>
      <c r="FT6" s="18" t="n">
        <f aca="false">FT5</f>
        <v>10208416.7006467</v>
      </c>
      <c r="FU6" s="18" t="n">
        <f aca="false">FU5</f>
        <v>10208416.7006467</v>
      </c>
      <c r="FV6" s="18" t="n">
        <f aca="false">FV5</f>
        <v>10208416.7006467</v>
      </c>
      <c r="FW6" s="18" t="n">
        <f aca="false">FW5</f>
        <v>10208416.7006467</v>
      </c>
      <c r="FX6" s="18" t="n">
        <f aca="false">FX5</f>
        <v>10208416.7006467</v>
      </c>
      <c r="FY6" s="18" t="n">
        <f aca="false">FY5</f>
        <v>10208416.7006467</v>
      </c>
      <c r="FZ6" s="18" t="n">
        <f aca="false">FZ5</f>
        <v>10923005.869692</v>
      </c>
      <c r="GA6" s="18" t="n">
        <f aca="false">GA5</f>
        <v>10923005.869692</v>
      </c>
      <c r="GB6" s="18" t="n">
        <f aca="false">GB5</f>
        <v>10923005.869692</v>
      </c>
      <c r="GC6" s="18" t="n">
        <f aca="false">GC5</f>
        <v>10923005.869692</v>
      </c>
      <c r="GD6" s="18" t="n">
        <f aca="false">GD5</f>
        <v>10923005.869692</v>
      </c>
      <c r="GE6" s="18" t="n">
        <f aca="false">GE5</f>
        <v>10923005.869692</v>
      </c>
      <c r="GF6" s="18" t="n">
        <f aca="false">GF5</f>
        <v>10923005.869692</v>
      </c>
      <c r="GG6" s="18" t="n">
        <f aca="false">GG5</f>
        <v>10923005.869692</v>
      </c>
      <c r="GH6" s="18" t="n">
        <f aca="false">GH5</f>
        <v>10923005.869692</v>
      </c>
      <c r="GI6" s="18" t="n">
        <f aca="false">GI5</f>
        <v>10923005.869692</v>
      </c>
      <c r="GJ6" s="18" t="n">
        <f aca="false">GJ5</f>
        <v>10923005.869692</v>
      </c>
      <c r="GK6" s="18" t="n">
        <f aca="false">GK5</f>
        <v>10923005.869692</v>
      </c>
      <c r="GL6" s="18" t="n">
        <f aca="false">GL5</f>
        <v>11687616.2805705</v>
      </c>
      <c r="GM6" s="18" t="n">
        <f aca="false">GM5</f>
        <v>11687616.2805705</v>
      </c>
      <c r="GN6" s="18" t="n">
        <f aca="false">GN5</f>
        <v>11687616.2805705</v>
      </c>
      <c r="GO6" s="18" t="n">
        <f aca="false">GO5</f>
        <v>11687616.2805705</v>
      </c>
      <c r="GP6" s="18" t="n">
        <f aca="false">GP5</f>
        <v>11687616.2805705</v>
      </c>
      <c r="GQ6" s="18" t="n">
        <f aca="false">GQ5</f>
        <v>11687616.2805705</v>
      </c>
      <c r="GR6" s="18" t="n">
        <f aca="false">GR5</f>
        <v>11687616.2805705</v>
      </c>
      <c r="GS6" s="18" t="n">
        <f aca="false">GS5</f>
        <v>11687616.2805705</v>
      </c>
      <c r="GT6" s="18" t="n">
        <f aca="false">GT5</f>
        <v>11687616.2805705</v>
      </c>
      <c r="GU6" s="18" t="n">
        <f aca="false">GU5</f>
        <v>11687616.2805705</v>
      </c>
      <c r="GV6" s="18" t="n">
        <f aca="false">GV5</f>
        <v>11687616.2805705</v>
      </c>
      <c r="GW6" s="18" t="n">
        <f aca="false">GW5</f>
        <v>11687616.2805705</v>
      </c>
      <c r="GX6" s="18" t="n">
        <f aca="false">GX5</f>
        <v>12505749.4202104</v>
      </c>
      <c r="GY6" s="18" t="n">
        <f aca="false">GY5</f>
        <v>12505749.4202104</v>
      </c>
      <c r="GZ6" s="18" t="n">
        <f aca="false">GZ5</f>
        <v>12505749.4202104</v>
      </c>
      <c r="HA6" s="18" t="n">
        <f aca="false">HA5</f>
        <v>12505749.4202104</v>
      </c>
      <c r="HB6" s="18" t="n">
        <f aca="false">HB5</f>
        <v>12505749.4202104</v>
      </c>
      <c r="HC6" s="18" t="n">
        <f aca="false">HC5</f>
        <v>12505749.4202104</v>
      </c>
      <c r="HD6" s="18" t="n">
        <f aca="false">HD5</f>
        <v>12505749.4202104</v>
      </c>
      <c r="HE6" s="18" t="n">
        <f aca="false">HE5</f>
        <v>12505749.4202104</v>
      </c>
      <c r="HF6" s="18" t="n">
        <f aca="false">HF5</f>
        <v>12505749.4202104</v>
      </c>
      <c r="HG6" s="18" t="n">
        <f aca="false">HG5</f>
        <v>12505749.4202104</v>
      </c>
      <c r="HH6" s="18" t="n">
        <f aca="false">HH5</f>
        <v>12505749.4202104</v>
      </c>
      <c r="HI6" s="18" t="n">
        <f aca="false">HI5</f>
        <v>12505749.4202104</v>
      </c>
      <c r="HJ6" s="18" t="n">
        <f aca="false">HJ5</f>
        <v>13381151.8796251</v>
      </c>
      <c r="HK6" s="18" t="n">
        <f aca="false">HK5</f>
        <v>13381151.8796251</v>
      </c>
      <c r="HL6" s="18" t="n">
        <f aca="false">HL5</f>
        <v>13381151.8796251</v>
      </c>
      <c r="HM6" s="18" t="n">
        <f aca="false">HM5</f>
        <v>13381151.8796251</v>
      </c>
      <c r="HN6" s="18" t="n">
        <f aca="false">HN5</f>
        <v>13381151.8796251</v>
      </c>
      <c r="HO6" s="18" t="n">
        <f aca="false">HO5</f>
        <v>13381151.8796251</v>
      </c>
      <c r="HP6" s="18" t="n">
        <f aca="false">HP5</f>
        <v>13381151.8796251</v>
      </c>
      <c r="HQ6" s="18" t="n">
        <f aca="false">HQ5</f>
        <v>13381151.8796251</v>
      </c>
      <c r="HR6" s="18" t="n">
        <f aca="false">HR5</f>
        <v>13381151.8796251</v>
      </c>
      <c r="HS6" s="18" t="n">
        <f aca="false">HS5</f>
        <v>13381151.8796251</v>
      </c>
      <c r="HT6" s="18" t="n">
        <f aca="false">HT5</f>
        <v>13381151.8796251</v>
      </c>
      <c r="HU6" s="18" t="n">
        <f aca="false">HU5</f>
        <v>13381151.8796251</v>
      </c>
      <c r="HV6" s="18" t="n">
        <f aca="false">HV5</f>
        <v>14317832.5111989</v>
      </c>
      <c r="HW6" s="18" t="n">
        <f aca="false">HW5</f>
        <v>14317832.5111989</v>
      </c>
      <c r="HX6" s="18" t="n">
        <f aca="false">HX5</f>
        <v>14317832.5111989</v>
      </c>
      <c r="HY6" s="18" t="n">
        <f aca="false">HY5</f>
        <v>14317832.5111989</v>
      </c>
      <c r="HZ6" s="18" t="n">
        <f aca="false">HZ5</f>
        <v>14317832.5111989</v>
      </c>
      <c r="IA6" s="18" t="n">
        <f aca="false">IA5</f>
        <v>14317832.5111989</v>
      </c>
      <c r="IB6" s="18" t="n">
        <f aca="false">IB5</f>
        <v>14317832.5111989</v>
      </c>
      <c r="IC6" s="18" t="n">
        <f aca="false">IC5</f>
        <v>14317832.5111989</v>
      </c>
      <c r="ID6" s="18" t="n">
        <f aca="false">ID5</f>
        <v>14317832.5111989</v>
      </c>
      <c r="IE6" s="18" t="n">
        <f aca="false">IE5</f>
        <v>14317832.5111989</v>
      </c>
      <c r="IF6" s="18" t="n">
        <f aca="false">IF5</f>
        <v>14317832.5111989</v>
      </c>
      <c r="IG6" s="18" t="n">
        <f aca="false">IG5</f>
        <v>14317832.5111989</v>
      </c>
      <c r="IH6" s="18" t="n">
        <f aca="false">IH5</f>
        <v>15320080.7869828</v>
      </c>
      <c r="II6" s="18" t="n">
        <f aca="false">II5</f>
        <v>15320080.7869828</v>
      </c>
      <c r="IJ6" s="18" t="n">
        <f aca="false">IJ5</f>
        <v>15320080.7869828</v>
      </c>
      <c r="IK6" s="18" t="n">
        <f aca="false">IK5</f>
        <v>15320080.7869828</v>
      </c>
      <c r="IL6" s="18" t="n">
        <f aca="false">IL5</f>
        <v>15320080.7869828</v>
      </c>
      <c r="IM6" s="18" t="n">
        <f aca="false">IM5</f>
        <v>15320080.7869828</v>
      </c>
      <c r="IN6" s="18" t="n">
        <f aca="false">IN5</f>
        <v>15320080.7869828</v>
      </c>
      <c r="IO6" s="18" t="n">
        <f aca="false">IO5</f>
        <v>15320080.7869828</v>
      </c>
      <c r="IP6" s="18" t="n">
        <f aca="false">IP5</f>
        <v>15320080.7869828</v>
      </c>
      <c r="IQ6" s="18" t="n">
        <f aca="false">IQ5</f>
        <v>15320080.7869828</v>
      </c>
      <c r="IR6" s="18" t="n">
        <f aca="false">IR5</f>
        <v>15320080.7869828</v>
      </c>
      <c r="IS6" s="18" t="n">
        <f aca="false">IS5</f>
        <v>15320080.7869828</v>
      </c>
      <c r="IT6" s="18" t="n">
        <f aca="false">IT5</f>
        <v>16392486.4420716</v>
      </c>
      <c r="IU6" s="18" t="n">
        <f aca="false">IU5</f>
        <v>16392486.4420716</v>
      </c>
      <c r="IV6" s="18" t="n">
        <f aca="false">IV5</f>
        <v>16392486.4420716</v>
      </c>
      <c r="IW6" s="18" t="n">
        <f aca="false">IW5</f>
        <v>16392486.4420716</v>
      </c>
      <c r="IX6" s="18" t="n">
        <f aca="false">IX5</f>
        <v>16392486.4420716</v>
      </c>
      <c r="IY6" s="18" t="n">
        <f aca="false">IY5</f>
        <v>16392486.4420716</v>
      </c>
      <c r="IZ6" s="18" t="n">
        <f aca="false">IZ5</f>
        <v>16392486.4420716</v>
      </c>
      <c r="JA6" s="18" t="n">
        <f aca="false">JA5</f>
        <v>16392486.4420716</v>
      </c>
      <c r="JB6" s="18" t="n">
        <f aca="false">JB5</f>
        <v>16392486.4420716</v>
      </c>
      <c r="JC6" s="18" t="n">
        <f aca="false">JC5</f>
        <v>16392486.4420716</v>
      </c>
      <c r="JD6" s="18" t="n">
        <f aca="false">JD5</f>
        <v>16392486.4420716</v>
      </c>
      <c r="JE6" s="18" t="n">
        <f aca="false">JE5</f>
        <v>16392486.4420716</v>
      </c>
      <c r="JF6" s="18" t="n">
        <f aca="false">JF5</f>
        <v>17539960.4930166</v>
      </c>
      <c r="JG6" s="18" t="n">
        <f aca="false">JG5</f>
        <v>17539960.4930166</v>
      </c>
      <c r="JH6" s="18" t="n">
        <f aca="false">JH5</f>
        <v>17539960.4930166</v>
      </c>
      <c r="JI6" s="18" t="n">
        <f aca="false">JI5</f>
        <v>17539960.4930166</v>
      </c>
      <c r="JJ6" s="18" t="n">
        <f aca="false">JJ5</f>
        <v>17539960.4930166</v>
      </c>
      <c r="JK6" s="18" t="n">
        <f aca="false">JK5</f>
        <v>17539960.4930166</v>
      </c>
      <c r="JL6" s="18" t="n">
        <f aca="false">JL5</f>
        <v>17539960.4930166</v>
      </c>
      <c r="JM6" s="18" t="n">
        <f aca="false">JM5</f>
        <v>17539960.4930166</v>
      </c>
      <c r="JN6" s="18" t="n">
        <f aca="false">JN5</f>
        <v>17539960.4930166</v>
      </c>
      <c r="JO6" s="18" t="n">
        <f aca="false">JO5</f>
        <v>17539960.4930166</v>
      </c>
      <c r="JP6" s="18" t="n">
        <f aca="false">JP5</f>
        <v>17539960.4930166</v>
      </c>
      <c r="JQ6" s="18" t="n">
        <f aca="false">JQ5</f>
        <v>17539960.4930166</v>
      </c>
      <c r="JR6" s="18" t="n">
        <f aca="false">JR5</f>
        <v>18767757.7275278</v>
      </c>
      <c r="JS6" s="18" t="n">
        <f aca="false">JS5</f>
        <v>18767757.7275278</v>
      </c>
      <c r="JT6" s="18" t="n">
        <f aca="false">JT5</f>
        <v>18767757.7275278</v>
      </c>
      <c r="JU6" s="18" t="n">
        <f aca="false">JU5</f>
        <v>18767757.7275278</v>
      </c>
      <c r="JV6" s="18" t="n">
        <f aca="false">JV5</f>
        <v>18767757.7275278</v>
      </c>
      <c r="JW6" s="18" t="n">
        <f aca="false">JW5</f>
        <v>18767757.7275278</v>
      </c>
      <c r="JX6" s="18" t="n">
        <f aca="false">JX5</f>
        <v>18767757.7275278</v>
      </c>
      <c r="JY6" s="18" t="n">
        <f aca="false">JY5</f>
        <v>18767757.7275278</v>
      </c>
      <c r="JZ6" s="18" t="n">
        <f aca="false">JZ5</f>
        <v>18767757.7275278</v>
      </c>
      <c r="KA6" s="18" t="n">
        <f aca="false">KA5</f>
        <v>18767757.7275278</v>
      </c>
      <c r="KB6" s="18" t="n">
        <f aca="false">KB5</f>
        <v>18767757.7275278</v>
      </c>
      <c r="KC6" s="18" t="n">
        <f aca="false">KC5</f>
        <v>18767757.7275278</v>
      </c>
      <c r="KD6" s="18" t="n">
        <f aca="false">KD5</f>
        <v>20081500.7684547</v>
      </c>
      <c r="KE6" s="18" t="n">
        <f aca="false">KE5</f>
        <v>20081500.7684547</v>
      </c>
      <c r="KF6" s="18" t="n">
        <f aca="false">KF5</f>
        <v>20081500.7684547</v>
      </c>
      <c r="KG6" s="18" t="n">
        <f aca="false">KG5</f>
        <v>20081500.7684547</v>
      </c>
      <c r="KH6" s="18" t="n">
        <f aca="false">KH5</f>
        <v>20081500.7684547</v>
      </c>
      <c r="KI6" s="18" t="n">
        <f aca="false">KI5</f>
        <v>20081500.7684547</v>
      </c>
      <c r="KJ6" s="18" t="n">
        <f aca="false">KJ5</f>
        <v>20081500.7684547</v>
      </c>
      <c r="KK6" s="18" t="n">
        <f aca="false">KK5</f>
        <v>20081500.7684547</v>
      </c>
      <c r="KL6" s="18" t="n">
        <f aca="false">KL5</f>
        <v>20081500.7684547</v>
      </c>
      <c r="KM6" s="18" t="n">
        <f aca="false">KM5</f>
        <v>20081500.7684547</v>
      </c>
      <c r="KN6" s="18" t="n">
        <f aca="false">KN5</f>
        <v>20081500.7684547</v>
      </c>
      <c r="KO6" s="18" t="n">
        <f aca="false">KO5</f>
        <v>20081500.7684547</v>
      </c>
    </row>
    <row r="7" s="21" customFormat="true" ht="14.25" hidden="false" customHeight="false" outlineLevel="0" collapsed="false"/>
    <row r="8" s="21" customFormat="true" ht="14.25" hidden="false" customHeight="false" outlineLevel="0" collapsed="false">
      <c r="A8" s="20" t="s">
        <v>385</v>
      </c>
    </row>
    <row r="9" s="21" customFormat="true" ht="14.25" hidden="false" customHeight="false" outlineLevel="0" collapsed="false">
      <c r="A9" s="21" t="s">
        <v>386</v>
      </c>
      <c r="B9" s="18" t="n">
        <f aca="false">Supuestos!$B$16</f>
        <v>3800000</v>
      </c>
      <c r="C9" s="18" t="n">
        <f aca="false">Supuestos!$B$16</f>
        <v>3800000</v>
      </c>
      <c r="D9" s="18" t="n">
        <f aca="false">Supuestos!$B$16</f>
        <v>3800000</v>
      </c>
      <c r="E9" s="18" t="n">
        <f aca="false">Supuestos!$B$16</f>
        <v>3800000</v>
      </c>
      <c r="F9" s="18" t="n">
        <f aca="false">Supuestos!$B$16</f>
        <v>3800000</v>
      </c>
      <c r="G9" s="18" t="n">
        <f aca="false">Supuestos!$B$16</f>
        <v>3800000</v>
      </c>
      <c r="H9" s="18" t="n">
        <f aca="false">Supuestos!$B$16</f>
        <v>3800000</v>
      </c>
      <c r="I9" s="18" t="n">
        <f aca="false">Supuestos!$B$16</f>
        <v>3800000</v>
      </c>
      <c r="J9" s="18" t="n">
        <f aca="false">Supuestos!$B$16</f>
        <v>3800000</v>
      </c>
      <c r="K9" s="18" t="n">
        <f aca="false">Supuestos!$B$16</f>
        <v>3800000</v>
      </c>
      <c r="L9" s="18" t="n">
        <f aca="false">Supuestos!$B$16</f>
        <v>3800000</v>
      </c>
      <c r="M9" s="18" t="n">
        <f aca="false">Supuestos!$B$16</f>
        <v>3800000</v>
      </c>
      <c r="N9" s="18" t="n">
        <f aca="false">Supuestos!$B$16</f>
        <v>3800000</v>
      </c>
      <c r="O9" s="18" t="n">
        <f aca="false">Supuestos!$B$16</f>
        <v>3800000</v>
      </c>
      <c r="P9" s="18" t="n">
        <f aca="false">Supuestos!$B$16</f>
        <v>3800000</v>
      </c>
      <c r="Q9" s="18" t="n">
        <f aca="false">Supuestos!$B$16</f>
        <v>3800000</v>
      </c>
      <c r="R9" s="18" t="n">
        <f aca="false">Supuestos!$B$16</f>
        <v>3800000</v>
      </c>
      <c r="S9" s="18" t="n">
        <f aca="false">Supuestos!$B$16</f>
        <v>3800000</v>
      </c>
      <c r="T9" s="18" t="n">
        <f aca="false">Supuestos!$B$16</f>
        <v>3800000</v>
      </c>
      <c r="U9" s="18" t="n">
        <f aca="false">Supuestos!$B$16</f>
        <v>3800000</v>
      </c>
      <c r="V9" s="18" t="n">
        <f aca="false">Supuestos!$B$16</f>
        <v>3800000</v>
      </c>
      <c r="W9" s="18" t="n">
        <f aca="false">Supuestos!$B$16</f>
        <v>3800000</v>
      </c>
      <c r="X9" s="18" t="n">
        <f aca="false">Supuestos!$B$16</f>
        <v>3800000</v>
      </c>
      <c r="Y9" s="18" t="n">
        <f aca="false">Supuestos!$B$16</f>
        <v>3800000</v>
      </c>
      <c r="Z9" s="18" t="n">
        <f aca="false">Supuestos!$B$16</f>
        <v>3800000</v>
      </c>
      <c r="AA9" s="18" t="n">
        <f aca="false">Supuestos!$B$16</f>
        <v>3800000</v>
      </c>
      <c r="AB9" s="18" t="n">
        <f aca="false">Supuestos!$B$16</f>
        <v>3800000</v>
      </c>
      <c r="AC9" s="18" t="n">
        <f aca="false">Supuestos!$B$16</f>
        <v>3800000</v>
      </c>
      <c r="AD9" s="18" t="n">
        <f aca="false">Supuestos!$B$16</f>
        <v>3800000</v>
      </c>
      <c r="AE9" s="18" t="n">
        <f aca="false">Supuestos!$B$16</f>
        <v>3800000</v>
      </c>
      <c r="AF9" s="18" t="n">
        <f aca="false">Supuestos!$B$16</f>
        <v>3800000</v>
      </c>
      <c r="AG9" s="18" t="n">
        <f aca="false">Supuestos!$B$16</f>
        <v>3800000</v>
      </c>
      <c r="AH9" s="18" t="n">
        <f aca="false">Supuestos!$B$16</f>
        <v>3800000</v>
      </c>
      <c r="AI9" s="18" t="n">
        <f aca="false">Supuestos!$B$16</f>
        <v>3800000</v>
      </c>
      <c r="AJ9" s="18" t="n">
        <f aca="false">Supuestos!$B$16</f>
        <v>3800000</v>
      </c>
      <c r="AK9" s="18" t="n">
        <f aca="false">Supuestos!$B$16</f>
        <v>3800000</v>
      </c>
      <c r="AL9" s="18" t="n">
        <f aca="false">Supuestos!$B$16</f>
        <v>3800000</v>
      </c>
      <c r="AM9" s="18" t="n">
        <f aca="false">Supuestos!$B$16</f>
        <v>3800000</v>
      </c>
      <c r="AN9" s="18" t="n">
        <f aca="false">Supuestos!$B$16</f>
        <v>3800000</v>
      </c>
      <c r="AO9" s="18" t="n">
        <f aca="false">Supuestos!$B$16</f>
        <v>3800000</v>
      </c>
      <c r="AP9" s="18" t="n">
        <f aca="false">Supuestos!$B$16</f>
        <v>3800000</v>
      </c>
      <c r="AQ9" s="18" t="n">
        <f aca="false">Supuestos!$B$16</f>
        <v>3800000</v>
      </c>
      <c r="AR9" s="18" t="n">
        <f aca="false">Supuestos!$B$16</f>
        <v>3800000</v>
      </c>
      <c r="AS9" s="18" t="n">
        <f aca="false">Supuestos!$B$16</f>
        <v>3800000</v>
      </c>
      <c r="AT9" s="18" t="n">
        <f aca="false">Supuestos!$B$16</f>
        <v>3800000</v>
      </c>
      <c r="AU9" s="18" t="n">
        <f aca="false">Supuestos!$B$16</f>
        <v>3800000</v>
      </c>
      <c r="AV9" s="18" t="n">
        <f aca="false">Supuestos!$B$16</f>
        <v>3800000</v>
      </c>
      <c r="AW9" s="18" t="n">
        <f aca="false">Supuestos!$B$16</f>
        <v>3800000</v>
      </c>
      <c r="AX9" s="18" t="n">
        <f aca="false">Supuestos!$B$16</f>
        <v>3800000</v>
      </c>
      <c r="AY9" s="18" t="n">
        <f aca="false">Supuestos!$B$16</f>
        <v>3800000</v>
      </c>
      <c r="AZ9" s="18" t="n">
        <f aca="false">Supuestos!$B$16</f>
        <v>3800000</v>
      </c>
      <c r="BA9" s="18" t="n">
        <f aca="false">Supuestos!$B$16</f>
        <v>3800000</v>
      </c>
      <c r="BB9" s="18" t="n">
        <f aca="false">Supuestos!$B$16</f>
        <v>3800000</v>
      </c>
      <c r="BC9" s="18" t="n">
        <f aca="false">Supuestos!$B$16</f>
        <v>3800000</v>
      </c>
      <c r="BD9" s="18" t="n">
        <f aca="false">Supuestos!$B$16</f>
        <v>3800000</v>
      </c>
      <c r="BE9" s="18" t="n">
        <f aca="false">Supuestos!$B$16</f>
        <v>3800000</v>
      </c>
      <c r="BF9" s="18" t="n">
        <f aca="false">Supuestos!$B$16</f>
        <v>3800000</v>
      </c>
      <c r="BG9" s="18" t="n">
        <f aca="false">Supuestos!$B$16</f>
        <v>3800000</v>
      </c>
      <c r="BH9" s="18" t="n">
        <f aca="false">Supuestos!$B$16</f>
        <v>3800000</v>
      </c>
      <c r="BI9" s="18" t="n">
        <f aca="false">Supuestos!$B$16</f>
        <v>3800000</v>
      </c>
      <c r="BJ9" s="18" t="n">
        <f aca="false">Supuestos!$B$16</f>
        <v>3800000</v>
      </c>
      <c r="BK9" s="18" t="n">
        <f aca="false">Supuestos!$B$16</f>
        <v>3800000</v>
      </c>
      <c r="BL9" s="18" t="n">
        <f aca="false">Supuestos!$B$16</f>
        <v>3800000</v>
      </c>
      <c r="BM9" s="18" t="n">
        <f aca="false">Supuestos!$B$16</f>
        <v>3800000</v>
      </c>
      <c r="BN9" s="18" t="n">
        <f aca="false">Supuestos!$B$16</f>
        <v>3800000</v>
      </c>
      <c r="BO9" s="18" t="n">
        <f aca="false">Supuestos!$B$16</f>
        <v>3800000</v>
      </c>
      <c r="BP9" s="18" t="n">
        <f aca="false">Supuestos!$B$16</f>
        <v>3800000</v>
      </c>
      <c r="BQ9" s="18" t="n">
        <f aca="false">Supuestos!$B$16</f>
        <v>3800000</v>
      </c>
      <c r="BR9" s="18" t="n">
        <f aca="false">Supuestos!$B$16</f>
        <v>3800000</v>
      </c>
      <c r="BS9" s="18" t="n">
        <f aca="false">Supuestos!$B$16</f>
        <v>3800000</v>
      </c>
      <c r="BT9" s="18" t="n">
        <f aca="false">Supuestos!$B$16</f>
        <v>3800000</v>
      </c>
      <c r="BU9" s="18" t="n">
        <f aca="false">Supuestos!$B$16</f>
        <v>3800000</v>
      </c>
      <c r="BV9" s="18" t="n">
        <f aca="false">Supuestos!$B$16</f>
        <v>3800000</v>
      </c>
      <c r="BW9" s="18" t="n">
        <f aca="false">Supuestos!$B$16</f>
        <v>3800000</v>
      </c>
      <c r="BX9" s="18" t="n">
        <f aca="false">Supuestos!$B$16</f>
        <v>3800000</v>
      </c>
      <c r="BY9" s="18" t="n">
        <f aca="false">Supuestos!$B$16</f>
        <v>3800000</v>
      </c>
      <c r="BZ9" s="18" t="n">
        <f aca="false">Supuestos!$B$16</f>
        <v>3800000</v>
      </c>
      <c r="CA9" s="18" t="n">
        <f aca="false">Supuestos!$B$16</f>
        <v>3800000</v>
      </c>
      <c r="CB9" s="18" t="n">
        <f aca="false">Supuestos!$B$16</f>
        <v>3800000</v>
      </c>
      <c r="CC9" s="18" t="n">
        <f aca="false">Supuestos!$B$16</f>
        <v>3800000</v>
      </c>
      <c r="CD9" s="18" t="n">
        <f aca="false">Supuestos!$B$16</f>
        <v>3800000</v>
      </c>
      <c r="CE9" s="18" t="n">
        <f aca="false">Supuestos!$B$16</f>
        <v>3800000</v>
      </c>
      <c r="CF9" s="18" t="n">
        <f aca="false">Supuestos!$B$16</f>
        <v>3800000</v>
      </c>
      <c r="CG9" s="18" t="n">
        <f aca="false">Supuestos!$B$16</f>
        <v>3800000</v>
      </c>
      <c r="CH9" s="18" t="n">
        <f aca="false">Supuestos!$B$16</f>
        <v>3800000</v>
      </c>
      <c r="CI9" s="18" t="n">
        <f aca="false">Supuestos!$B$16</f>
        <v>3800000</v>
      </c>
      <c r="CJ9" s="18" t="n">
        <f aca="false">Supuestos!$B$16</f>
        <v>3800000</v>
      </c>
      <c r="CK9" s="18" t="n">
        <f aca="false">Supuestos!$B$16</f>
        <v>3800000</v>
      </c>
      <c r="CL9" s="18" t="n">
        <f aca="false">Supuestos!$B$16</f>
        <v>3800000</v>
      </c>
      <c r="CM9" s="18" t="n">
        <f aca="false">Supuestos!$B$16</f>
        <v>3800000</v>
      </c>
      <c r="CN9" s="18" t="n">
        <f aca="false">Supuestos!$B$16</f>
        <v>3800000</v>
      </c>
      <c r="CO9" s="18" t="n">
        <f aca="false">Supuestos!$B$16</f>
        <v>3800000</v>
      </c>
      <c r="CP9" s="18" t="n">
        <f aca="false">Supuestos!$B$16</f>
        <v>3800000</v>
      </c>
      <c r="CQ9" s="18" t="n">
        <f aca="false">Supuestos!$B$16</f>
        <v>3800000</v>
      </c>
      <c r="CR9" s="18" t="n">
        <f aca="false">Supuestos!$B$16</f>
        <v>3800000</v>
      </c>
      <c r="CS9" s="18" t="n">
        <f aca="false">Supuestos!$B$16</f>
        <v>3800000</v>
      </c>
      <c r="CT9" s="18" t="n">
        <f aca="false">Supuestos!$B$16</f>
        <v>3800000</v>
      </c>
      <c r="CU9" s="18" t="n">
        <f aca="false">Supuestos!$B$16</f>
        <v>3800000</v>
      </c>
      <c r="CV9" s="18" t="n">
        <f aca="false">Supuestos!$B$16</f>
        <v>3800000</v>
      </c>
      <c r="CW9" s="18" t="n">
        <f aca="false">Supuestos!$B$16</f>
        <v>3800000</v>
      </c>
      <c r="CX9" s="18" t="n">
        <f aca="false">Supuestos!$B$16</f>
        <v>3800000</v>
      </c>
      <c r="CY9" s="18" t="n">
        <f aca="false">Supuestos!$B$16</f>
        <v>3800000</v>
      </c>
      <c r="CZ9" s="18" t="n">
        <f aca="false">Supuestos!$B$16</f>
        <v>3800000</v>
      </c>
      <c r="DA9" s="18" t="n">
        <f aca="false">Supuestos!$B$16</f>
        <v>3800000</v>
      </c>
      <c r="DB9" s="18" t="n">
        <f aca="false">Supuestos!$B$16</f>
        <v>3800000</v>
      </c>
      <c r="DC9" s="18" t="n">
        <f aca="false">Supuestos!$B$16</f>
        <v>3800000</v>
      </c>
      <c r="DD9" s="18" t="n">
        <f aca="false">Supuestos!$B$16</f>
        <v>3800000</v>
      </c>
      <c r="DE9" s="18" t="n">
        <f aca="false">Supuestos!$B$16</f>
        <v>3800000</v>
      </c>
      <c r="DF9" s="18" t="n">
        <f aca="false">Supuestos!$B$16</f>
        <v>3800000</v>
      </c>
      <c r="DG9" s="18" t="n">
        <f aca="false">Supuestos!$B$16</f>
        <v>3800000</v>
      </c>
      <c r="DH9" s="18" t="n">
        <f aca="false">Supuestos!$B$16</f>
        <v>3800000</v>
      </c>
      <c r="DI9" s="18" t="n">
        <f aca="false">Supuestos!$B$16</f>
        <v>3800000</v>
      </c>
      <c r="DJ9" s="18" t="n">
        <f aca="false">Supuestos!$B$16</f>
        <v>3800000</v>
      </c>
      <c r="DK9" s="18" t="n">
        <f aca="false">Supuestos!$B$16</f>
        <v>3800000</v>
      </c>
      <c r="DL9" s="18" t="n">
        <f aca="false">Supuestos!$B$16</f>
        <v>3800000</v>
      </c>
      <c r="DM9" s="18" t="n">
        <f aca="false">Supuestos!$B$16</f>
        <v>3800000</v>
      </c>
      <c r="DN9" s="18" t="n">
        <f aca="false">Supuestos!$B$16</f>
        <v>3800000</v>
      </c>
      <c r="DO9" s="18" t="n">
        <f aca="false">Supuestos!$B$16</f>
        <v>3800000</v>
      </c>
      <c r="DP9" s="18" t="n">
        <f aca="false">Supuestos!$B$16</f>
        <v>3800000</v>
      </c>
      <c r="DQ9" s="18" t="n">
        <f aca="false">Supuestos!$B$16</f>
        <v>3800000</v>
      </c>
      <c r="DR9" s="18" t="n">
        <f aca="false">Supuestos!$B$16</f>
        <v>3800000</v>
      </c>
      <c r="DS9" s="18" t="n">
        <f aca="false">Supuestos!$B$16</f>
        <v>3800000</v>
      </c>
      <c r="DT9" s="18" t="n">
        <f aca="false">Supuestos!$B$16</f>
        <v>3800000</v>
      </c>
      <c r="DU9" s="18" t="n">
        <f aca="false">Supuestos!$B$16</f>
        <v>3800000</v>
      </c>
      <c r="DV9" s="18" t="n">
        <f aca="false">Supuestos!$B$16</f>
        <v>3800000</v>
      </c>
      <c r="DW9" s="18" t="n">
        <f aca="false">Supuestos!$B$16</f>
        <v>3800000</v>
      </c>
      <c r="DX9" s="18" t="n">
        <f aca="false">Supuestos!$B$16</f>
        <v>3800000</v>
      </c>
      <c r="DY9" s="18" t="n">
        <f aca="false">Supuestos!$B$16</f>
        <v>3800000</v>
      </c>
      <c r="DZ9" s="18" t="n">
        <f aca="false">Supuestos!$B$16</f>
        <v>3800000</v>
      </c>
      <c r="EA9" s="18" t="n">
        <f aca="false">Supuestos!$B$16</f>
        <v>3800000</v>
      </c>
      <c r="EB9" s="18" t="n">
        <f aca="false">Supuestos!$B$16</f>
        <v>3800000</v>
      </c>
      <c r="EC9" s="18" t="n">
        <f aca="false">Supuestos!$B$16</f>
        <v>3800000</v>
      </c>
      <c r="ED9" s="18" t="n">
        <f aca="false">Supuestos!$B$16</f>
        <v>3800000</v>
      </c>
      <c r="EE9" s="18" t="n">
        <f aca="false">Supuestos!$B$16</f>
        <v>3800000</v>
      </c>
      <c r="EF9" s="18" t="n">
        <f aca="false">Supuestos!$B$16</f>
        <v>3800000</v>
      </c>
      <c r="EG9" s="18" t="n">
        <f aca="false">Supuestos!$B$16</f>
        <v>3800000</v>
      </c>
      <c r="EH9" s="18" t="n">
        <f aca="false">Supuestos!$B$16</f>
        <v>3800000</v>
      </c>
      <c r="EI9" s="18" t="n">
        <f aca="false">Supuestos!$B$16</f>
        <v>3800000</v>
      </c>
      <c r="EJ9" s="18" t="n">
        <f aca="false">Supuestos!$B$16</f>
        <v>3800000</v>
      </c>
      <c r="EK9" s="18" t="n">
        <f aca="false">Supuestos!$B$16</f>
        <v>3800000</v>
      </c>
      <c r="EL9" s="18" t="n">
        <f aca="false">Supuestos!$B$16</f>
        <v>3800000</v>
      </c>
      <c r="EM9" s="18" t="n">
        <f aca="false">Supuestos!$B$16</f>
        <v>3800000</v>
      </c>
      <c r="EN9" s="18" t="n">
        <f aca="false">Supuestos!$B$16</f>
        <v>3800000</v>
      </c>
      <c r="EO9" s="18" t="n">
        <f aca="false">Supuestos!$B$16</f>
        <v>3800000</v>
      </c>
      <c r="EP9" s="18" t="n">
        <f aca="false">Supuestos!$B$16</f>
        <v>3800000</v>
      </c>
      <c r="EQ9" s="18" t="n">
        <f aca="false">Supuestos!$B$16</f>
        <v>3800000</v>
      </c>
      <c r="ER9" s="18" t="n">
        <f aca="false">Supuestos!$B$16</f>
        <v>3800000</v>
      </c>
      <c r="ES9" s="18" t="n">
        <f aca="false">Supuestos!$B$16</f>
        <v>3800000</v>
      </c>
      <c r="ET9" s="18" t="n">
        <f aca="false">Supuestos!$B$16</f>
        <v>3800000</v>
      </c>
      <c r="EU9" s="18" t="n">
        <f aca="false">Supuestos!$B$16</f>
        <v>3800000</v>
      </c>
      <c r="EV9" s="18" t="n">
        <f aca="false">Supuestos!$B$16</f>
        <v>3800000</v>
      </c>
      <c r="EW9" s="18" t="n">
        <f aca="false">Supuestos!$B$16</f>
        <v>3800000</v>
      </c>
      <c r="EX9" s="18" t="n">
        <f aca="false">Supuestos!$B$16</f>
        <v>3800000</v>
      </c>
      <c r="EY9" s="18" t="n">
        <f aca="false">Supuestos!$B$16</f>
        <v>3800000</v>
      </c>
      <c r="EZ9" s="18" t="n">
        <f aca="false">Supuestos!$B$16</f>
        <v>3800000</v>
      </c>
      <c r="FA9" s="18" t="n">
        <f aca="false">Supuestos!$B$16</f>
        <v>3800000</v>
      </c>
      <c r="FB9" s="18" t="n">
        <f aca="false">Supuestos!$B$16</f>
        <v>3800000</v>
      </c>
      <c r="FC9" s="18" t="n">
        <f aca="false">Supuestos!$B$16</f>
        <v>3800000</v>
      </c>
      <c r="FD9" s="18" t="n">
        <f aca="false">Supuestos!$B$16</f>
        <v>3800000</v>
      </c>
      <c r="FE9" s="18" t="n">
        <f aca="false">Supuestos!$B$16</f>
        <v>3800000</v>
      </c>
      <c r="FF9" s="18" t="n">
        <f aca="false">Supuestos!$B$16</f>
        <v>3800000</v>
      </c>
      <c r="FG9" s="18" t="n">
        <f aca="false">Supuestos!$B$16</f>
        <v>3800000</v>
      </c>
      <c r="FH9" s="18" t="n">
        <f aca="false">Supuestos!$B$16</f>
        <v>3800000</v>
      </c>
      <c r="FI9" s="18" t="n">
        <f aca="false">Supuestos!$B$16</f>
        <v>3800000</v>
      </c>
      <c r="FJ9" s="18" t="n">
        <f aca="false">Supuestos!$B$16</f>
        <v>3800000</v>
      </c>
      <c r="FK9" s="18" t="n">
        <f aca="false">Supuestos!$B$16</f>
        <v>3800000</v>
      </c>
      <c r="FL9" s="18" t="n">
        <f aca="false">Supuestos!$B$16</f>
        <v>3800000</v>
      </c>
      <c r="FM9" s="18" t="n">
        <f aca="false">Supuestos!$B$16</f>
        <v>3800000</v>
      </c>
      <c r="FN9" s="18" t="n">
        <f aca="false">Supuestos!$B$16</f>
        <v>3800000</v>
      </c>
      <c r="FO9" s="18" t="n">
        <f aca="false">Supuestos!$B$16</f>
        <v>3800000</v>
      </c>
      <c r="FP9" s="18" t="n">
        <f aca="false">Supuestos!$B$16</f>
        <v>3800000</v>
      </c>
      <c r="FQ9" s="18" t="n">
        <f aca="false">Supuestos!$B$16</f>
        <v>3800000</v>
      </c>
      <c r="FR9" s="18" t="n">
        <f aca="false">Supuestos!$B$16</f>
        <v>3800000</v>
      </c>
      <c r="FS9" s="18" t="n">
        <f aca="false">Supuestos!$B$16</f>
        <v>3800000</v>
      </c>
      <c r="FT9" s="18" t="n">
        <f aca="false">Supuestos!$B$16</f>
        <v>3800000</v>
      </c>
      <c r="FU9" s="18" t="n">
        <f aca="false">Supuestos!$B$16</f>
        <v>3800000</v>
      </c>
      <c r="FV9" s="18" t="n">
        <f aca="false">Supuestos!$B$16</f>
        <v>3800000</v>
      </c>
      <c r="FW9" s="18" t="n">
        <f aca="false">Supuestos!$B$16</f>
        <v>3800000</v>
      </c>
      <c r="FX9" s="18" t="n">
        <f aca="false">Supuestos!$B$16</f>
        <v>3800000</v>
      </c>
      <c r="FY9" s="18" t="n">
        <f aca="false">Supuestos!$B$16</f>
        <v>3800000</v>
      </c>
      <c r="FZ9" s="18" t="n">
        <f aca="false">Supuestos!$B$16</f>
        <v>3800000</v>
      </c>
      <c r="GA9" s="18" t="n">
        <f aca="false">Supuestos!$B$16</f>
        <v>3800000</v>
      </c>
      <c r="GB9" s="18" t="n">
        <f aca="false">Supuestos!$B$16</f>
        <v>3800000</v>
      </c>
      <c r="GC9" s="18" t="n">
        <f aca="false">Supuestos!$B$16</f>
        <v>3800000</v>
      </c>
      <c r="GD9" s="18" t="n">
        <f aca="false">Supuestos!$B$16</f>
        <v>3800000</v>
      </c>
      <c r="GE9" s="18" t="n">
        <f aca="false">Supuestos!$B$16</f>
        <v>3800000</v>
      </c>
      <c r="GF9" s="18" t="n">
        <f aca="false">Supuestos!$B$16</f>
        <v>3800000</v>
      </c>
      <c r="GG9" s="18" t="n">
        <f aca="false">Supuestos!$B$16</f>
        <v>3800000</v>
      </c>
      <c r="GH9" s="18" t="n">
        <f aca="false">Supuestos!$B$16</f>
        <v>3800000</v>
      </c>
      <c r="GI9" s="18" t="n">
        <f aca="false">Supuestos!$B$16</f>
        <v>3800000</v>
      </c>
      <c r="GJ9" s="18" t="n">
        <f aca="false">Supuestos!$B$16</f>
        <v>3800000</v>
      </c>
      <c r="GK9" s="18" t="n">
        <f aca="false">Supuestos!$B$16</f>
        <v>3800000</v>
      </c>
      <c r="GL9" s="18" t="n">
        <f aca="false">Supuestos!$B$16</f>
        <v>3800000</v>
      </c>
      <c r="GM9" s="18" t="n">
        <f aca="false">Supuestos!$B$16</f>
        <v>3800000</v>
      </c>
      <c r="GN9" s="18" t="n">
        <f aca="false">Supuestos!$B$16</f>
        <v>3800000</v>
      </c>
      <c r="GO9" s="18" t="n">
        <f aca="false">Supuestos!$B$16</f>
        <v>3800000</v>
      </c>
      <c r="GP9" s="18" t="n">
        <f aca="false">Supuestos!$B$16</f>
        <v>3800000</v>
      </c>
      <c r="GQ9" s="18" t="n">
        <f aca="false">Supuestos!$B$16</f>
        <v>3800000</v>
      </c>
      <c r="GR9" s="18" t="n">
        <f aca="false">Supuestos!$B$16</f>
        <v>3800000</v>
      </c>
      <c r="GS9" s="18" t="n">
        <f aca="false">Supuestos!$B$16</f>
        <v>3800000</v>
      </c>
      <c r="GT9" s="18" t="n">
        <f aca="false">Supuestos!$B$16</f>
        <v>3800000</v>
      </c>
      <c r="GU9" s="18" t="n">
        <f aca="false">Supuestos!$B$16</f>
        <v>3800000</v>
      </c>
      <c r="GV9" s="18" t="n">
        <f aca="false">Supuestos!$B$16</f>
        <v>3800000</v>
      </c>
      <c r="GW9" s="18" t="n">
        <f aca="false">Supuestos!$B$16</f>
        <v>3800000</v>
      </c>
      <c r="GX9" s="18" t="n">
        <f aca="false">Supuestos!$B$16</f>
        <v>3800000</v>
      </c>
      <c r="GY9" s="18" t="n">
        <f aca="false">Supuestos!$B$16</f>
        <v>3800000</v>
      </c>
      <c r="GZ9" s="18" t="n">
        <f aca="false">Supuestos!$B$16</f>
        <v>3800000</v>
      </c>
      <c r="HA9" s="18" t="n">
        <f aca="false">Supuestos!$B$16</f>
        <v>3800000</v>
      </c>
      <c r="HB9" s="18" t="n">
        <f aca="false">Supuestos!$B$16</f>
        <v>3800000</v>
      </c>
      <c r="HC9" s="18" t="n">
        <f aca="false">Supuestos!$B$16</f>
        <v>3800000</v>
      </c>
      <c r="HD9" s="18" t="n">
        <f aca="false">Supuestos!$B$16</f>
        <v>3800000</v>
      </c>
      <c r="HE9" s="18" t="n">
        <f aca="false">Supuestos!$B$16</f>
        <v>3800000</v>
      </c>
      <c r="HF9" s="18" t="n">
        <f aca="false">Supuestos!$B$16</f>
        <v>3800000</v>
      </c>
      <c r="HG9" s="18" t="n">
        <f aca="false">Supuestos!$B$16</f>
        <v>3800000</v>
      </c>
      <c r="HH9" s="18" t="n">
        <f aca="false">Supuestos!$B$16</f>
        <v>3800000</v>
      </c>
      <c r="HI9" s="18" t="n">
        <f aca="false">Supuestos!$B$16</f>
        <v>3800000</v>
      </c>
      <c r="HJ9" s="18" t="n">
        <f aca="false">Supuestos!$B$16</f>
        <v>3800000</v>
      </c>
      <c r="HK9" s="18" t="n">
        <f aca="false">Supuestos!$B$16</f>
        <v>3800000</v>
      </c>
      <c r="HL9" s="18" t="n">
        <f aca="false">Supuestos!$B$16</f>
        <v>3800000</v>
      </c>
      <c r="HM9" s="18" t="n">
        <f aca="false">Supuestos!$B$16</f>
        <v>3800000</v>
      </c>
      <c r="HN9" s="18" t="n">
        <f aca="false">Supuestos!$B$16</f>
        <v>3800000</v>
      </c>
      <c r="HO9" s="18" t="n">
        <f aca="false">Supuestos!$B$16</f>
        <v>3800000</v>
      </c>
      <c r="HP9" s="18" t="n">
        <f aca="false">Supuestos!$B$16</f>
        <v>3800000</v>
      </c>
      <c r="HQ9" s="18" t="n">
        <f aca="false">Supuestos!$B$16</f>
        <v>3800000</v>
      </c>
      <c r="HR9" s="18" t="n">
        <f aca="false">Supuestos!$B$16</f>
        <v>3800000</v>
      </c>
      <c r="HS9" s="18" t="n">
        <f aca="false">Supuestos!$B$16</f>
        <v>3800000</v>
      </c>
      <c r="HT9" s="18" t="n">
        <f aca="false">Supuestos!$B$16</f>
        <v>3800000</v>
      </c>
      <c r="HU9" s="18" t="n">
        <f aca="false">Supuestos!$B$16</f>
        <v>3800000</v>
      </c>
      <c r="HV9" s="18" t="n">
        <f aca="false">Supuestos!$B$16</f>
        <v>3800000</v>
      </c>
      <c r="HW9" s="18" t="n">
        <f aca="false">Supuestos!$B$16</f>
        <v>3800000</v>
      </c>
      <c r="HX9" s="18" t="n">
        <f aca="false">Supuestos!$B$16</f>
        <v>3800000</v>
      </c>
      <c r="HY9" s="18" t="n">
        <f aca="false">Supuestos!$B$16</f>
        <v>3800000</v>
      </c>
      <c r="HZ9" s="18" t="n">
        <f aca="false">Supuestos!$B$16</f>
        <v>3800000</v>
      </c>
      <c r="IA9" s="18" t="n">
        <f aca="false">Supuestos!$B$16</f>
        <v>3800000</v>
      </c>
      <c r="IB9" s="18" t="n">
        <f aca="false">Supuestos!$B$16</f>
        <v>3800000</v>
      </c>
      <c r="IC9" s="18" t="n">
        <f aca="false">Supuestos!$B$16</f>
        <v>3800000</v>
      </c>
      <c r="ID9" s="18" t="n">
        <f aca="false">Supuestos!$B$16</f>
        <v>3800000</v>
      </c>
      <c r="IE9" s="18" t="n">
        <f aca="false">Supuestos!$B$16</f>
        <v>3800000</v>
      </c>
      <c r="IF9" s="18" t="n">
        <f aca="false">Supuestos!$B$16</f>
        <v>3800000</v>
      </c>
      <c r="IG9" s="18" t="n">
        <f aca="false">Supuestos!$B$16</f>
        <v>3800000</v>
      </c>
      <c r="IH9" s="18" t="n">
        <f aca="false">Supuestos!$B$16</f>
        <v>3800000</v>
      </c>
      <c r="II9" s="18" t="n">
        <f aca="false">Supuestos!$B$16</f>
        <v>3800000</v>
      </c>
      <c r="IJ9" s="18" t="n">
        <f aca="false">Supuestos!$B$16</f>
        <v>3800000</v>
      </c>
      <c r="IK9" s="18" t="n">
        <f aca="false">Supuestos!$B$16</f>
        <v>3800000</v>
      </c>
      <c r="IL9" s="18" t="n">
        <f aca="false">Supuestos!$B$16</f>
        <v>3800000</v>
      </c>
      <c r="IM9" s="18" t="n">
        <f aca="false">Supuestos!$B$16</f>
        <v>3800000</v>
      </c>
      <c r="IN9" s="18" t="n">
        <f aca="false">Supuestos!$B$16</f>
        <v>3800000</v>
      </c>
      <c r="IO9" s="18" t="n">
        <f aca="false">Supuestos!$B$16</f>
        <v>3800000</v>
      </c>
      <c r="IP9" s="18" t="n">
        <f aca="false">Supuestos!$B$16</f>
        <v>3800000</v>
      </c>
      <c r="IQ9" s="18" t="n">
        <f aca="false">Supuestos!$B$16</f>
        <v>3800000</v>
      </c>
      <c r="IR9" s="18" t="n">
        <f aca="false">Supuestos!$B$16</f>
        <v>3800000</v>
      </c>
      <c r="IS9" s="18" t="n">
        <f aca="false">Supuestos!$B$16</f>
        <v>3800000</v>
      </c>
      <c r="IT9" s="18" t="n">
        <f aca="false">Supuestos!$B$16</f>
        <v>3800000</v>
      </c>
      <c r="IU9" s="18" t="n">
        <f aca="false">Supuestos!$B$16</f>
        <v>3800000</v>
      </c>
      <c r="IV9" s="18" t="n">
        <f aca="false">Supuestos!$B$16</f>
        <v>3800000</v>
      </c>
      <c r="IW9" s="18" t="n">
        <f aca="false">Supuestos!$B$16</f>
        <v>3800000</v>
      </c>
      <c r="IX9" s="18" t="n">
        <f aca="false">Supuestos!$B$16</f>
        <v>3800000</v>
      </c>
      <c r="IY9" s="18" t="n">
        <f aca="false">Supuestos!$B$16</f>
        <v>3800000</v>
      </c>
      <c r="IZ9" s="18" t="n">
        <f aca="false">Supuestos!$B$16</f>
        <v>3800000</v>
      </c>
      <c r="JA9" s="18" t="n">
        <f aca="false">Supuestos!$B$16</f>
        <v>3800000</v>
      </c>
      <c r="JB9" s="18" t="n">
        <f aca="false">Supuestos!$B$16</f>
        <v>3800000</v>
      </c>
      <c r="JC9" s="18" t="n">
        <f aca="false">Supuestos!$B$16</f>
        <v>3800000</v>
      </c>
      <c r="JD9" s="18" t="n">
        <f aca="false">Supuestos!$B$16</f>
        <v>3800000</v>
      </c>
      <c r="JE9" s="18" t="n">
        <f aca="false">Supuestos!$B$16</f>
        <v>3800000</v>
      </c>
      <c r="JF9" s="18" t="n">
        <f aca="false">Supuestos!$B$16</f>
        <v>3800000</v>
      </c>
      <c r="JG9" s="18" t="n">
        <f aca="false">Supuestos!$B$16</f>
        <v>3800000</v>
      </c>
      <c r="JH9" s="18" t="n">
        <f aca="false">Supuestos!$B$16</f>
        <v>3800000</v>
      </c>
      <c r="JI9" s="18" t="n">
        <f aca="false">Supuestos!$B$16</f>
        <v>3800000</v>
      </c>
      <c r="JJ9" s="18" t="n">
        <f aca="false">Supuestos!$B$16</f>
        <v>3800000</v>
      </c>
      <c r="JK9" s="18" t="n">
        <f aca="false">Supuestos!$B$16</f>
        <v>3800000</v>
      </c>
      <c r="JL9" s="18" t="n">
        <f aca="false">Supuestos!$B$16</f>
        <v>3800000</v>
      </c>
      <c r="JM9" s="18" t="n">
        <f aca="false">Supuestos!$B$16</f>
        <v>3800000</v>
      </c>
      <c r="JN9" s="18" t="n">
        <f aca="false">Supuestos!$B$16</f>
        <v>3800000</v>
      </c>
      <c r="JO9" s="18" t="n">
        <f aca="false">Supuestos!$B$16</f>
        <v>3800000</v>
      </c>
      <c r="JP9" s="18" t="n">
        <f aca="false">Supuestos!$B$16</f>
        <v>3800000</v>
      </c>
      <c r="JQ9" s="18" t="n">
        <f aca="false">Supuestos!$B$16</f>
        <v>3800000</v>
      </c>
      <c r="JR9" s="18" t="n">
        <f aca="false">Supuestos!$B$16</f>
        <v>3800000</v>
      </c>
      <c r="JS9" s="18" t="n">
        <f aca="false">Supuestos!$B$16</f>
        <v>3800000</v>
      </c>
      <c r="JT9" s="18" t="n">
        <f aca="false">Supuestos!$B$16</f>
        <v>3800000</v>
      </c>
      <c r="JU9" s="18" t="n">
        <f aca="false">Supuestos!$B$16</f>
        <v>3800000</v>
      </c>
      <c r="JV9" s="18" t="n">
        <f aca="false">Supuestos!$B$16</f>
        <v>3800000</v>
      </c>
      <c r="JW9" s="18" t="n">
        <f aca="false">Supuestos!$B$16</f>
        <v>3800000</v>
      </c>
      <c r="JX9" s="18" t="n">
        <f aca="false">Supuestos!$B$16</f>
        <v>3800000</v>
      </c>
      <c r="JY9" s="18" t="n">
        <f aca="false">Supuestos!$B$16</f>
        <v>3800000</v>
      </c>
      <c r="JZ9" s="18" t="n">
        <f aca="false">Supuestos!$B$16</f>
        <v>3800000</v>
      </c>
      <c r="KA9" s="18" t="n">
        <f aca="false">Supuestos!$B$16</f>
        <v>3800000</v>
      </c>
      <c r="KB9" s="18" t="n">
        <f aca="false">Supuestos!$B$16</f>
        <v>3800000</v>
      </c>
      <c r="KC9" s="18" t="n">
        <f aca="false">Supuestos!$B$16</f>
        <v>3800000</v>
      </c>
      <c r="KD9" s="18" t="n">
        <f aca="false">Supuestos!$B$16</f>
        <v>3800000</v>
      </c>
      <c r="KE9" s="18" t="n">
        <f aca="false">Supuestos!$B$16</f>
        <v>3800000</v>
      </c>
      <c r="KF9" s="18" t="n">
        <f aca="false">Supuestos!$B$16</f>
        <v>3800000</v>
      </c>
      <c r="KG9" s="18" t="n">
        <f aca="false">Supuestos!$B$16</f>
        <v>3800000</v>
      </c>
      <c r="KH9" s="18" t="n">
        <f aca="false">Supuestos!$B$16</f>
        <v>3800000</v>
      </c>
      <c r="KI9" s="18" t="n">
        <f aca="false">Supuestos!$B$16</f>
        <v>3800000</v>
      </c>
      <c r="KJ9" s="18" t="n">
        <f aca="false">Supuestos!$B$16</f>
        <v>3800000</v>
      </c>
      <c r="KK9" s="18" t="n">
        <f aca="false">Supuestos!$B$16</f>
        <v>3800000</v>
      </c>
      <c r="KL9" s="18" t="n">
        <f aca="false">Supuestos!$B$16</f>
        <v>3800000</v>
      </c>
      <c r="KM9" s="18" t="n">
        <f aca="false">Supuestos!$B$16</f>
        <v>3800000</v>
      </c>
      <c r="KN9" s="18" t="n">
        <f aca="false">Supuestos!$B$16</f>
        <v>3800000</v>
      </c>
      <c r="KO9" s="18" t="n">
        <f aca="false">Supuestos!$B$16</f>
        <v>3800000</v>
      </c>
    </row>
    <row r="10" s="21" customFormat="true" ht="14.25" hidden="false" customHeight="false" outlineLevel="0" collapsed="false">
      <c r="A10" s="21" t="s">
        <v>387</v>
      </c>
      <c r="B10" s="18" t="n">
        <f aca="false">Supuestos!$B$17</f>
        <v>1900000</v>
      </c>
      <c r="C10" s="18" t="n">
        <f aca="false">Supuestos!$B$17</f>
        <v>1900000</v>
      </c>
      <c r="D10" s="18" t="n">
        <f aca="false">Supuestos!$B$17</f>
        <v>1900000</v>
      </c>
      <c r="E10" s="18" t="n">
        <f aca="false">Supuestos!$B$17</f>
        <v>1900000</v>
      </c>
      <c r="F10" s="18" t="n">
        <f aca="false">Supuestos!$B$17</f>
        <v>1900000</v>
      </c>
      <c r="G10" s="18" t="n">
        <f aca="false">Supuestos!$B$17</f>
        <v>1900000</v>
      </c>
      <c r="H10" s="18" t="n">
        <f aca="false">Supuestos!$B$17</f>
        <v>1900000</v>
      </c>
      <c r="I10" s="18" t="n">
        <f aca="false">Supuestos!$B$17</f>
        <v>1900000</v>
      </c>
      <c r="J10" s="18" t="n">
        <f aca="false">Supuestos!$B$17</f>
        <v>1900000</v>
      </c>
      <c r="K10" s="18" t="n">
        <f aca="false">Supuestos!$B$17</f>
        <v>1900000</v>
      </c>
      <c r="L10" s="18" t="n">
        <f aca="false">Supuestos!$B$17</f>
        <v>1900000</v>
      </c>
      <c r="M10" s="18" t="n">
        <f aca="false">Supuestos!$B$17</f>
        <v>1900000</v>
      </c>
      <c r="N10" s="18" t="n">
        <f aca="false">Supuestos!$B$17</f>
        <v>1900000</v>
      </c>
      <c r="O10" s="18" t="n">
        <f aca="false">Supuestos!$B$17</f>
        <v>1900000</v>
      </c>
      <c r="P10" s="18" t="n">
        <f aca="false">Supuestos!$B$17</f>
        <v>1900000</v>
      </c>
      <c r="Q10" s="18" t="n">
        <f aca="false">Supuestos!$B$17</f>
        <v>1900000</v>
      </c>
      <c r="R10" s="18" t="n">
        <f aca="false">Supuestos!$B$17</f>
        <v>1900000</v>
      </c>
      <c r="S10" s="18" t="n">
        <f aca="false">Supuestos!$B$17</f>
        <v>1900000</v>
      </c>
      <c r="T10" s="18" t="n">
        <f aca="false">Supuestos!$B$17</f>
        <v>1900000</v>
      </c>
      <c r="U10" s="18" t="n">
        <f aca="false">Supuestos!$B$17</f>
        <v>1900000</v>
      </c>
      <c r="V10" s="18" t="n">
        <f aca="false">Supuestos!$B$17</f>
        <v>1900000</v>
      </c>
      <c r="W10" s="18" t="n">
        <f aca="false">Supuestos!$B$17</f>
        <v>1900000</v>
      </c>
      <c r="X10" s="18" t="n">
        <f aca="false">Supuestos!$B$17</f>
        <v>1900000</v>
      </c>
      <c r="Y10" s="18" t="n">
        <f aca="false">Supuestos!$B$17</f>
        <v>1900000</v>
      </c>
      <c r="Z10" s="18" t="n">
        <f aca="false">Supuestos!$B$17</f>
        <v>1900000</v>
      </c>
      <c r="AA10" s="18" t="n">
        <f aca="false">Supuestos!$B$17</f>
        <v>1900000</v>
      </c>
      <c r="AB10" s="18" t="n">
        <f aca="false">Supuestos!$B$17</f>
        <v>1900000</v>
      </c>
      <c r="AC10" s="18" t="n">
        <f aca="false">Supuestos!$B$17</f>
        <v>1900000</v>
      </c>
      <c r="AD10" s="18" t="n">
        <f aca="false">Supuestos!$B$17</f>
        <v>1900000</v>
      </c>
      <c r="AE10" s="18" t="n">
        <f aca="false">Supuestos!$B$17</f>
        <v>1900000</v>
      </c>
      <c r="AF10" s="18" t="n">
        <f aca="false">Supuestos!$B$17</f>
        <v>1900000</v>
      </c>
      <c r="AG10" s="18" t="n">
        <f aca="false">Supuestos!$B$17</f>
        <v>1900000</v>
      </c>
      <c r="AH10" s="18" t="n">
        <f aca="false">Supuestos!$B$17</f>
        <v>1900000</v>
      </c>
      <c r="AI10" s="18" t="n">
        <f aca="false">Supuestos!$B$17</f>
        <v>1900000</v>
      </c>
      <c r="AJ10" s="18" t="n">
        <f aca="false">Supuestos!$B$17</f>
        <v>1900000</v>
      </c>
      <c r="AK10" s="18" t="n">
        <f aca="false">Supuestos!$B$17</f>
        <v>1900000</v>
      </c>
      <c r="AL10" s="18" t="n">
        <f aca="false">Supuestos!$B$17</f>
        <v>1900000</v>
      </c>
      <c r="AM10" s="18" t="n">
        <f aca="false">Supuestos!$B$17</f>
        <v>1900000</v>
      </c>
      <c r="AN10" s="18" t="n">
        <f aca="false">Supuestos!$B$17</f>
        <v>1900000</v>
      </c>
      <c r="AO10" s="18" t="n">
        <f aca="false">Supuestos!$B$17</f>
        <v>1900000</v>
      </c>
      <c r="AP10" s="18" t="n">
        <f aca="false">Supuestos!$B$17</f>
        <v>1900000</v>
      </c>
      <c r="AQ10" s="18" t="n">
        <f aca="false">Supuestos!$B$17</f>
        <v>1900000</v>
      </c>
      <c r="AR10" s="18" t="n">
        <f aca="false">Supuestos!$B$17</f>
        <v>1900000</v>
      </c>
      <c r="AS10" s="18" t="n">
        <f aca="false">Supuestos!$B$17</f>
        <v>1900000</v>
      </c>
      <c r="AT10" s="18" t="n">
        <f aca="false">Supuestos!$B$17</f>
        <v>1900000</v>
      </c>
      <c r="AU10" s="18" t="n">
        <f aca="false">Supuestos!$B$17</f>
        <v>1900000</v>
      </c>
      <c r="AV10" s="18" t="n">
        <f aca="false">Supuestos!$B$17</f>
        <v>1900000</v>
      </c>
      <c r="AW10" s="18" t="n">
        <f aca="false">Supuestos!$B$17</f>
        <v>1900000</v>
      </c>
      <c r="AX10" s="18" t="n">
        <f aca="false">Supuestos!$B$17</f>
        <v>1900000</v>
      </c>
      <c r="AY10" s="18" t="n">
        <f aca="false">Supuestos!$B$17</f>
        <v>1900000</v>
      </c>
      <c r="AZ10" s="18" t="n">
        <f aca="false">Supuestos!$B$17</f>
        <v>1900000</v>
      </c>
      <c r="BA10" s="18" t="n">
        <f aca="false">Supuestos!$B$17</f>
        <v>1900000</v>
      </c>
      <c r="BB10" s="18" t="n">
        <f aca="false">Supuestos!$B$17</f>
        <v>1900000</v>
      </c>
      <c r="BC10" s="18" t="n">
        <f aca="false">Supuestos!$B$17</f>
        <v>1900000</v>
      </c>
      <c r="BD10" s="18" t="n">
        <f aca="false">Supuestos!$B$17</f>
        <v>1900000</v>
      </c>
      <c r="BE10" s="18" t="n">
        <f aca="false">Supuestos!$B$17</f>
        <v>1900000</v>
      </c>
      <c r="BF10" s="18" t="n">
        <f aca="false">Supuestos!$B$17</f>
        <v>1900000</v>
      </c>
      <c r="BG10" s="18" t="n">
        <f aca="false">Supuestos!$B$17</f>
        <v>1900000</v>
      </c>
      <c r="BH10" s="18" t="n">
        <f aca="false">Supuestos!$B$17</f>
        <v>1900000</v>
      </c>
      <c r="BI10" s="18" t="n">
        <f aca="false">Supuestos!$B$17</f>
        <v>1900000</v>
      </c>
      <c r="BJ10" s="18" t="n">
        <f aca="false">Supuestos!$B$17</f>
        <v>1900000</v>
      </c>
      <c r="BK10" s="18" t="n">
        <f aca="false">Supuestos!$B$17</f>
        <v>1900000</v>
      </c>
      <c r="BL10" s="18" t="n">
        <f aca="false">Supuestos!$B$17</f>
        <v>1900000</v>
      </c>
      <c r="BM10" s="18" t="n">
        <f aca="false">Supuestos!$B$17</f>
        <v>1900000</v>
      </c>
      <c r="BN10" s="18" t="n">
        <f aca="false">Supuestos!$B$17</f>
        <v>1900000</v>
      </c>
      <c r="BO10" s="18" t="n">
        <f aca="false">Supuestos!$B$17</f>
        <v>1900000</v>
      </c>
      <c r="BP10" s="18" t="n">
        <f aca="false">Supuestos!$B$17</f>
        <v>1900000</v>
      </c>
      <c r="BQ10" s="18" t="n">
        <f aca="false">Supuestos!$B$17</f>
        <v>1900000</v>
      </c>
      <c r="BR10" s="18" t="n">
        <f aca="false">Supuestos!$B$17</f>
        <v>1900000</v>
      </c>
      <c r="BS10" s="18" t="n">
        <f aca="false">Supuestos!$B$17</f>
        <v>1900000</v>
      </c>
      <c r="BT10" s="18" t="n">
        <f aca="false">Supuestos!$B$17</f>
        <v>1900000</v>
      </c>
      <c r="BU10" s="18" t="n">
        <f aca="false">Supuestos!$B$17</f>
        <v>1900000</v>
      </c>
      <c r="BV10" s="18" t="n">
        <f aca="false">Supuestos!$B$17</f>
        <v>1900000</v>
      </c>
      <c r="BW10" s="18" t="n">
        <f aca="false">Supuestos!$B$17</f>
        <v>1900000</v>
      </c>
      <c r="BX10" s="18" t="n">
        <f aca="false">Supuestos!$B$17</f>
        <v>1900000</v>
      </c>
      <c r="BY10" s="18" t="n">
        <f aca="false">Supuestos!$B$17</f>
        <v>1900000</v>
      </c>
      <c r="BZ10" s="18" t="n">
        <f aca="false">Supuestos!$B$17</f>
        <v>1900000</v>
      </c>
      <c r="CA10" s="18" t="n">
        <f aca="false">Supuestos!$B$17</f>
        <v>1900000</v>
      </c>
      <c r="CB10" s="18" t="n">
        <f aca="false">Supuestos!$B$17</f>
        <v>1900000</v>
      </c>
      <c r="CC10" s="18" t="n">
        <f aca="false">Supuestos!$B$17</f>
        <v>1900000</v>
      </c>
      <c r="CD10" s="18" t="n">
        <f aca="false">Supuestos!$B$17</f>
        <v>1900000</v>
      </c>
      <c r="CE10" s="18" t="n">
        <f aca="false">Supuestos!$B$17</f>
        <v>1900000</v>
      </c>
      <c r="CF10" s="18" t="n">
        <f aca="false">Supuestos!$B$17</f>
        <v>1900000</v>
      </c>
      <c r="CG10" s="18" t="n">
        <f aca="false">Supuestos!$B$17</f>
        <v>1900000</v>
      </c>
      <c r="CH10" s="18" t="n">
        <f aca="false">Supuestos!$B$17</f>
        <v>1900000</v>
      </c>
      <c r="CI10" s="18" t="n">
        <f aca="false">Supuestos!$B$17</f>
        <v>1900000</v>
      </c>
      <c r="CJ10" s="18" t="n">
        <f aca="false">Supuestos!$B$17</f>
        <v>1900000</v>
      </c>
      <c r="CK10" s="18" t="n">
        <f aca="false">Supuestos!$B$17</f>
        <v>1900000</v>
      </c>
      <c r="CL10" s="18" t="n">
        <f aca="false">Supuestos!$B$17</f>
        <v>1900000</v>
      </c>
      <c r="CM10" s="18" t="n">
        <f aca="false">Supuestos!$B$17</f>
        <v>1900000</v>
      </c>
      <c r="CN10" s="18" t="n">
        <f aca="false">Supuestos!$B$17</f>
        <v>1900000</v>
      </c>
      <c r="CO10" s="18" t="n">
        <f aca="false">Supuestos!$B$17</f>
        <v>1900000</v>
      </c>
      <c r="CP10" s="18" t="n">
        <f aca="false">Supuestos!$B$17</f>
        <v>1900000</v>
      </c>
      <c r="CQ10" s="18" t="n">
        <f aca="false">Supuestos!$B$17</f>
        <v>1900000</v>
      </c>
      <c r="CR10" s="18" t="n">
        <f aca="false">Supuestos!$B$17</f>
        <v>1900000</v>
      </c>
      <c r="CS10" s="18" t="n">
        <f aca="false">Supuestos!$B$17</f>
        <v>1900000</v>
      </c>
      <c r="CT10" s="18" t="n">
        <f aca="false">Supuestos!$B$17</f>
        <v>1900000</v>
      </c>
      <c r="CU10" s="18" t="n">
        <f aca="false">Supuestos!$B$17</f>
        <v>1900000</v>
      </c>
      <c r="CV10" s="18" t="n">
        <f aca="false">Supuestos!$B$17</f>
        <v>1900000</v>
      </c>
      <c r="CW10" s="18" t="n">
        <f aca="false">Supuestos!$B$17</f>
        <v>1900000</v>
      </c>
      <c r="CX10" s="18" t="n">
        <f aca="false">Supuestos!$B$17</f>
        <v>1900000</v>
      </c>
      <c r="CY10" s="18" t="n">
        <f aca="false">Supuestos!$B$17</f>
        <v>1900000</v>
      </c>
      <c r="CZ10" s="18" t="n">
        <f aca="false">Supuestos!$B$17</f>
        <v>1900000</v>
      </c>
      <c r="DA10" s="18" t="n">
        <f aca="false">Supuestos!$B$17</f>
        <v>1900000</v>
      </c>
      <c r="DB10" s="18" t="n">
        <f aca="false">Supuestos!$B$17</f>
        <v>1900000</v>
      </c>
      <c r="DC10" s="18" t="n">
        <f aca="false">Supuestos!$B$17</f>
        <v>1900000</v>
      </c>
      <c r="DD10" s="18" t="n">
        <f aca="false">Supuestos!$B$17</f>
        <v>1900000</v>
      </c>
      <c r="DE10" s="18" t="n">
        <f aca="false">Supuestos!$B$17</f>
        <v>1900000</v>
      </c>
      <c r="DF10" s="18" t="n">
        <f aca="false">Supuestos!$B$17</f>
        <v>1900000</v>
      </c>
      <c r="DG10" s="18" t="n">
        <f aca="false">Supuestos!$B$17</f>
        <v>1900000</v>
      </c>
      <c r="DH10" s="18" t="n">
        <f aca="false">Supuestos!$B$17</f>
        <v>1900000</v>
      </c>
      <c r="DI10" s="18" t="n">
        <f aca="false">Supuestos!$B$17</f>
        <v>1900000</v>
      </c>
      <c r="DJ10" s="18" t="n">
        <f aca="false">Supuestos!$B$17</f>
        <v>1900000</v>
      </c>
      <c r="DK10" s="18" t="n">
        <f aca="false">Supuestos!$B$17</f>
        <v>1900000</v>
      </c>
      <c r="DL10" s="18" t="n">
        <f aca="false">Supuestos!$B$17</f>
        <v>1900000</v>
      </c>
      <c r="DM10" s="18" t="n">
        <f aca="false">Supuestos!$B$17</f>
        <v>1900000</v>
      </c>
      <c r="DN10" s="18" t="n">
        <f aca="false">Supuestos!$B$17</f>
        <v>1900000</v>
      </c>
      <c r="DO10" s="18" t="n">
        <f aca="false">Supuestos!$B$17</f>
        <v>1900000</v>
      </c>
      <c r="DP10" s="18" t="n">
        <f aca="false">Supuestos!$B$17</f>
        <v>1900000</v>
      </c>
      <c r="DQ10" s="18" t="n">
        <f aca="false">Supuestos!$B$17</f>
        <v>1900000</v>
      </c>
      <c r="DR10" s="18" t="n">
        <f aca="false">Supuestos!$B$17</f>
        <v>1900000</v>
      </c>
      <c r="DS10" s="18" t="n">
        <f aca="false">Supuestos!$B$17</f>
        <v>1900000</v>
      </c>
      <c r="DT10" s="18" t="n">
        <f aca="false">Supuestos!$B$17</f>
        <v>1900000</v>
      </c>
      <c r="DU10" s="18" t="n">
        <f aca="false">Supuestos!$B$17</f>
        <v>1900000</v>
      </c>
      <c r="DV10" s="18" t="n">
        <f aca="false">Supuestos!$B$17</f>
        <v>1900000</v>
      </c>
      <c r="DW10" s="18" t="n">
        <f aca="false">Supuestos!$B$17</f>
        <v>1900000</v>
      </c>
      <c r="DX10" s="18" t="n">
        <f aca="false">Supuestos!$B$17</f>
        <v>1900000</v>
      </c>
      <c r="DY10" s="18" t="n">
        <f aca="false">Supuestos!$B$17</f>
        <v>1900000</v>
      </c>
      <c r="DZ10" s="18" t="n">
        <f aca="false">Supuestos!$B$17</f>
        <v>1900000</v>
      </c>
      <c r="EA10" s="18" t="n">
        <f aca="false">Supuestos!$B$17</f>
        <v>1900000</v>
      </c>
      <c r="EB10" s="18" t="n">
        <f aca="false">Supuestos!$B$17</f>
        <v>1900000</v>
      </c>
      <c r="EC10" s="18" t="n">
        <f aca="false">Supuestos!$B$17</f>
        <v>1900000</v>
      </c>
      <c r="ED10" s="18" t="n">
        <f aca="false">Supuestos!$B$17</f>
        <v>1900000</v>
      </c>
      <c r="EE10" s="18" t="n">
        <f aca="false">Supuestos!$B$17</f>
        <v>1900000</v>
      </c>
      <c r="EF10" s="18" t="n">
        <f aca="false">Supuestos!$B$17</f>
        <v>1900000</v>
      </c>
      <c r="EG10" s="18" t="n">
        <f aca="false">Supuestos!$B$17</f>
        <v>1900000</v>
      </c>
      <c r="EH10" s="18" t="n">
        <f aca="false">Supuestos!$B$17</f>
        <v>1900000</v>
      </c>
      <c r="EI10" s="18" t="n">
        <f aca="false">Supuestos!$B$17</f>
        <v>1900000</v>
      </c>
      <c r="EJ10" s="18" t="n">
        <f aca="false">Supuestos!$B$17</f>
        <v>1900000</v>
      </c>
      <c r="EK10" s="18" t="n">
        <f aca="false">Supuestos!$B$17</f>
        <v>1900000</v>
      </c>
      <c r="EL10" s="18" t="n">
        <f aca="false">Supuestos!$B$17</f>
        <v>1900000</v>
      </c>
      <c r="EM10" s="18" t="n">
        <f aca="false">Supuestos!$B$17</f>
        <v>1900000</v>
      </c>
      <c r="EN10" s="18" t="n">
        <f aca="false">Supuestos!$B$17</f>
        <v>1900000</v>
      </c>
      <c r="EO10" s="18" t="n">
        <f aca="false">Supuestos!$B$17</f>
        <v>1900000</v>
      </c>
      <c r="EP10" s="18" t="n">
        <f aca="false">Supuestos!$B$17</f>
        <v>1900000</v>
      </c>
      <c r="EQ10" s="18" t="n">
        <f aca="false">Supuestos!$B$17</f>
        <v>1900000</v>
      </c>
      <c r="ER10" s="18" t="n">
        <f aca="false">Supuestos!$B$17</f>
        <v>1900000</v>
      </c>
      <c r="ES10" s="18" t="n">
        <f aca="false">Supuestos!$B$17</f>
        <v>1900000</v>
      </c>
      <c r="ET10" s="18" t="n">
        <f aca="false">Supuestos!$B$17</f>
        <v>1900000</v>
      </c>
      <c r="EU10" s="18" t="n">
        <f aca="false">Supuestos!$B$17</f>
        <v>1900000</v>
      </c>
      <c r="EV10" s="18" t="n">
        <f aca="false">Supuestos!$B$17</f>
        <v>1900000</v>
      </c>
      <c r="EW10" s="18" t="n">
        <f aca="false">Supuestos!$B$17</f>
        <v>1900000</v>
      </c>
      <c r="EX10" s="18" t="n">
        <f aca="false">Supuestos!$B$17</f>
        <v>1900000</v>
      </c>
      <c r="EY10" s="18" t="n">
        <f aca="false">Supuestos!$B$17</f>
        <v>1900000</v>
      </c>
      <c r="EZ10" s="18" t="n">
        <f aca="false">Supuestos!$B$17</f>
        <v>1900000</v>
      </c>
      <c r="FA10" s="18" t="n">
        <f aca="false">Supuestos!$B$17</f>
        <v>1900000</v>
      </c>
      <c r="FB10" s="18" t="n">
        <f aca="false">Supuestos!$B$17</f>
        <v>1900000</v>
      </c>
      <c r="FC10" s="18" t="n">
        <f aca="false">Supuestos!$B$17</f>
        <v>1900000</v>
      </c>
      <c r="FD10" s="18" t="n">
        <f aca="false">Supuestos!$B$17</f>
        <v>1900000</v>
      </c>
      <c r="FE10" s="18" t="n">
        <f aca="false">Supuestos!$B$17</f>
        <v>1900000</v>
      </c>
      <c r="FF10" s="18" t="n">
        <f aca="false">Supuestos!$B$17</f>
        <v>1900000</v>
      </c>
      <c r="FG10" s="18" t="n">
        <f aca="false">Supuestos!$B$17</f>
        <v>1900000</v>
      </c>
      <c r="FH10" s="18" t="n">
        <f aca="false">Supuestos!$B$17</f>
        <v>1900000</v>
      </c>
      <c r="FI10" s="18" t="n">
        <f aca="false">Supuestos!$B$17</f>
        <v>1900000</v>
      </c>
      <c r="FJ10" s="18" t="n">
        <f aca="false">Supuestos!$B$17</f>
        <v>1900000</v>
      </c>
      <c r="FK10" s="18" t="n">
        <f aca="false">Supuestos!$B$17</f>
        <v>1900000</v>
      </c>
      <c r="FL10" s="18" t="n">
        <f aca="false">Supuestos!$B$17</f>
        <v>1900000</v>
      </c>
      <c r="FM10" s="18" t="n">
        <f aca="false">Supuestos!$B$17</f>
        <v>1900000</v>
      </c>
      <c r="FN10" s="18" t="n">
        <f aca="false">Supuestos!$B$17</f>
        <v>1900000</v>
      </c>
      <c r="FO10" s="18" t="n">
        <f aca="false">Supuestos!$B$17</f>
        <v>1900000</v>
      </c>
      <c r="FP10" s="18" t="n">
        <f aca="false">Supuestos!$B$17</f>
        <v>1900000</v>
      </c>
      <c r="FQ10" s="18" t="n">
        <f aca="false">Supuestos!$B$17</f>
        <v>1900000</v>
      </c>
      <c r="FR10" s="18" t="n">
        <f aca="false">Supuestos!$B$17</f>
        <v>1900000</v>
      </c>
      <c r="FS10" s="18" t="n">
        <f aca="false">Supuestos!$B$17</f>
        <v>1900000</v>
      </c>
      <c r="FT10" s="18" t="n">
        <f aca="false">Supuestos!$B$17</f>
        <v>1900000</v>
      </c>
      <c r="FU10" s="18" t="n">
        <f aca="false">Supuestos!$B$17</f>
        <v>1900000</v>
      </c>
      <c r="FV10" s="18" t="n">
        <f aca="false">Supuestos!$B$17</f>
        <v>1900000</v>
      </c>
      <c r="FW10" s="18" t="n">
        <f aca="false">Supuestos!$B$17</f>
        <v>1900000</v>
      </c>
      <c r="FX10" s="18" t="n">
        <f aca="false">Supuestos!$B$17</f>
        <v>1900000</v>
      </c>
      <c r="FY10" s="18" t="n">
        <f aca="false">Supuestos!$B$17</f>
        <v>1900000</v>
      </c>
      <c r="FZ10" s="18" t="n">
        <f aca="false">Supuestos!$B$17</f>
        <v>1900000</v>
      </c>
      <c r="GA10" s="18" t="n">
        <f aca="false">Supuestos!$B$17</f>
        <v>1900000</v>
      </c>
      <c r="GB10" s="18" t="n">
        <f aca="false">Supuestos!$B$17</f>
        <v>1900000</v>
      </c>
      <c r="GC10" s="18" t="n">
        <f aca="false">Supuestos!$B$17</f>
        <v>1900000</v>
      </c>
      <c r="GD10" s="18" t="n">
        <f aca="false">Supuestos!$B$17</f>
        <v>1900000</v>
      </c>
      <c r="GE10" s="18" t="n">
        <f aca="false">Supuestos!$B$17</f>
        <v>1900000</v>
      </c>
      <c r="GF10" s="18" t="n">
        <f aca="false">Supuestos!$B$17</f>
        <v>1900000</v>
      </c>
      <c r="GG10" s="18" t="n">
        <f aca="false">Supuestos!$B$17</f>
        <v>1900000</v>
      </c>
      <c r="GH10" s="18" t="n">
        <f aca="false">Supuestos!$B$17</f>
        <v>1900000</v>
      </c>
      <c r="GI10" s="18" t="n">
        <f aca="false">Supuestos!$B$17</f>
        <v>1900000</v>
      </c>
      <c r="GJ10" s="18" t="n">
        <f aca="false">Supuestos!$B$17</f>
        <v>1900000</v>
      </c>
      <c r="GK10" s="18" t="n">
        <f aca="false">Supuestos!$B$17</f>
        <v>1900000</v>
      </c>
      <c r="GL10" s="18" t="n">
        <f aca="false">Supuestos!$B$17</f>
        <v>1900000</v>
      </c>
      <c r="GM10" s="18" t="n">
        <f aca="false">Supuestos!$B$17</f>
        <v>1900000</v>
      </c>
      <c r="GN10" s="18" t="n">
        <f aca="false">Supuestos!$B$17</f>
        <v>1900000</v>
      </c>
      <c r="GO10" s="18" t="n">
        <f aca="false">Supuestos!$B$17</f>
        <v>1900000</v>
      </c>
      <c r="GP10" s="18" t="n">
        <f aca="false">Supuestos!$B$17</f>
        <v>1900000</v>
      </c>
      <c r="GQ10" s="18" t="n">
        <f aca="false">Supuestos!$B$17</f>
        <v>1900000</v>
      </c>
      <c r="GR10" s="18" t="n">
        <f aca="false">Supuestos!$B$17</f>
        <v>1900000</v>
      </c>
      <c r="GS10" s="18" t="n">
        <f aca="false">Supuestos!$B$17</f>
        <v>1900000</v>
      </c>
      <c r="GT10" s="18" t="n">
        <f aca="false">Supuestos!$B$17</f>
        <v>1900000</v>
      </c>
      <c r="GU10" s="18" t="n">
        <f aca="false">Supuestos!$B$17</f>
        <v>1900000</v>
      </c>
      <c r="GV10" s="18" t="n">
        <f aca="false">Supuestos!$B$17</f>
        <v>1900000</v>
      </c>
      <c r="GW10" s="18" t="n">
        <f aca="false">Supuestos!$B$17</f>
        <v>1900000</v>
      </c>
      <c r="GX10" s="18" t="n">
        <f aca="false">Supuestos!$B$17</f>
        <v>1900000</v>
      </c>
      <c r="GY10" s="18" t="n">
        <f aca="false">Supuestos!$B$17</f>
        <v>1900000</v>
      </c>
      <c r="GZ10" s="18" t="n">
        <f aca="false">Supuestos!$B$17</f>
        <v>1900000</v>
      </c>
      <c r="HA10" s="18" t="n">
        <f aca="false">Supuestos!$B$17</f>
        <v>1900000</v>
      </c>
      <c r="HB10" s="18" t="n">
        <f aca="false">Supuestos!$B$17</f>
        <v>1900000</v>
      </c>
      <c r="HC10" s="18" t="n">
        <f aca="false">Supuestos!$B$17</f>
        <v>1900000</v>
      </c>
      <c r="HD10" s="18" t="n">
        <f aca="false">Supuestos!$B$17</f>
        <v>1900000</v>
      </c>
      <c r="HE10" s="18" t="n">
        <f aca="false">Supuestos!$B$17</f>
        <v>1900000</v>
      </c>
      <c r="HF10" s="18" t="n">
        <f aca="false">Supuestos!$B$17</f>
        <v>1900000</v>
      </c>
      <c r="HG10" s="18" t="n">
        <f aca="false">Supuestos!$B$17</f>
        <v>1900000</v>
      </c>
      <c r="HH10" s="18" t="n">
        <f aca="false">Supuestos!$B$17</f>
        <v>1900000</v>
      </c>
      <c r="HI10" s="18" t="n">
        <f aca="false">Supuestos!$B$17</f>
        <v>1900000</v>
      </c>
      <c r="HJ10" s="18" t="n">
        <f aca="false">Supuestos!$B$17</f>
        <v>1900000</v>
      </c>
      <c r="HK10" s="18" t="n">
        <f aca="false">Supuestos!$B$17</f>
        <v>1900000</v>
      </c>
      <c r="HL10" s="18" t="n">
        <f aca="false">Supuestos!$B$17</f>
        <v>1900000</v>
      </c>
      <c r="HM10" s="18" t="n">
        <f aca="false">Supuestos!$B$17</f>
        <v>1900000</v>
      </c>
      <c r="HN10" s="18" t="n">
        <f aca="false">Supuestos!$B$17</f>
        <v>1900000</v>
      </c>
      <c r="HO10" s="18" t="n">
        <f aca="false">Supuestos!$B$17</f>
        <v>1900000</v>
      </c>
      <c r="HP10" s="18" t="n">
        <f aca="false">Supuestos!$B$17</f>
        <v>1900000</v>
      </c>
      <c r="HQ10" s="18" t="n">
        <f aca="false">Supuestos!$B$17</f>
        <v>1900000</v>
      </c>
      <c r="HR10" s="18" t="n">
        <f aca="false">Supuestos!$B$17</f>
        <v>1900000</v>
      </c>
      <c r="HS10" s="18" t="n">
        <f aca="false">Supuestos!$B$17</f>
        <v>1900000</v>
      </c>
      <c r="HT10" s="18" t="n">
        <f aca="false">Supuestos!$B$17</f>
        <v>1900000</v>
      </c>
      <c r="HU10" s="18" t="n">
        <f aca="false">Supuestos!$B$17</f>
        <v>1900000</v>
      </c>
      <c r="HV10" s="18" t="n">
        <f aca="false">Supuestos!$B$17</f>
        <v>1900000</v>
      </c>
      <c r="HW10" s="18" t="n">
        <f aca="false">Supuestos!$B$17</f>
        <v>1900000</v>
      </c>
      <c r="HX10" s="18" t="n">
        <f aca="false">Supuestos!$B$17</f>
        <v>1900000</v>
      </c>
      <c r="HY10" s="18" t="n">
        <f aca="false">Supuestos!$B$17</f>
        <v>1900000</v>
      </c>
      <c r="HZ10" s="18" t="n">
        <f aca="false">Supuestos!$B$17</f>
        <v>1900000</v>
      </c>
      <c r="IA10" s="18" t="n">
        <f aca="false">Supuestos!$B$17</f>
        <v>1900000</v>
      </c>
      <c r="IB10" s="18" t="n">
        <f aca="false">Supuestos!$B$17</f>
        <v>1900000</v>
      </c>
      <c r="IC10" s="18" t="n">
        <f aca="false">Supuestos!$B$17</f>
        <v>1900000</v>
      </c>
      <c r="ID10" s="18" t="n">
        <f aca="false">Supuestos!$B$17</f>
        <v>1900000</v>
      </c>
      <c r="IE10" s="18" t="n">
        <f aca="false">Supuestos!$B$17</f>
        <v>1900000</v>
      </c>
      <c r="IF10" s="18" t="n">
        <f aca="false">Supuestos!$B$17</f>
        <v>1900000</v>
      </c>
      <c r="IG10" s="18" t="n">
        <f aca="false">Supuestos!$B$17</f>
        <v>1900000</v>
      </c>
      <c r="IH10" s="18" t="n">
        <f aca="false">Supuestos!$B$17</f>
        <v>1900000</v>
      </c>
      <c r="II10" s="18" t="n">
        <f aca="false">Supuestos!$B$17</f>
        <v>1900000</v>
      </c>
      <c r="IJ10" s="18" t="n">
        <f aca="false">Supuestos!$B$17</f>
        <v>1900000</v>
      </c>
      <c r="IK10" s="18" t="n">
        <f aca="false">Supuestos!$B$17</f>
        <v>1900000</v>
      </c>
      <c r="IL10" s="18" t="n">
        <f aca="false">Supuestos!$B$17</f>
        <v>1900000</v>
      </c>
      <c r="IM10" s="18" t="n">
        <f aca="false">Supuestos!$B$17</f>
        <v>1900000</v>
      </c>
      <c r="IN10" s="18" t="n">
        <f aca="false">Supuestos!$B$17</f>
        <v>1900000</v>
      </c>
      <c r="IO10" s="18" t="n">
        <f aca="false">Supuestos!$B$17</f>
        <v>1900000</v>
      </c>
      <c r="IP10" s="18" t="n">
        <f aca="false">Supuestos!$B$17</f>
        <v>1900000</v>
      </c>
      <c r="IQ10" s="18" t="n">
        <f aca="false">Supuestos!$B$17</f>
        <v>1900000</v>
      </c>
      <c r="IR10" s="18" t="n">
        <f aca="false">Supuestos!$B$17</f>
        <v>1900000</v>
      </c>
      <c r="IS10" s="18" t="n">
        <f aca="false">Supuestos!$B$17</f>
        <v>1900000</v>
      </c>
      <c r="IT10" s="18" t="n">
        <f aca="false">Supuestos!$B$17</f>
        <v>1900000</v>
      </c>
      <c r="IU10" s="18" t="n">
        <f aca="false">Supuestos!$B$17</f>
        <v>1900000</v>
      </c>
      <c r="IV10" s="18" t="n">
        <f aca="false">Supuestos!$B$17</f>
        <v>1900000</v>
      </c>
      <c r="IW10" s="18" t="n">
        <f aca="false">Supuestos!$B$17</f>
        <v>1900000</v>
      </c>
      <c r="IX10" s="18" t="n">
        <f aca="false">Supuestos!$B$17</f>
        <v>1900000</v>
      </c>
      <c r="IY10" s="18" t="n">
        <f aca="false">Supuestos!$B$17</f>
        <v>1900000</v>
      </c>
      <c r="IZ10" s="18" t="n">
        <f aca="false">Supuestos!$B$17</f>
        <v>1900000</v>
      </c>
      <c r="JA10" s="18" t="n">
        <f aca="false">Supuestos!$B$17</f>
        <v>1900000</v>
      </c>
      <c r="JB10" s="18" t="n">
        <f aca="false">Supuestos!$B$17</f>
        <v>1900000</v>
      </c>
      <c r="JC10" s="18" t="n">
        <f aca="false">Supuestos!$B$17</f>
        <v>1900000</v>
      </c>
      <c r="JD10" s="18" t="n">
        <f aca="false">Supuestos!$B$17</f>
        <v>1900000</v>
      </c>
      <c r="JE10" s="18" t="n">
        <f aca="false">Supuestos!$B$17</f>
        <v>1900000</v>
      </c>
      <c r="JF10" s="18" t="n">
        <f aca="false">Supuestos!$B$17</f>
        <v>1900000</v>
      </c>
      <c r="JG10" s="18" t="n">
        <f aca="false">Supuestos!$B$17</f>
        <v>1900000</v>
      </c>
      <c r="JH10" s="18" t="n">
        <f aca="false">Supuestos!$B$17</f>
        <v>1900000</v>
      </c>
      <c r="JI10" s="18" t="n">
        <f aca="false">Supuestos!$B$17</f>
        <v>1900000</v>
      </c>
      <c r="JJ10" s="18" t="n">
        <f aca="false">Supuestos!$B$17</f>
        <v>1900000</v>
      </c>
      <c r="JK10" s="18" t="n">
        <f aca="false">Supuestos!$B$17</f>
        <v>1900000</v>
      </c>
      <c r="JL10" s="18" t="n">
        <f aca="false">Supuestos!$B$17</f>
        <v>1900000</v>
      </c>
      <c r="JM10" s="18" t="n">
        <f aca="false">Supuestos!$B$17</f>
        <v>1900000</v>
      </c>
      <c r="JN10" s="18" t="n">
        <f aca="false">Supuestos!$B$17</f>
        <v>1900000</v>
      </c>
      <c r="JO10" s="18" t="n">
        <f aca="false">Supuestos!$B$17</f>
        <v>1900000</v>
      </c>
      <c r="JP10" s="18" t="n">
        <f aca="false">Supuestos!$B$17</f>
        <v>1900000</v>
      </c>
      <c r="JQ10" s="18" t="n">
        <f aca="false">Supuestos!$B$17</f>
        <v>1900000</v>
      </c>
      <c r="JR10" s="18" t="n">
        <f aca="false">Supuestos!$B$17</f>
        <v>1900000</v>
      </c>
      <c r="JS10" s="18" t="n">
        <f aca="false">Supuestos!$B$17</f>
        <v>1900000</v>
      </c>
      <c r="JT10" s="18" t="n">
        <f aca="false">Supuestos!$B$17</f>
        <v>1900000</v>
      </c>
      <c r="JU10" s="18" t="n">
        <f aca="false">Supuestos!$B$17</f>
        <v>1900000</v>
      </c>
      <c r="JV10" s="18" t="n">
        <f aca="false">Supuestos!$B$17</f>
        <v>1900000</v>
      </c>
      <c r="JW10" s="18" t="n">
        <f aca="false">Supuestos!$B$17</f>
        <v>1900000</v>
      </c>
      <c r="JX10" s="18" t="n">
        <f aca="false">Supuestos!$B$17</f>
        <v>1900000</v>
      </c>
      <c r="JY10" s="18" t="n">
        <f aca="false">Supuestos!$B$17</f>
        <v>1900000</v>
      </c>
      <c r="JZ10" s="18" t="n">
        <f aca="false">Supuestos!$B$17</f>
        <v>1900000</v>
      </c>
      <c r="KA10" s="18" t="n">
        <f aca="false">Supuestos!$B$17</f>
        <v>1900000</v>
      </c>
      <c r="KB10" s="18" t="n">
        <f aca="false">Supuestos!$B$17</f>
        <v>1900000</v>
      </c>
      <c r="KC10" s="18" t="n">
        <f aca="false">Supuestos!$B$17</f>
        <v>1900000</v>
      </c>
      <c r="KD10" s="18" t="n">
        <f aca="false">Supuestos!$B$17</f>
        <v>1900000</v>
      </c>
      <c r="KE10" s="18" t="n">
        <f aca="false">Supuestos!$B$17</f>
        <v>1900000</v>
      </c>
      <c r="KF10" s="18" t="n">
        <f aca="false">Supuestos!$B$17</f>
        <v>1900000</v>
      </c>
      <c r="KG10" s="18" t="n">
        <f aca="false">Supuestos!$B$17</f>
        <v>1900000</v>
      </c>
      <c r="KH10" s="18" t="n">
        <f aca="false">Supuestos!$B$17</f>
        <v>1900000</v>
      </c>
      <c r="KI10" s="18" t="n">
        <f aca="false">Supuestos!$B$17</f>
        <v>1900000</v>
      </c>
      <c r="KJ10" s="18" t="n">
        <f aca="false">Supuestos!$B$17</f>
        <v>1900000</v>
      </c>
      <c r="KK10" s="18" t="n">
        <f aca="false">Supuestos!$B$17</f>
        <v>1900000</v>
      </c>
      <c r="KL10" s="18" t="n">
        <f aca="false">Supuestos!$B$17</f>
        <v>1900000</v>
      </c>
      <c r="KM10" s="18" t="n">
        <f aca="false">Supuestos!$B$17</f>
        <v>1900000</v>
      </c>
      <c r="KN10" s="18" t="n">
        <f aca="false">Supuestos!$B$17</f>
        <v>1900000</v>
      </c>
      <c r="KO10" s="18" t="n">
        <f aca="false">Supuestos!$B$17</f>
        <v>1900000</v>
      </c>
    </row>
    <row r="11" s="21" customFormat="true" ht="14.25" hidden="false" customHeight="false" outlineLevel="0" collapsed="false">
      <c r="A11" s="21" t="s">
        <v>388</v>
      </c>
      <c r="B11" s="18" t="n">
        <f aca="false">Supuestos!$B$18</f>
        <v>300000</v>
      </c>
      <c r="C11" s="18" t="n">
        <f aca="false">Supuestos!$B$18</f>
        <v>300000</v>
      </c>
      <c r="D11" s="18" t="n">
        <f aca="false">Supuestos!$B$18</f>
        <v>300000</v>
      </c>
      <c r="E11" s="18" t="n">
        <f aca="false">Supuestos!$B$18</f>
        <v>300000</v>
      </c>
      <c r="F11" s="18" t="n">
        <f aca="false">Supuestos!$B$18</f>
        <v>300000</v>
      </c>
      <c r="G11" s="18" t="n">
        <f aca="false">Supuestos!$B$18</f>
        <v>300000</v>
      </c>
      <c r="H11" s="18" t="n">
        <f aca="false">Supuestos!$B$18</f>
        <v>300000</v>
      </c>
      <c r="I11" s="18" t="n">
        <f aca="false">Supuestos!$B$18</f>
        <v>300000</v>
      </c>
      <c r="J11" s="18" t="n">
        <f aca="false">Supuestos!$B$18</f>
        <v>300000</v>
      </c>
      <c r="K11" s="18" t="n">
        <f aca="false">Supuestos!$B$18</f>
        <v>300000</v>
      </c>
      <c r="L11" s="18" t="n">
        <f aca="false">Supuestos!$B$18</f>
        <v>300000</v>
      </c>
      <c r="M11" s="18" t="n">
        <f aca="false">Supuestos!$B$18</f>
        <v>300000</v>
      </c>
      <c r="N11" s="18" t="n">
        <f aca="false">Supuestos!$B$18</f>
        <v>300000</v>
      </c>
      <c r="O11" s="18" t="n">
        <f aca="false">Supuestos!$B$18</f>
        <v>300000</v>
      </c>
      <c r="P11" s="18" t="n">
        <f aca="false">Supuestos!$B$18</f>
        <v>300000</v>
      </c>
      <c r="Q11" s="18" t="n">
        <f aca="false">Supuestos!$B$18</f>
        <v>300000</v>
      </c>
      <c r="R11" s="18" t="n">
        <f aca="false">Supuestos!$B$18</f>
        <v>300000</v>
      </c>
      <c r="S11" s="18" t="n">
        <f aca="false">Supuestos!$B$18</f>
        <v>300000</v>
      </c>
      <c r="T11" s="18" t="n">
        <f aca="false">Supuestos!$B$18</f>
        <v>300000</v>
      </c>
      <c r="U11" s="18" t="n">
        <f aca="false">Supuestos!$B$18</f>
        <v>300000</v>
      </c>
      <c r="V11" s="18" t="n">
        <f aca="false">Supuestos!$B$18</f>
        <v>300000</v>
      </c>
      <c r="W11" s="18" t="n">
        <f aca="false">Supuestos!$B$18</f>
        <v>300000</v>
      </c>
      <c r="X11" s="18" t="n">
        <f aca="false">Supuestos!$B$18</f>
        <v>300000</v>
      </c>
      <c r="Y11" s="18" t="n">
        <f aca="false">Supuestos!$B$18</f>
        <v>300000</v>
      </c>
      <c r="Z11" s="18" t="n">
        <f aca="false">Supuestos!$B$18</f>
        <v>300000</v>
      </c>
      <c r="AA11" s="18" t="n">
        <f aca="false">Supuestos!$B$18</f>
        <v>300000</v>
      </c>
      <c r="AB11" s="18" t="n">
        <f aca="false">Supuestos!$B$18</f>
        <v>300000</v>
      </c>
      <c r="AC11" s="18" t="n">
        <f aca="false">Supuestos!$B$18</f>
        <v>300000</v>
      </c>
      <c r="AD11" s="18" t="n">
        <f aca="false">Supuestos!$B$18</f>
        <v>300000</v>
      </c>
      <c r="AE11" s="18" t="n">
        <f aca="false">Supuestos!$B$18</f>
        <v>300000</v>
      </c>
      <c r="AF11" s="18" t="n">
        <f aca="false">Supuestos!$B$18</f>
        <v>300000</v>
      </c>
      <c r="AG11" s="18" t="n">
        <f aca="false">Supuestos!$B$18</f>
        <v>300000</v>
      </c>
      <c r="AH11" s="18" t="n">
        <f aca="false">Supuestos!$B$18</f>
        <v>300000</v>
      </c>
      <c r="AI11" s="18" t="n">
        <f aca="false">Supuestos!$B$18</f>
        <v>300000</v>
      </c>
      <c r="AJ11" s="18" t="n">
        <f aca="false">Supuestos!$B$18</f>
        <v>300000</v>
      </c>
      <c r="AK11" s="18" t="n">
        <f aca="false">Supuestos!$B$18</f>
        <v>300000</v>
      </c>
      <c r="AL11" s="18" t="n">
        <f aca="false">Supuestos!$B$18</f>
        <v>300000</v>
      </c>
      <c r="AM11" s="18" t="n">
        <f aca="false">Supuestos!$B$18</f>
        <v>300000</v>
      </c>
      <c r="AN11" s="18" t="n">
        <f aca="false">Supuestos!$B$18</f>
        <v>300000</v>
      </c>
      <c r="AO11" s="18" t="n">
        <f aca="false">Supuestos!$B$18</f>
        <v>300000</v>
      </c>
      <c r="AP11" s="18" t="n">
        <f aca="false">Supuestos!$B$18</f>
        <v>300000</v>
      </c>
      <c r="AQ11" s="18" t="n">
        <f aca="false">Supuestos!$B$18</f>
        <v>300000</v>
      </c>
      <c r="AR11" s="18" t="n">
        <f aca="false">Supuestos!$B$18</f>
        <v>300000</v>
      </c>
      <c r="AS11" s="18" t="n">
        <f aca="false">Supuestos!$B$18</f>
        <v>300000</v>
      </c>
      <c r="AT11" s="18" t="n">
        <f aca="false">Supuestos!$B$18</f>
        <v>300000</v>
      </c>
      <c r="AU11" s="18" t="n">
        <f aca="false">Supuestos!$B$18</f>
        <v>300000</v>
      </c>
      <c r="AV11" s="18" t="n">
        <f aca="false">Supuestos!$B$18</f>
        <v>300000</v>
      </c>
      <c r="AW11" s="18" t="n">
        <f aca="false">Supuestos!$B$18</f>
        <v>300000</v>
      </c>
      <c r="AX11" s="18" t="n">
        <f aca="false">Supuestos!$B$18</f>
        <v>300000</v>
      </c>
      <c r="AY11" s="18" t="n">
        <f aca="false">Supuestos!$B$18</f>
        <v>300000</v>
      </c>
      <c r="AZ11" s="18" t="n">
        <f aca="false">Supuestos!$B$18</f>
        <v>300000</v>
      </c>
      <c r="BA11" s="18" t="n">
        <f aca="false">Supuestos!$B$18</f>
        <v>300000</v>
      </c>
      <c r="BB11" s="18" t="n">
        <f aca="false">Supuestos!$B$18</f>
        <v>300000</v>
      </c>
      <c r="BC11" s="18" t="n">
        <f aca="false">Supuestos!$B$18</f>
        <v>300000</v>
      </c>
      <c r="BD11" s="18" t="n">
        <f aca="false">Supuestos!$B$18</f>
        <v>300000</v>
      </c>
      <c r="BE11" s="18" t="n">
        <f aca="false">Supuestos!$B$18</f>
        <v>300000</v>
      </c>
      <c r="BF11" s="18" t="n">
        <f aca="false">Supuestos!$B$18</f>
        <v>300000</v>
      </c>
      <c r="BG11" s="18" t="n">
        <f aca="false">Supuestos!$B$18</f>
        <v>300000</v>
      </c>
      <c r="BH11" s="18" t="n">
        <f aca="false">Supuestos!$B$18</f>
        <v>300000</v>
      </c>
      <c r="BI11" s="18" t="n">
        <f aca="false">Supuestos!$B$18</f>
        <v>300000</v>
      </c>
      <c r="BJ11" s="18" t="n">
        <f aca="false">Supuestos!$B$18</f>
        <v>300000</v>
      </c>
      <c r="BK11" s="18" t="n">
        <f aca="false">Supuestos!$B$18</f>
        <v>300000</v>
      </c>
      <c r="BL11" s="18" t="n">
        <f aca="false">Supuestos!$B$18</f>
        <v>300000</v>
      </c>
      <c r="BM11" s="18" t="n">
        <f aca="false">Supuestos!$B$18</f>
        <v>300000</v>
      </c>
      <c r="BN11" s="18" t="n">
        <f aca="false">Supuestos!$B$18</f>
        <v>300000</v>
      </c>
      <c r="BO11" s="18" t="n">
        <f aca="false">Supuestos!$B$18</f>
        <v>300000</v>
      </c>
      <c r="BP11" s="18" t="n">
        <f aca="false">Supuestos!$B$18</f>
        <v>300000</v>
      </c>
      <c r="BQ11" s="18" t="n">
        <f aca="false">Supuestos!$B$18</f>
        <v>300000</v>
      </c>
      <c r="BR11" s="18" t="n">
        <f aca="false">Supuestos!$B$18</f>
        <v>300000</v>
      </c>
      <c r="BS11" s="18" t="n">
        <f aca="false">Supuestos!$B$18</f>
        <v>300000</v>
      </c>
      <c r="BT11" s="18" t="n">
        <f aca="false">Supuestos!$B$18</f>
        <v>300000</v>
      </c>
      <c r="BU11" s="18" t="n">
        <f aca="false">Supuestos!$B$18</f>
        <v>300000</v>
      </c>
      <c r="BV11" s="18" t="n">
        <f aca="false">Supuestos!$B$18</f>
        <v>300000</v>
      </c>
      <c r="BW11" s="18" t="n">
        <f aca="false">Supuestos!$B$18</f>
        <v>300000</v>
      </c>
      <c r="BX11" s="18" t="n">
        <f aca="false">Supuestos!$B$18</f>
        <v>300000</v>
      </c>
      <c r="BY11" s="18" t="n">
        <f aca="false">Supuestos!$B$18</f>
        <v>300000</v>
      </c>
      <c r="BZ11" s="18" t="n">
        <f aca="false">Supuestos!$B$18</f>
        <v>300000</v>
      </c>
      <c r="CA11" s="18" t="n">
        <f aca="false">Supuestos!$B$18</f>
        <v>300000</v>
      </c>
      <c r="CB11" s="18" t="n">
        <f aca="false">Supuestos!$B$18</f>
        <v>300000</v>
      </c>
      <c r="CC11" s="18" t="n">
        <f aca="false">Supuestos!$B$18</f>
        <v>300000</v>
      </c>
      <c r="CD11" s="18" t="n">
        <f aca="false">Supuestos!$B$18</f>
        <v>300000</v>
      </c>
      <c r="CE11" s="18" t="n">
        <f aca="false">Supuestos!$B$18</f>
        <v>300000</v>
      </c>
      <c r="CF11" s="18" t="n">
        <f aca="false">Supuestos!$B$18</f>
        <v>300000</v>
      </c>
      <c r="CG11" s="18" t="n">
        <f aca="false">Supuestos!$B$18</f>
        <v>300000</v>
      </c>
      <c r="CH11" s="18" t="n">
        <f aca="false">Supuestos!$B$18</f>
        <v>300000</v>
      </c>
      <c r="CI11" s="18" t="n">
        <f aca="false">Supuestos!$B$18</f>
        <v>300000</v>
      </c>
      <c r="CJ11" s="18" t="n">
        <f aca="false">Supuestos!$B$18</f>
        <v>300000</v>
      </c>
      <c r="CK11" s="18" t="n">
        <f aca="false">Supuestos!$B$18</f>
        <v>300000</v>
      </c>
      <c r="CL11" s="18" t="n">
        <f aca="false">Supuestos!$B$18</f>
        <v>300000</v>
      </c>
      <c r="CM11" s="18" t="n">
        <f aca="false">Supuestos!$B$18</f>
        <v>300000</v>
      </c>
      <c r="CN11" s="18" t="n">
        <f aca="false">Supuestos!$B$18</f>
        <v>300000</v>
      </c>
      <c r="CO11" s="18" t="n">
        <f aca="false">Supuestos!$B$18</f>
        <v>300000</v>
      </c>
      <c r="CP11" s="18" t="n">
        <f aca="false">Supuestos!$B$18</f>
        <v>300000</v>
      </c>
      <c r="CQ11" s="18" t="n">
        <f aca="false">Supuestos!$B$18</f>
        <v>300000</v>
      </c>
      <c r="CR11" s="18" t="n">
        <f aca="false">Supuestos!$B$18</f>
        <v>300000</v>
      </c>
      <c r="CS11" s="18" t="n">
        <f aca="false">Supuestos!$B$18</f>
        <v>300000</v>
      </c>
      <c r="CT11" s="18" t="n">
        <f aca="false">Supuestos!$B$18</f>
        <v>300000</v>
      </c>
      <c r="CU11" s="18" t="n">
        <f aca="false">Supuestos!$B$18</f>
        <v>300000</v>
      </c>
      <c r="CV11" s="18" t="n">
        <f aca="false">Supuestos!$B$18</f>
        <v>300000</v>
      </c>
      <c r="CW11" s="18" t="n">
        <f aca="false">Supuestos!$B$18</f>
        <v>300000</v>
      </c>
      <c r="CX11" s="18" t="n">
        <f aca="false">Supuestos!$B$18</f>
        <v>300000</v>
      </c>
      <c r="CY11" s="18" t="n">
        <f aca="false">Supuestos!$B$18</f>
        <v>300000</v>
      </c>
      <c r="CZ11" s="18" t="n">
        <f aca="false">Supuestos!$B$18</f>
        <v>300000</v>
      </c>
      <c r="DA11" s="18" t="n">
        <f aca="false">Supuestos!$B$18</f>
        <v>300000</v>
      </c>
      <c r="DB11" s="18" t="n">
        <f aca="false">Supuestos!$B$18</f>
        <v>300000</v>
      </c>
      <c r="DC11" s="18" t="n">
        <f aca="false">Supuestos!$B$18</f>
        <v>300000</v>
      </c>
      <c r="DD11" s="18" t="n">
        <f aca="false">Supuestos!$B$18</f>
        <v>300000</v>
      </c>
      <c r="DE11" s="18" t="n">
        <f aca="false">Supuestos!$B$18</f>
        <v>300000</v>
      </c>
      <c r="DF11" s="18" t="n">
        <f aca="false">Supuestos!$B$18</f>
        <v>300000</v>
      </c>
      <c r="DG11" s="18" t="n">
        <f aca="false">Supuestos!$B$18</f>
        <v>300000</v>
      </c>
      <c r="DH11" s="18" t="n">
        <f aca="false">Supuestos!$B$18</f>
        <v>300000</v>
      </c>
      <c r="DI11" s="18" t="n">
        <f aca="false">Supuestos!$B$18</f>
        <v>300000</v>
      </c>
      <c r="DJ11" s="18" t="n">
        <f aca="false">Supuestos!$B$18</f>
        <v>300000</v>
      </c>
      <c r="DK11" s="18" t="n">
        <f aca="false">Supuestos!$B$18</f>
        <v>300000</v>
      </c>
      <c r="DL11" s="18" t="n">
        <f aca="false">Supuestos!$B$18</f>
        <v>300000</v>
      </c>
      <c r="DM11" s="18" t="n">
        <f aca="false">Supuestos!$B$18</f>
        <v>300000</v>
      </c>
      <c r="DN11" s="18" t="n">
        <f aca="false">Supuestos!$B$18</f>
        <v>300000</v>
      </c>
      <c r="DO11" s="18" t="n">
        <f aca="false">Supuestos!$B$18</f>
        <v>300000</v>
      </c>
      <c r="DP11" s="18" t="n">
        <f aca="false">Supuestos!$B$18</f>
        <v>300000</v>
      </c>
      <c r="DQ11" s="18" t="n">
        <f aca="false">Supuestos!$B$18</f>
        <v>300000</v>
      </c>
      <c r="DR11" s="18" t="n">
        <f aca="false">Supuestos!$B$18</f>
        <v>300000</v>
      </c>
      <c r="DS11" s="18" t="n">
        <f aca="false">Supuestos!$B$18</f>
        <v>300000</v>
      </c>
      <c r="DT11" s="18" t="n">
        <f aca="false">Supuestos!$B$18</f>
        <v>300000</v>
      </c>
      <c r="DU11" s="18" t="n">
        <f aca="false">Supuestos!$B$18</f>
        <v>300000</v>
      </c>
      <c r="DV11" s="18" t="n">
        <f aca="false">Supuestos!$B$18</f>
        <v>300000</v>
      </c>
      <c r="DW11" s="18" t="n">
        <f aca="false">Supuestos!$B$18</f>
        <v>300000</v>
      </c>
      <c r="DX11" s="18" t="n">
        <f aca="false">Supuestos!$B$18</f>
        <v>300000</v>
      </c>
      <c r="DY11" s="18" t="n">
        <f aca="false">Supuestos!$B$18</f>
        <v>300000</v>
      </c>
      <c r="DZ11" s="18" t="n">
        <f aca="false">Supuestos!$B$18</f>
        <v>300000</v>
      </c>
      <c r="EA11" s="18" t="n">
        <f aca="false">Supuestos!$B$18</f>
        <v>300000</v>
      </c>
      <c r="EB11" s="18" t="n">
        <f aca="false">Supuestos!$B$18</f>
        <v>300000</v>
      </c>
      <c r="EC11" s="18" t="n">
        <f aca="false">Supuestos!$B$18</f>
        <v>300000</v>
      </c>
      <c r="ED11" s="18" t="n">
        <f aca="false">Supuestos!$B$18</f>
        <v>300000</v>
      </c>
      <c r="EE11" s="18" t="n">
        <f aca="false">Supuestos!$B$18</f>
        <v>300000</v>
      </c>
      <c r="EF11" s="18" t="n">
        <f aca="false">Supuestos!$B$18</f>
        <v>300000</v>
      </c>
      <c r="EG11" s="18" t="n">
        <f aca="false">Supuestos!$B$18</f>
        <v>300000</v>
      </c>
      <c r="EH11" s="18" t="n">
        <f aca="false">Supuestos!$B$18</f>
        <v>300000</v>
      </c>
      <c r="EI11" s="18" t="n">
        <f aca="false">Supuestos!$B$18</f>
        <v>300000</v>
      </c>
      <c r="EJ11" s="18" t="n">
        <f aca="false">Supuestos!$B$18</f>
        <v>300000</v>
      </c>
      <c r="EK11" s="18" t="n">
        <f aca="false">Supuestos!$B$18</f>
        <v>300000</v>
      </c>
      <c r="EL11" s="18" t="n">
        <f aca="false">Supuestos!$B$18</f>
        <v>300000</v>
      </c>
      <c r="EM11" s="18" t="n">
        <f aca="false">Supuestos!$B$18</f>
        <v>300000</v>
      </c>
      <c r="EN11" s="18" t="n">
        <f aca="false">Supuestos!$B$18</f>
        <v>300000</v>
      </c>
      <c r="EO11" s="18" t="n">
        <f aca="false">Supuestos!$B$18</f>
        <v>300000</v>
      </c>
      <c r="EP11" s="18" t="n">
        <f aca="false">Supuestos!$B$18</f>
        <v>300000</v>
      </c>
      <c r="EQ11" s="18" t="n">
        <f aca="false">Supuestos!$B$18</f>
        <v>300000</v>
      </c>
      <c r="ER11" s="18" t="n">
        <f aca="false">Supuestos!$B$18</f>
        <v>300000</v>
      </c>
      <c r="ES11" s="18" t="n">
        <f aca="false">Supuestos!$B$18</f>
        <v>300000</v>
      </c>
      <c r="ET11" s="18" t="n">
        <f aca="false">Supuestos!$B$18</f>
        <v>300000</v>
      </c>
      <c r="EU11" s="18" t="n">
        <f aca="false">Supuestos!$B$18</f>
        <v>300000</v>
      </c>
      <c r="EV11" s="18" t="n">
        <f aca="false">Supuestos!$B$18</f>
        <v>300000</v>
      </c>
      <c r="EW11" s="18" t="n">
        <f aca="false">Supuestos!$B$18</f>
        <v>300000</v>
      </c>
      <c r="EX11" s="18" t="n">
        <f aca="false">Supuestos!$B$18</f>
        <v>300000</v>
      </c>
      <c r="EY11" s="18" t="n">
        <f aca="false">Supuestos!$B$18</f>
        <v>300000</v>
      </c>
      <c r="EZ11" s="18" t="n">
        <f aca="false">Supuestos!$B$18</f>
        <v>300000</v>
      </c>
      <c r="FA11" s="18" t="n">
        <f aca="false">Supuestos!$B$18</f>
        <v>300000</v>
      </c>
      <c r="FB11" s="18" t="n">
        <f aca="false">Supuestos!$B$18</f>
        <v>300000</v>
      </c>
      <c r="FC11" s="18" t="n">
        <f aca="false">Supuestos!$B$18</f>
        <v>300000</v>
      </c>
      <c r="FD11" s="18" t="n">
        <f aca="false">Supuestos!$B$18</f>
        <v>300000</v>
      </c>
      <c r="FE11" s="18" t="n">
        <f aca="false">Supuestos!$B$18</f>
        <v>300000</v>
      </c>
      <c r="FF11" s="18" t="n">
        <f aca="false">Supuestos!$B$18</f>
        <v>300000</v>
      </c>
      <c r="FG11" s="18" t="n">
        <f aca="false">Supuestos!$B$18</f>
        <v>300000</v>
      </c>
      <c r="FH11" s="18" t="n">
        <f aca="false">Supuestos!$B$18</f>
        <v>300000</v>
      </c>
      <c r="FI11" s="18" t="n">
        <f aca="false">Supuestos!$B$18</f>
        <v>300000</v>
      </c>
      <c r="FJ11" s="18" t="n">
        <f aca="false">Supuestos!$B$18</f>
        <v>300000</v>
      </c>
      <c r="FK11" s="18" t="n">
        <f aca="false">Supuestos!$B$18</f>
        <v>300000</v>
      </c>
      <c r="FL11" s="18" t="n">
        <f aca="false">Supuestos!$B$18</f>
        <v>300000</v>
      </c>
      <c r="FM11" s="18" t="n">
        <f aca="false">Supuestos!$B$18</f>
        <v>300000</v>
      </c>
      <c r="FN11" s="18" t="n">
        <f aca="false">Supuestos!$B$18</f>
        <v>300000</v>
      </c>
      <c r="FO11" s="18" t="n">
        <f aca="false">Supuestos!$B$18</f>
        <v>300000</v>
      </c>
      <c r="FP11" s="18" t="n">
        <f aca="false">Supuestos!$B$18</f>
        <v>300000</v>
      </c>
      <c r="FQ11" s="18" t="n">
        <f aca="false">Supuestos!$B$18</f>
        <v>300000</v>
      </c>
      <c r="FR11" s="18" t="n">
        <f aca="false">Supuestos!$B$18</f>
        <v>300000</v>
      </c>
      <c r="FS11" s="18" t="n">
        <f aca="false">Supuestos!$B$18</f>
        <v>300000</v>
      </c>
      <c r="FT11" s="18" t="n">
        <f aca="false">Supuestos!$B$18</f>
        <v>300000</v>
      </c>
      <c r="FU11" s="18" t="n">
        <f aca="false">Supuestos!$B$18</f>
        <v>300000</v>
      </c>
      <c r="FV11" s="18" t="n">
        <f aca="false">Supuestos!$B$18</f>
        <v>300000</v>
      </c>
      <c r="FW11" s="18" t="n">
        <f aca="false">Supuestos!$B$18</f>
        <v>300000</v>
      </c>
      <c r="FX11" s="18" t="n">
        <f aca="false">Supuestos!$B$18</f>
        <v>300000</v>
      </c>
      <c r="FY11" s="18" t="n">
        <f aca="false">Supuestos!$B$18</f>
        <v>300000</v>
      </c>
      <c r="FZ11" s="18" t="n">
        <f aca="false">Supuestos!$B$18</f>
        <v>300000</v>
      </c>
      <c r="GA11" s="18" t="n">
        <f aca="false">Supuestos!$B$18</f>
        <v>300000</v>
      </c>
      <c r="GB11" s="18" t="n">
        <f aca="false">Supuestos!$B$18</f>
        <v>300000</v>
      </c>
      <c r="GC11" s="18" t="n">
        <f aca="false">Supuestos!$B$18</f>
        <v>300000</v>
      </c>
      <c r="GD11" s="18" t="n">
        <f aca="false">Supuestos!$B$18</f>
        <v>300000</v>
      </c>
      <c r="GE11" s="18" t="n">
        <f aca="false">Supuestos!$B$18</f>
        <v>300000</v>
      </c>
      <c r="GF11" s="18" t="n">
        <f aca="false">Supuestos!$B$18</f>
        <v>300000</v>
      </c>
      <c r="GG11" s="18" t="n">
        <f aca="false">Supuestos!$B$18</f>
        <v>300000</v>
      </c>
      <c r="GH11" s="18" t="n">
        <f aca="false">Supuestos!$B$18</f>
        <v>300000</v>
      </c>
      <c r="GI11" s="18" t="n">
        <f aca="false">Supuestos!$B$18</f>
        <v>300000</v>
      </c>
      <c r="GJ11" s="18" t="n">
        <f aca="false">Supuestos!$B$18</f>
        <v>300000</v>
      </c>
      <c r="GK11" s="18" t="n">
        <f aca="false">Supuestos!$B$18</f>
        <v>300000</v>
      </c>
      <c r="GL11" s="18" t="n">
        <f aca="false">Supuestos!$B$18</f>
        <v>300000</v>
      </c>
      <c r="GM11" s="18" t="n">
        <f aca="false">Supuestos!$B$18</f>
        <v>300000</v>
      </c>
      <c r="GN11" s="18" t="n">
        <f aca="false">Supuestos!$B$18</f>
        <v>300000</v>
      </c>
      <c r="GO11" s="18" t="n">
        <f aca="false">Supuestos!$B$18</f>
        <v>300000</v>
      </c>
      <c r="GP11" s="18" t="n">
        <f aca="false">Supuestos!$B$18</f>
        <v>300000</v>
      </c>
      <c r="GQ11" s="18" t="n">
        <f aca="false">Supuestos!$B$18</f>
        <v>300000</v>
      </c>
      <c r="GR11" s="18" t="n">
        <f aca="false">Supuestos!$B$18</f>
        <v>300000</v>
      </c>
      <c r="GS11" s="18" t="n">
        <f aca="false">Supuestos!$B$18</f>
        <v>300000</v>
      </c>
      <c r="GT11" s="18" t="n">
        <f aca="false">Supuestos!$B$18</f>
        <v>300000</v>
      </c>
      <c r="GU11" s="18" t="n">
        <f aca="false">Supuestos!$B$18</f>
        <v>300000</v>
      </c>
      <c r="GV11" s="18" t="n">
        <f aca="false">Supuestos!$B$18</f>
        <v>300000</v>
      </c>
      <c r="GW11" s="18" t="n">
        <f aca="false">Supuestos!$B$18</f>
        <v>300000</v>
      </c>
      <c r="GX11" s="18" t="n">
        <f aca="false">Supuestos!$B$18</f>
        <v>300000</v>
      </c>
      <c r="GY11" s="18" t="n">
        <f aca="false">Supuestos!$B$18</f>
        <v>300000</v>
      </c>
      <c r="GZ11" s="18" t="n">
        <f aca="false">Supuestos!$B$18</f>
        <v>300000</v>
      </c>
      <c r="HA11" s="18" t="n">
        <f aca="false">Supuestos!$B$18</f>
        <v>300000</v>
      </c>
      <c r="HB11" s="18" t="n">
        <f aca="false">Supuestos!$B$18</f>
        <v>300000</v>
      </c>
      <c r="HC11" s="18" t="n">
        <f aca="false">Supuestos!$B$18</f>
        <v>300000</v>
      </c>
      <c r="HD11" s="18" t="n">
        <f aca="false">Supuestos!$B$18</f>
        <v>300000</v>
      </c>
      <c r="HE11" s="18" t="n">
        <f aca="false">Supuestos!$B$18</f>
        <v>300000</v>
      </c>
      <c r="HF11" s="18" t="n">
        <f aca="false">Supuestos!$B$18</f>
        <v>300000</v>
      </c>
      <c r="HG11" s="18" t="n">
        <f aca="false">Supuestos!$B$18</f>
        <v>300000</v>
      </c>
      <c r="HH11" s="18" t="n">
        <f aca="false">Supuestos!$B$18</f>
        <v>300000</v>
      </c>
      <c r="HI11" s="18" t="n">
        <f aca="false">Supuestos!$B$18</f>
        <v>300000</v>
      </c>
      <c r="HJ11" s="18" t="n">
        <f aca="false">Supuestos!$B$18</f>
        <v>300000</v>
      </c>
      <c r="HK11" s="18" t="n">
        <f aca="false">Supuestos!$B$18</f>
        <v>300000</v>
      </c>
      <c r="HL11" s="18" t="n">
        <f aca="false">Supuestos!$B$18</f>
        <v>300000</v>
      </c>
      <c r="HM11" s="18" t="n">
        <f aca="false">Supuestos!$B$18</f>
        <v>300000</v>
      </c>
      <c r="HN11" s="18" t="n">
        <f aca="false">Supuestos!$B$18</f>
        <v>300000</v>
      </c>
      <c r="HO11" s="18" t="n">
        <f aca="false">Supuestos!$B$18</f>
        <v>300000</v>
      </c>
      <c r="HP11" s="18" t="n">
        <f aca="false">Supuestos!$B$18</f>
        <v>300000</v>
      </c>
      <c r="HQ11" s="18" t="n">
        <f aca="false">Supuestos!$B$18</f>
        <v>300000</v>
      </c>
      <c r="HR11" s="18" t="n">
        <f aca="false">Supuestos!$B$18</f>
        <v>300000</v>
      </c>
      <c r="HS11" s="18" t="n">
        <f aca="false">Supuestos!$B$18</f>
        <v>300000</v>
      </c>
      <c r="HT11" s="18" t="n">
        <f aca="false">Supuestos!$B$18</f>
        <v>300000</v>
      </c>
      <c r="HU11" s="18" t="n">
        <f aca="false">Supuestos!$B$18</f>
        <v>300000</v>
      </c>
      <c r="HV11" s="18" t="n">
        <f aca="false">Supuestos!$B$18</f>
        <v>300000</v>
      </c>
      <c r="HW11" s="18" t="n">
        <f aca="false">Supuestos!$B$18</f>
        <v>300000</v>
      </c>
      <c r="HX11" s="18" t="n">
        <f aca="false">Supuestos!$B$18</f>
        <v>300000</v>
      </c>
      <c r="HY11" s="18" t="n">
        <f aca="false">Supuestos!$B$18</f>
        <v>300000</v>
      </c>
      <c r="HZ11" s="18" t="n">
        <f aca="false">Supuestos!$B$18</f>
        <v>300000</v>
      </c>
      <c r="IA11" s="18" t="n">
        <f aca="false">Supuestos!$B$18</f>
        <v>300000</v>
      </c>
      <c r="IB11" s="18" t="n">
        <f aca="false">Supuestos!$B$18</f>
        <v>300000</v>
      </c>
      <c r="IC11" s="18" t="n">
        <f aca="false">Supuestos!$B$18</f>
        <v>300000</v>
      </c>
      <c r="ID11" s="18" t="n">
        <f aca="false">Supuestos!$B$18</f>
        <v>300000</v>
      </c>
      <c r="IE11" s="18" t="n">
        <f aca="false">Supuestos!$B$18</f>
        <v>300000</v>
      </c>
      <c r="IF11" s="18" t="n">
        <f aca="false">Supuestos!$B$18</f>
        <v>300000</v>
      </c>
      <c r="IG11" s="18" t="n">
        <f aca="false">Supuestos!$B$18</f>
        <v>300000</v>
      </c>
      <c r="IH11" s="18" t="n">
        <f aca="false">Supuestos!$B$18</f>
        <v>300000</v>
      </c>
      <c r="II11" s="18" t="n">
        <f aca="false">Supuestos!$B$18</f>
        <v>300000</v>
      </c>
      <c r="IJ11" s="18" t="n">
        <f aca="false">Supuestos!$B$18</f>
        <v>300000</v>
      </c>
      <c r="IK11" s="18" t="n">
        <f aca="false">Supuestos!$B$18</f>
        <v>300000</v>
      </c>
      <c r="IL11" s="18" t="n">
        <f aca="false">Supuestos!$B$18</f>
        <v>300000</v>
      </c>
      <c r="IM11" s="18" t="n">
        <f aca="false">Supuestos!$B$18</f>
        <v>300000</v>
      </c>
      <c r="IN11" s="18" t="n">
        <f aca="false">Supuestos!$B$18</f>
        <v>300000</v>
      </c>
      <c r="IO11" s="18" t="n">
        <f aca="false">Supuestos!$B$18</f>
        <v>300000</v>
      </c>
      <c r="IP11" s="18" t="n">
        <f aca="false">Supuestos!$B$18</f>
        <v>300000</v>
      </c>
      <c r="IQ11" s="18" t="n">
        <f aca="false">Supuestos!$B$18</f>
        <v>300000</v>
      </c>
      <c r="IR11" s="18" t="n">
        <f aca="false">Supuestos!$B$18</f>
        <v>300000</v>
      </c>
      <c r="IS11" s="18" t="n">
        <f aca="false">Supuestos!$B$18</f>
        <v>300000</v>
      </c>
      <c r="IT11" s="18" t="n">
        <f aca="false">Supuestos!$B$18</f>
        <v>300000</v>
      </c>
      <c r="IU11" s="18" t="n">
        <f aca="false">Supuestos!$B$18</f>
        <v>300000</v>
      </c>
      <c r="IV11" s="18" t="n">
        <f aca="false">Supuestos!$B$18</f>
        <v>300000</v>
      </c>
      <c r="IW11" s="18" t="n">
        <f aca="false">Supuestos!$B$18</f>
        <v>300000</v>
      </c>
      <c r="IX11" s="18" t="n">
        <f aca="false">Supuestos!$B$18</f>
        <v>300000</v>
      </c>
      <c r="IY11" s="18" t="n">
        <f aca="false">Supuestos!$B$18</f>
        <v>300000</v>
      </c>
      <c r="IZ11" s="18" t="n">
        <f aca="false">Supuestos!$B$18</f>
        <v>300000</v>
      </c>
      <c r="JA11" s="18" t="n">
        <f aca="false">Supuestos!$B$18</f>
        <v>300000</v>
      </c>
      <c r="JB11" s="18" t="n">
        <f aca="false">Supuestos!$B$18</f>
        <v>300000</v>
      </c>
      <c r="JC11" s="18" t="n">
        <f aca="false">Supuestos!$B$18</f>
        <v>300000</v>
      </c>
      <c r="JD11" s="18" t="n">
        <f aca="false">Supuestos!$B$18</f>
        <v>300000</v>
      </c>
      <c r="JE11" s="18" t="n">
        <f aca="false">Supuestos!$B$18</f>
        <v>300000</v>
      </c>
      <c r="JF11" s="18" t="n">
        <f aca="false">Supuestos!$B$18</f>
        <v>300000</v>
      </c>
      <c r="JG11" s="18" t="n">
        <f aca="false">Supuestos!$B$18</f>
        <v>300000</v>
      </c>
      <c r="JH11" s="18" t="n">
        <f aca="false">Supuestos!$B$18</f>
        <v>300000</v>
      </c>
      <c r="JI11" s="18" t="n">
        <f aca="false">Supuestos!$B$18</f>
        <v>300000</v>
      </c>
      <c r="JJ11" s="18" t="n">
        <f aca="false">Supuestos!$B$18</f>
        <v>300000</v>
      </c>
      <c r="JK11" s="18" t="n">
        <f aca="false">Supuestos!$B$18</f>
        <v>300000</v>
      </c>
      <c r="JL11" s="18" t="n">
        <f aca="false">Supuestos!$B$18</f>
        <v>300000</v>
      </c>
      <c r="JM11" s="18" t="n">
        <f aca="false">Supuestos!$B$18</f>
        <v>300000</v>
      </c>
      <c r="JN11" s="18" t="n">
        <f aca="false">Supuestos!$B$18</f>
        <v>300000</v>
      </c>
      <c r="JO11" s="18" t="n">
        <f aca="false">Supuestos!$B$18</f>
        <v>300000</v>
      </c>
      <c r="JP11" s="18" t="n">
        <f aca="false">Supuestos!$B$18</f>
        <v>300000</v>
      </c>
      <c r="JQ11" s="18" t="n">
        <f aca="false">Supuestos!$B$18</f>
        <v>300000</v>
      </c>
      <c r="JR11" s="18" t="n">
        <f aca="false">Supuestos!$B$18</f>
        <v>300000</v>
      </c>
      <c r="JS11" s="18" t="n">
        <f aca="false">Supuestos!$B$18</f>
        <v>300000</v>
      </c>
      <c r="JT11" s="18" t="n">
        <f aca="false">Supuestos!$B$18</f>
        <v>300000</v>
      </c>
      <c r="JU11" s="18" t="n">
        <f aca="false">Supuestos!$B$18</f>
        <v>300000</v>
      </c>
      <c r="JV11" s="18" t="n">
        <f aca="false">Supuestos!$B$18</f>
        <v>300000</v>
      </c>
      <c r="JW11" s="18" t="n">
        <f aca="false">Supuestos!$B$18</f>
        <v>300000</v>
      </c>
      <c r="JX11" s="18" t="n">
        <f aca="false">Supuestos!$B$18</f>
        <v>300000</v>
      </c>
      <c r="JY11" s="18" t="n">
        <f aca="false">Supuestos!$B$18</f>
        <v>300000</v>
      </c>
      <c r="JZ11" s="18" t="n">
        <f aca="false">Supuestos!$B$18</f>
        <v>300000</v>
      </c>
      <c r="KA11" s="18" t="n">
        <f aca="false">Supuestos!$B$18</f>
        <v>300000</v>
      </c>
      <c r="KB11" s="18" t="n">
        <f aca="false">Supuestos!$B$18</f>
        <v>300000</v>
      </c>
      <c r="KC11" s="18" t="n">
        <f aca="false">Supuestos!$B$18</f>
        <v>300000</v>
      </c>
      <c r="KD11" s="18" t="n">
        <f aca="false">Supuestos!$B$18</f>
        <v>300000</v>
      </c>
      <c r="KE11" s="18" t="n">
        <f aca="false">Supuestos!$B$18</f>
        <v>300000</v>
      </c>
      <c r="KF11" s="18" t="n">
        <f aca="false">Supuestos!$B$18</f>
        <v>300000</v>
      </c>
      <c r="KG11" s="18" t="n">
        <f aca="false">Supuestos!$B$18</f>
        <v>300000</v>
      </c>
      <c r="KH11" s="18" t="n">
        <f aca="false">Supuestos!$B$18</f>
        <v>300000</v>
      </c>
      <c r="KI11" s="18" t="n">
        <f aca="false">Supuestos!$B$18</f>
        <v>300000</v>
      </c>
      <c r="KJ11" s="18" t="n">
        <f aca="false">Supuestos!$B$18</f>
        <v>300000</v>
      </c>
      <c r="KK11" s="18" t="n">
        <f aca="false">Supuestos!$B$18</f>
        <v>300000</v>
      </c>
      <c r="KL11" s="18" t="n">
        <f aca="false">Supuestos!$B$18</f>
        <v>300000</v>
      </c>
      <c r="KM11" s="18" t="n">
        <f aca="false">Supuestos!$B$18</f>
        <v>300000</v>
      </c>
      <c r="KN11" s="18" t="n">
        <f aca="false">Supuestos!$B$18</f>
        <v>300000</v>
      </c>
      <c r="KO11" s="18" t="n">
        <f aca="false">Supuestos!$B$18</f>
        <v>300000</v>
      </c>
    </row>
    <row r="12" s="21" customFormat="true" ht="14.25" hidden="false" customHeight="false" outlineLevel="0" collapsed="false">
      <c r="A12" s="21" t="s">
        <v>389</v>
      </c>
      <c r="B12" s="18" t="n">
        <f aca="false">Supuestos!$B$19</f>
        <v>500000</v>
      </c>
      <c r="C12" s="18" t="n">
        <f aca="false">Supuestos!$B$19</f>
        <v>500000</v>
      </c>
      <c r="D12" s="18" t="n">
        <f aca="false">Supuestos!$B$19</f>
        <v>500000</v>
      </c>
      <c r="E12" s="18" t="n">
        <f aca="false">Supuestos!$B$19</f>
        <v>500000</v>
      </c>
      <c r="F12" s="18" t="n">
        <f aca="false">Supuestos!$B$19</f>
        <v>500000</v>
      </c>
      <c r="G12" s="18" t="n">
        <f aca="false">Supuestos!$B$19</f>
        <v>500000</v>
      </c>
      <c r="H12" s="18" t="n">
        <f aca="false">Supuestos!$B$19</f>
        <v>500000</v>
      </c>
      <c r="I12" s="18" t="n">
        <f aca="false">Supuestos!$B$19</f>
        <v>500000</v>
      </c>
      <c r="J12" s="18" t="n">
        <f aca="false">Supuestos!$B$19</f>
        <v>500000</v>
      </c>
      <c r="K12" s="18" t="n">
        <f aca="false">Supuestos!$B$19</f>
        <v>500000</v>
      </c>
      <c r="L12" s="18" t="n">
        <f aca="false">Supuestos!$B$19</f>
        <v>500000</v>
      </c>
      <c r="M12" s="18" t="n">
        <f aca="false">Supuestos!$B$19</f>
        <v>500000</v>
      </c>
      <c r="N12" s="18" t="n">
        <f aca="false">Supuestos!$B$19</f>
        <v>500000</v>
      </c>
      <c r="O12" s="18" t="n">
        <f aca="false">Supuestos!$B$19</f>
        <v>500000</v>
      </c>
      <c r="P12" s="18" t="n">
        <f aca="false">Supuestos!$B$19</f>
        <v>500000</v>
      </c>
      <c r="Q12" s="18" t="n">
        <f aca="false">Supuestos!$B$19</f>
        <v>500000</v>
      </c>
      <c r="R12" s="18" t="n">
        <f aca="false">Supuestos!$B$19</f>
        <v>500000</v>
      </c>
      <c r="S12" s="18" t="n">
        <f aca="false">Supuestos!$B$19</f>
        <v>500000</v>
      </c>
      <c r="T12" s="18" t="n">
        <f aca="false">Supuestos!$B$19</f>
        <v>500000</v>
      </c>
      <c r="U12" s="18" t="n">
        <f aca="false">Supuestos!$B$19</f>
        <v>500000</v>
      </c>
      <c r="V12" s="18" t="n">
        <f aca="false">Supuestos!$B$19</f>
        <v>500000</v>
      </c>
      <c r="W12" s="18" t="n">
        <f aca="false">Supuestos!$B$19</f>
        <v>500000</v>
      </c>
      <c r="X12" s="18" t="n">
        <f aca="false">Supuestos!$B$19</f>
        <v>500000</v>
      </c>
      <c r="Y12" s="18" t="n">
        <f aca="false">Supuestos!$B$19</f>
        <v>500000</v>
      </c>
      <c r="Z12" s="18" t="n">
        <f aca="false">Supuestos!$B$19</f>
        <v>500000</v>
      </c>
      <c r="AA12" s="18" t="n">
        <f aca="false">Supuestos!$B$19</f>
        <v>500000</v>
      </c>
      <c r="AB12" s="18" t="n">
        <f aca="false">Supuestos!$B$19</f>
        <v>500000</v>
      </c>
      <c r="AC12" s="18" t="n">
        <f aca="false">Supuestos!$B$19</f>
        <v>500000</v>
      </c>
      <c r="AD12" s="18" t="n">
        <f aca="false">Supuestos!$B$19</f>
        <v>500000</v>
      </c>
      <c r="AE12" s="18" t="n">
        <f aca="false">Supuestos!$B$19</f>
        <v>500000</v>
      </c>
      <c r="AF12" s="18" t="n">
        <f aca="false">Supuestos!$B$19</f>
        <v>500000</v>
      </c>
      <c r="AG12" s="18" t="n">
        <f aca="false">Supuestos!$B$19</f>
        <v>500000</v>
      </c>
      <c r="AH12" s="18" t="n">
        <f aca="false">Supuestos!$B$19</f>
        <v>500000</v>
      </c>
      <c r="AI12" s="18" t="n">
        <f aca="false">Supuestos!$B$19</f>
        <v>500000</v>
      </c>
      <c r="AJ12" s="18" t="n">
        <f aca="false">Supuestos!$B$19</f>
        <v>500000</v>
      </c>
      <c r="AK12" s="18" t="n">
        <f aca="false">Supuestos!$B$19</f>
        <v>500000</v>
      </c>
      <c r="AL12" s="18" t="n">
        <f aca="false">Supuestos!$B$19</f>
        <v>500000</v>
      </c>
      <c r="AM12" s="18" t="n">
        <f aca="false">Supuestos!$B$19</f>
        <v>500000</v>
      </c>
      <c r="AN12" s="18" t="n">
        <f aca="false">Supuestos!$B$19</f>
        <v>500000</v>
      </c>
      <c r="AO12" s="18" t="n">
        <f aca="false">Supuestos!$B$19</f>
        <v>500000</v>
      </c>
      <c r="AP12" s="18" t="n">
        <f aca="false">Supuestos!$B$19</f>
        <v>500000</v>
      </c>
      <c r="AQ12" s="18" t="n">
        <f aca="false">Supuestos!$B$19</f>
        <v>500000</v>
      </c>
      <c r="AR12" s="18" t="n">
        <f aca="false">Supuestos!$B$19</f>
        <v>500000</v>
      </c>
      <c r="AS12" s="18" t="n">
        <f aca="false">Supuestos!$B$19</f>
        <v>500000</v>
      </c>
      <c r="AT12" s="18" t="n">
        <f aca="false">Supuestos!$B$19</f>
        <v>500000</v>
      </c>
      <c r="AU12" s="18" t="n">
        <f aca="false">Supuestos!$B$19</f>
        <v>500000</v>
      </c>
      <c r="AV12" s="18" t="n">
        <f aca="false">Supuestos!$B$19</f>
        <v>500000</v>
      </c>
      <c r="AW12" s="18" t="n">
        <f aca="false">Supuestos!$B$19</f>
        <v>500000</v>
      </c>
      <c r="AX12" s="18" t="n">
        <f aca="false">Supuestos!$B$19</f>
        <v>500000</v>
      </c>
      <c r="AY12" s="18" t="n">
        <f aca="false">Supuestos!$B$19</f>
        <v>500000</v>
      </c>
      <c r="AZ12" s="18" t="n">
        <f aca="false">Supuestos!$B$19</f>
        <v>500000</v>
      </c>
      <c r="BA12" s="18" t="n">
        <f aca="false">Supuestos!$B$19</f>
        <v>500000</v>
      </c>
      <c r="BB12" s="18" t="n">
        <f aca="false">Supuestos!$B$19</f>
        <v>500000</v>
      </c>
      <c r="BC12" s="18" t="n">
        <f aca="false">Supuestos!$B$19</f>
        <v>500000</v>
      </c>
      <c r="BD12" s="18" t="n">
        <f aca="false">Supuestos!$B$19</f>
        <v>500000</v>
      </c>
      <c r="BE12" s="18" t="n">
        <f aca="false">Supuestos!$B$19</f>
        <v>500000</v>
      </c>
      <c r="BF12" s="18" t="n">
        <f aca="false">Supuestos!$B$19</f>
        <v>500000</v>
      </c>
      <c r="BG12" s="18" t="n">
        <f aca="false">Supuestos!$B$19</f>
        <v>500000</v>
      </c>
      <c r="BH12" s="18" t="n">
        <f aca="false">Supuestos!$B$19</f>
        <v>500000</v>
      </c>
      <c r="BI12" s="18" t="n">
        <f aca="false">Supuestos!$B$19</f>
        <v>500000</v>
      </c>
      <c r="BJ12" s="18" t="n">
        <f aca="false">Supuestos!$B$19</f>
        <v>500000</v>
      </c>
      <c r="BK12" s="18" t="n">
        <f aca="false">Supuestos!$B$19</f>
        <v>500000</v>
      </c>
      <c r="BL12" s="18" t="n">
        <f aca="false">Supuestos!$B$19</f>
        <v>500000</v>
      </c>
      <c r="BM12" s="18" t="n">
        <f aca="false">Supuestos!$B$19</f>
        <v>500000</v>
      </c>
      <c r="BN12" s="18" t="n">
        <f aca="false">Supuestos!$B$19</f>
        <v>500000</v>
      </c>
      <c r="BO12" s="18" t="n">
        <f aca="false">Supuestos!$B$19</f>
        <v>500000</v>
      </c>
      <c r="BP12" s="18" t="n">
        <f aca="false">Supuestos!$B$19</f>
        <v>500000</v>
      </c>
      <c r="BQ12" s="18" t="n">
        <f aca="false">Supuestos!$B$19</f>
        <v>500000</v>
      </c>
      <c r="BR12" s="18" t="n">
        <f aca="false">Supuestos!$B$19</f>
        <v>500000</v>
      </c>
      <c r="BS12" s="18" t="n">
        <f aca="false">Supuestos!$B$19</f>
        <v>500000</v>
      </c>
      <c r="BT12" s="18" t="n">
        <f aca="false">Supuestos!$B$19</f>
        <v>500000</v>
      </c>
      <c r="BU12" s="18" t="n">
        <f aca="false">Supuestos!$B$19</f>
        <v>500000</v>
      </c>
      <c r="BV12" s="18" t="n">
        <f aca="false">Supuestos!$B$19</f>
        <v>500000</v>
      </c>
      <c r="BW12" s="18" t="n">
        <f aca="false">Supuestos!$B$19</f>
        <v>500000</v>
      </c>
      <c r="BX12" s="18" t="n">
        <f aca="false">Supuestos!$B$19</f>
        <v>500000</v>
      </c>
      <c r="BY12" s="18" t="n">
        <f aca="false">Supuestos!$B$19</f>
        <v>500000</v>
      </c>
      <c r="BZ12" s="18" t="n">
        <f aca="false">Supuestos!$B$19</f>
        <v>500000</v>
      </c>
      <c r="CA12" s="18" t="n">
        <f aca="false">Supuestos!$B$19</f>
        <v>500000</v>
      </c>
      <c r="CB12" s="18" t="n">
        <f aca="false">Supuestos!$B$19</f>
        <v>500000</v>
      </c>
      <c r="CC12" s="18" t="n">
        <f aca="false">Supuestos!$B$19</f>
        <v>500000</v>
      </c>
      <c r="CD12" s="18" t="n">
        <f aca="false">Supuestos!$B$19</f>
        <v>500000</v>
      </c>
      <c r="CE12" s="18" t="n">
        <f aca="false">Supuestos!$B$19</f>
        <v>500000</v>
      </c>
      <c r="CF12" s="18" t="n">
        <f aca="false">Supuestos!$B$19</f>
        <v>500000</v>
      </c>
      <c r="CG12" s="18" t="n">
        <f aca="false">Supuestos!$B$19</f>
        <v>500000</v>
      </c>
      <c r="CH12" s="18" t="n">
        <f aca="false">Supuestos!$B$19</f>
        <v>500000</v>
      </c>
      <c r="CI12" s="18" t="n">
        <f aca="false">Supuestos!$B$19</f>
        <v>500000</v>
      </c>
      <c r="CJ12" s="18" t="n">
        <f aca="false">Supuestos!$B$19</f>
        <v>500000</v>
      </c>
      <c r="CK12" s="18" t="n">
        <f aca="false">Supuestos!$B$19</f>
        <v>500000</v>
      </c>
      <c r="CL12" s="18" t="n">
        <f aca="false">Supuestos!$B$19</f>
        <v>500000</v>
      </c>
      <c r="CM12" s="18" t="n">
        <f aca="false">Supuestos!$B$19</f>
        <v>500000</v>
      </c>
      <c r="CN12" s="18" t="n">
        <f aca="false">Supuestos!$B$19</f>
        <v>500000</v>
      </c>
      <c r="CO12" s="18" t="n">
        <f aca="false">Supuestos!$B$19</f>
        <v>500000</v>
      </c>
      <c r="CP12" s="18" t="n">
        <f aca="false">Supuestos!$B$19</f>
        <v>500000</v>
      </c>
      <c r="CQ12" s="18" t="n">
        <f aca="false">Supuestos!$B$19</f>
        <v>500000</v>
      </c>
      <c r="CR12" s="18" t="n">
        <f aca="false">Supuestos!$B$19</f>
        <v>500000</v>
      </c>
      <c r="CS12" s="18" t="n">
        <f aca="false">Supuestos!$B$19</f>
        <v>500000</v>
      </c>
      <c r="CT12" s="18" t="n">
        <f aca="false">Supuestos!$B$19</f>
        <v>500000</v>
      </c>
      <c r="CU12" s="18" t="n">
        <f aca="false">Supuestos!$B$19</f>
        <v>500000</v>
      </c>
      <c r="CV12" s="18" t="n">
        <f aca="false">Supuestos!$B$19</f>
        <v>500000</v>
      </c>
      <c r="CW12" s="18" t="n">
        <f aca="false">Supuestos!$B$19</f>
        <v>500000</v>
      </c>
      <c r="CX12" s="18" t="n">
        <f aca="false">Supuestos!$B$19</f>
        <v>500000</v>
      </c>
      <c r="CY12" s="18" t="n">
        <f aca="false">Supuestos!$B$19</f>
        <v>500000</v>
      </c>
      <c r="CZ12" s="18" t="n">
        <f aca="false">Supuestos!$B$19</f>
        <v>500000</v>
      </c>
      <c r="DA12" s="18" t="n">
        <f aca="false">Supuestos!$B$19</f>
        <v>500000</v>
      </c>
      <c r="DB12" s="18" t="n">
        <f aca="false">Supuestos!$B$19</f>
        <v>500000</v>
      </c>
      <c r="DC12" s="18" t="n">
        <f aca="false">Supuestos!$B$19</f>
        <v>500000</v>
      </c>
      <c r="DD12" s="18" t="n">
        <f aca="false">Supuestos!$B$19</f>
        <v>500000</v>
      </c>
      <c r="DE12" s="18" t="n">
        <f aca="false">Supuestos!$B$19</f>
        <v>500000</v>
      </c>
      <c r="DF12" s="18" t="n">
        <f aca="false">Supuestos!$B$19</f>
        <v>500000</v>
      </c>
      <c r="DG12" s="18" t="n">
        <f aca="false">Supuestos!$B$19</f>
        <v>500000</v>
      </c>
      <c r="DH12" s="18" t="n">
        <f aca="false">Supuestos!$B$19</f>
        <v>500000</v>
      </c>
      <c r="DI12" s="18" t="n">
        <f aca="false">Supuestos!$B$19</f>
        <v>500000</v>
      </c>
      <c r="DJ12" s="18" t="n">
        <f aca="false">Supuestos!$B$19</f>
        <v>500000</v>
      </c>
      <c r="DK12" s="18" t="n">
        <f aca="false">Supuestos!$B$19</f>
        <v>500000</v>
      </c>
      <c r="DL12" s="18" t="n">
        <f aca="false">Supuestos!$B$19</f>
        <v>500000</v>
      </c>
      <c r="DM12" s="18" t="n">
        <f aca="false">Supuestos!$B$19</f>
        <v>500000</v>
      </c>
      <c r="DN12" s="18" t="n">
        <f aca="false">Supuestos!$B$19</f>
        <v>500000</v>
      </c>
      <c r="DO12" s="18" t="n">
        <f aca="false">Supuestos!$B$19</f>
        <v>500000</v>
      </c>
      <c r="DP12" s="18" t="n">
        <f aca="false">Supuestos!$B$19</f>
        <v>500000</v>
      </c>
      <c r="DQ12" s="18" t="n">
        <f aca="false">Supuestos!$B$19</f>
        <v>500000</v>
      </c>
      <c r="DR12" s="18" t="n">
        <f aca="false">Supuestos!$B$19</f>
        <v>500000</v>
      </c>
      <c r="DS12" s="18" t="n">
        <f aca="false">Supuestos!$B$19</f>
        <v>500000</v>
      </c>
      <c r="DT12" s="18" t="n">
        <f aca="false">Supuestos!$B$19</f>
        <v>500000</v>
      </c>
      <c r="DU12" s="18" t="n">
        <f aca="false">Supuestos!$B$19</f>
        <v>500000</v>
      </c>
      <c r="DV12" s="18" t="n">
        <f aca="false">Supuestos!$B$19</f>
        <v>500000</v>
      </c>
      <c r="DW12" s="18" t="n">
        <f aca="false">Supuestos!$B$19</f>
        <v>500000</v>
      </c>
      <c r="DX12" s="18" t="n">
        <f aca="false">Supuestos!$B$19</f>
        <v>500000</v>
      </c>
      <c r="DY12" s="18" t="n">
        <f aca="false">Supuestos!$B$19</f>
        <v>500000</v>
      </c>
      <c r="DZ12" s="18" t="n">
        <f aca="false">Supuestos!$B$19</f>
        <v>500000</v>
      </c>
      <c r="EA12" s="18" t="n">
        <f aca="false">Supuestos!$B$19</f>
        <v>500000</v>
      </c>
      <c r="EB12" s="18" t="n">
        <f aca="false">Supuestos!$B$19</f>
        <v>500000</v>
      </c>
      <c r="EC12" s="18" t="n">
        <f aca="false">Supuestos!$B$19</f>
        <v>500000</v>
      </c>
      <c r="ED12" s="18" t="n">
        <f aca="false">Supuestos!$B$19</f>
        <v>500000</v>
      </c>
      <c r="EE12" s="18" t="n">
        <f aca="false">Supuestos!$B$19</f>
        <v>500000</v>
      </c>
      <c r="EF12" s="18" t="n">
        <f aca="false">Supuestos!$B$19</f>
        <v>500000</v>
      </c>
      <c r="EG12" s="18" t="n">
        <f aca="false">Supuestos!$B$19</f>
        <v>500000</v>
      </c>
      <c r="EH12" s="18" t="n">
        <f aca="false">Supuestos!$B$19</f>
        <v>500000</v>
      </c>
      <c r="EI12" s="18" t="n">
        <f aca="false">Supuestos!$B$19</f>
        <v>500000</v>
      </c>
      <c r="EJ12" s="18" t="n">
        <f aca="false">Supuestos!$B$19</f>
        <v>500000</v>
      </c>
      <c r="EK12" s="18" t="n">
        <f aca="false">Supuestos!$B$19</f>
        <v>500000</v>
      </c>
      <c r="EL12" s="18" t="n">
        <f aca="false">Supuestos!$B$19</f>
        <v>500000</v>
      </c>
      <c r="EM12" s="18" t="n">
        <f aca="false">Supuestos!$B$19</f>
        <v>500000</v>
      </c>
      <c r="EN12" s="18" t="n">
        <f aca="false">Supuestos!$B$19</f>
        <v>500000</v>
      </c>
      <c r="EO12" s="18" t="n">
        <f aca="false">Supuestos!$B$19</f>
        <v>500000</v>
      </c>
      <c r="EP12" s="18" t="n">
        <f aca="false">Supuestos!$B$19</f>
        <v>500000</v>
      </c>
      <c r="EQ12" s="18" t="n">
        <f aca="false">Supuestos!$B$19</f>
        <v>500000</v>
      </c>
      <c r="ER12" s="18" t="n">
        <f aca="false">Supuestos!$B$19</f>
        <v>500000</v>
      </c>
      <c r="ES12" s="18" t="n">
        <f aca="false">Supuestos!$B$19</f>
        <v>500000</v>
      </c>
      <c r="ET12" s="18" t="n">
        <f aca="false">Supuestos!$B$19</f>
        <v>500000</v>
      </c>
      <c r="EU12" s="18" t="n">
        <f aca="false">Supuestos!$B$19</f>
        <v>500000</v>
      </c>
      <c r="EV12" s="18" t="n">
        <f aca="false">Supuestos!$B$19</f>
        <v>500000</v>
      </c>
      <c r="EW12" s="18" t="n">
        <f aca="false">Supuestos!$B$19</f>
        <v>500000</v>
      </c>
      <c r="EX12" s="18" t="n">
        <f aca="false">Supuestos!$B$19</f>
        <v>500000</v>
      </c>
      <c r="EY12" s="18" t="n">
        <f aca="false">Supuestos!$B$19</f>
        <v>500000</v>
      </c>
      <c r="EZ12" s="18" t="n">
        <f aca="false">Supuestos!$B$19</f>
        <v>500000</v>
      </c>
      <c r="FA12" s="18" t="n">
        <f aca="false">Supuestos!$B$19</f>
        <v>500000</v>
      </c>
      <c r="FB12" s="18" t="n">
        <f aca="false">Supuestos!$B$19</f>
        <v>500000</v>
      </c>
      <c r="FC12" s="18" t="n">
        <f aca="false">Supuestos!$B$19</f>
        <v>500000</v>
      </c>
      <c r="FD12" s="18" t="n">
        <f aca="false">Supuestos!$B$19</f>
        <v>500000</v>
      </c>
      <c r="FE12" s="18" t="n">
        <f aca="false">Supuestos!$B$19</f>
        <v>500000</v>
      </c>
      <c r="FF12" s="18" t="n">
        <f aca="false">Supuestos!$B$19</f>
        <v>500000</v>
      </c>
      <c r="FG12" s="18" t="n">
        <f aca="false">Supuestos!$B$19</f>
        <v>500000</v>
      </c>
      <c r="FH12" s="18" t="n">
        <f aca="false">Supuestos!$B$19</f>
        <v>500000</v>
      </c>
      <c r="FI12" s="18" t="n">
        <f aca="false">Supuestos!$B$19</f>
        <v>500000</v>
      </c>
      <c r="FJ12" s="18" t="n">
        <f aca="false">Supuestos!$B$19</f>
        <v>500000</v>
      </c>
      <c r="FK12" s="18" t="n">
        <f aca="false">Supuestos!$B$19</f>
        <v>500000</v>
      </c>
      <c r="FL12" s="18" t="n">
        <f aca="false">Supuestos!$B$19</f>
        <v>500000</v>
      </c>
      <c r="FM12" s="18" t="n">
        <f aca="false">Supuestos!$B$19</f>
        <v>500000</v>
      </c>
      <c r="FN12" s="18" t="n">
        <f aca="false">Supuestos!$B$19</f>
        <v>500000</v>
      </c>
      <c r="FO12" s="18" t="n">
        <f aca="false">Supuestos!$B$19</f>
        <v>500000</v>
      </c>
      <c r="FP12" s="18" t="n">
        <f aca="false">Supuestos!$B$19</f>
        <v>500000</v>
      </c>
      <c r="FQ12" s="18" t="n">
        <f aca="false">Supuestos!$B$19</f>
        <v>500000</v>
      </c>
      <c r="FR12" s="18" t="n">
        <f aca="false">Supuestos!$B$19</f>
        <v>500000</v>
      </c>
      <c r="FS12" s="18" t="n">
        <f aca="false">Supuestos!$B$19</f>
        <v>500000</v>
      </c>
      <c r="FT12" s="18" t="n">
        <f aca="false">Supuestos!$B$19</f>
        <v>500000</v>
      </c>
      <c r="FU12" s="18" t="n">
        <f aca="false">Supuestos!$B$19</f>
        <v>500000</v>
      </c>
      <c r="FV12" s="18" t="n">
        <f aca="false">Supuestos!$B$19</f>
        <v>500000</v>
      </c>
      <c r="FW12" s="18" t="n">
        <f aca="false">Supuestos!$B$19</f>
        <v>500000</v>
      </c>
      <c r="FX12" s="18" t="n">
        <f aca="false">Supuestos!$B$19</f>
        <v>500000</v>
      </c>
      <c r="FY12" s="18" t="n">
        <f aca="false">Supuestos!$B$19</f>
        <v>500000</v>
      </c>
      <c r="FZ12" s="18" t="n">
        <f aca="false">Supuestos!$B$19</f>
        <v>500000</v>
      </c>
      <c r="GA12" s="18" t="n">
        <f aca="false">Supuestos!$B$19</f>
        <v>500000</v>
      </c>
      <c r="GB12" s="18" t="n">
        <f aca="false">Supuestos!$B$19</f>
        <v>500000</v>
      </c>
      <c r="GC12" s="18" t="n">
        <f aca="false">Supuestos!$B$19</f>
        <v>500000</v>
      </c>
      <c r="GD12" s="18" t="n">
        <f aca="false">Supuestos!$B$19</f>
        <v>500000</v>
      </c>
      <c r="GE12" s="18" t="n">
        <f aca="false">Supuestos!$B$19</f>
        <v>500000</v>
      </c>
      <c r="GF12" s="18" t="n">
        <f aca="false">Supuestos!$B$19</f>
        <v>500000</v>
      </c>
      <c r="GG12" s="18" t="n">
        <f aca="false">Supuestos!$B$19</f>
        <v>500000</v>
      </c>
      <c r="GH12" s="18" t="n">
        <f aca="false">Supuestos!$B$19</f>
        <v>500000</v>
      </c>
      <c r="GI12" s="18" t="n">
        <f aca="false">Supuestos!$B$19</f>
        <v>500000</v>
      </c>
      <c r="GJ12" s="18" t="n">
        <f aca="false">Supuestos!$B$19</f>
        <v>500000</v>
      </c>
      <c r="GK12" s="18" t="n">
        <f aca="false">Supuestos!$B$19</f>
        <v>500000</v>
      </c>
      <c r="GL12" s="18" t="n">
        <f aca="false">Supuestos!$B$19</f>
        <v>500000</v>
      </c>
      <c r="GM12" s="18" t="n">
        <f aca="false">Supuestos!$B$19</f>
        <v>500000</v>
      </c>
      <c r="GN12" s="18" t="n">
        <f aca="false">Supuestos!$B$19</f>
        <v>500000</v>
      </c>
      <c r="GO12" s="18" t="n">
        <f aca="false">Supuestos!$B$19</f>
        <v>500000</v>
      </c>
      <c r="GP12" s="18" t="n">
        <f aca="false">Supuestos!$B$19</f>
        <v>500000</v>
      </c>
      <c r="GQ12" s="18" t="n">
        <f aca="false">Supuestos!$B$19</f>
        <v>500000</v>
      </c>
      <c r="GR12" s="18" t="n">
        <f aca="false">Supuestos!$B$19</f>
        <v>500000</v>
      </c>
      <c r="GS12" s="18" t="n">
        <f aca="false">Supuestos!$B$19</f>
        <v>500000</v>
      </c>
      <c r="GT12" s="18" t="n">
        <f aca="false">Supuestos!$B$19</f>
        <v>500000</v>
      </c>
      <c r="GU12" s="18" t="n">
        <f aca="false">Supuestos!$B$19</f>
        <v>500000</v>
      </c>
      <c r="GV12" s="18" t="n">
        <f aca="false">Supuestos!$B$19</f>
        <v>500000</v>
      </c>
      <c r="GW12" s="18" t="n">
        <f aca="false">Supuestos!$B$19</f>
        <v>500000</v>
      </c>
      <c r="GX12" s="18" t="n">
        <f aca="false">Supuestos!$B$19</f>
        <v>500000</v>
      </c>
      <c r="GY12" s="18" t="n">
        <f aca="false">Supuestos!$B$19</f>
        <v>500000</v>
      </c>
      <c r="GZ12" s="18" t="n">
        <f aca="false">Supuestos!$B$19</f>
        <v>500000</v>
      </c>
      <c r="HA12" s="18" t="n">
        <f aca="false">Supuestos!$B$19</f>
        <v>500000</v>
      </c>
      <c r="HB12" s="18" t="n">
        <f aca="false">Supuestos!$B$19</f>
        <v>500000</v>
      </c>
      <c r="HC12" s="18" t="n">
        <f aca="false">Supuestos!$B$19</f>
        <v>500000</v>
      </c>
      <c r="HD12" s="18" t="n">
        <f aca="false">Supuestos!$B$19</f>
        <v>500000</v>
      </c>
      <c r="HE12" s="18" t="n">
        <f aca="false">Supuestos!$B$19</f>
        <v>500000</v>
      </c>
      <c r="HF12" s="18" t="n">
        <f aca="false">Supuestos!$B$19</f>
        <v>500000</v>
      </c>
      <c r="HG12" s="18" t="n">
        <f aca="false">Supuestos!$B$19</f>
        <v>500000</v>
      </c>
      <c r="HH12" s="18" t="n">
        <f aca="false">Supuestos!$B$19</f>
        <v>500000</v>
      </c>
      <c r="HI12" s="18" t="n">
        <f aca="false">Supuestos!$B$19</f>
        <v>500000</v>
      </c>
      <c r="HJ12" s="18" t="n">
        <f aca="false">Supuestos!$B$19</f>
        <v>500000</v>
      </c>
      <c r="HK12" s="18" t="n">
        <f aca="false">Supuestos!$B$19</f>
        <v>500000</v>
      </c>
      <c r="HL12" s="18" t="n">
        <f aca="false">Supuestos!$B$19</f>
        <v>500000</v>
      </c>
      <c r="HM12" s="18" t="n">
        <f aca="false">Supuestos!$B$19</f>
        <v>500000</v>
      </c>
      <c r="HN12" s="18" t="n">
        <f aca="false">Supuestos!$B$19</f>
        <v>500000</v>
      </c>
      <c r="HO12" s="18" t="n">
        <f aca="false">Supuestos!$B$19</f>
        <v>500000</v>
      </c>
      <c r="HP12" s="18" t="n">
        <f aca="false">Supuestos!$B$19</f>
        <v>500000</v>
      </c>
      <c r="HQ12" s="18" t="n">
        <f aca="false">Supuestos!$B$19</f>
        <v>500000</v>
      </c>
      <c r="HR12" s="18" t="n">
        <f aca="false">Supuestos!$B$19</f>
        <v>500000</v>
      </c>
      <c r="HS12" s="18" t="n">
        <f aca="false">Supuestos!$B$19</f>
        <v>500000</v>
      </c>
      <c r="HT12" s="18" t="n">
        <f aca="false">Supuestos!$B$19</f>
        <v>500000</v>
      </c>
      <c r="HU12" s="18" t="n">
        <f aca="false">Supuestos!$B$19</f>
        <v>500000</v>
      </c>
      <c r="HV12" s="18" t="n">
        <f aca="false">Supuestos!$B$19</f>
        <v>500000</v>
      </c>
      <c r="HW12" s="18" t="n">
        <f aca="false">Supuestos!$B$19</f>
        <v>500000</v>
      </c>
      <c r="HX12" s="18" t="n">
        <f aca="false">Supuestos!$B$19</f>
        <v>500000</v>
      </c>
      <c r="HY12" s="18" t="n">
        <f aca="false">Supuestos!$B$19</f>
        <v>500000</v>
      </c>
      <c r="HZ12" s="18" t="n">
        <f aca="false">Supuestos!$B$19</f>
        <v>500000</v>
      </c>
      <c r="IA12" s="18" t="n">
        <f aca="false">Supuestos!$B$19</f>
        <v>500000</v>
      </c>
      <c r="IB12" s="18" t="n">
        <f aca="false">Supuestos!$B$19</f>
        <v>500000</v>
      </c>
      <c r="IC12" s="18" t="n">
        <f aca="false">Supuestos!$B$19</f>
        <v>500000</v>
      </c>
      <c r="ID12" s="18" t="n">
        <f aca="false">Supuestos!$B$19</f>
        <v>500000</v>
      </c>
      <c r="IE12" s="18" t="n">
        <f aca="false">Supuestos!$B$19</f>
        <v>500000</v>
      </c>
      <c r="IF12" s="18" t="n">
        <f aca="false">Supuestos!$B$19</f>
        <v>500000</v>
      </c>
      <c r="IG12" s="18" t="n">
        <f aca="false">Supuestos!$B$19</f>
        <v>500000</v>
      </c>
      <c r="IH12" s="18" t="n">
        <f aca="false">Supuestos!$B$19</f>
        <v>500000</v>
      </c>
      <c r="II12" s="18" t="n">
        <f aca="false">Supuestos!$B$19</f>
        <v>500000</v>
      </c>
      <c r="IJ12" s="18" t="n">
        <f aca="false">Supuestos!$B$19</f>
        <v>500000</v>
      </c>
      <c r="IK12" s="18" t="n">
        <f aca="false">Supuestos!$B$19</f>
        <v>500000</v>
      </c>
      <c r="IL12" s="18" t="n">
        <f aca="false">Supuestos!$B$19</f>
        <v>500000</v>
      </c>
      <c r="IM12" s="18" t="n">
        <f aca="false">Supuestos!$B$19</f>
        <v>500000</v>
      </c>
      <c r="IN12" s="18" t="n">
        <f aca="false">Supuestos!$B$19</f>
        <v>500000</v>
      </c>
      <c r="IO12" s="18" t="n">
        <f aca="false">Supuestos!$B$19</f>
        <v>500000</v>
      </c>
      <c r="IP12" s="18" t="n">
        <f aca="false">Supuestos!$B$19</f>
        <v>500000</v>
      </c>
      <c r="IQ12" s="18" t="n">
        <f aca="false">Supuestos!$B$19</f>
        <v>500000</v>
      </c>
      <c r="IR12" s="18" t="n">
        <f aca="false">Supuestos!$B$19</f>
        <v>500000</v>
      </c>
      <c r="IS12" s="18" t="n">
        <f aca="false">Supuestos!$B$19</f>
        <v>500000</v>
      </c>
      <c r="IT12" s="18" t="n">
        <f aca="false">Supuestos!$B$19</f>
        <v>500000</v>
      </c>
      <c r="IU12" s="18" t="n">
        <f aca="false">Supuestos!$B$19</f>
        <v>500000</v>
      </c>
      <c r="IV12" s="18" t="n">
        <f aca="false">Supuestos!$B$19</f>
        <v>500000</v>
      </c>
      <c r="IW12" s="18" t="n">
        <f aca="false">Supuestos!$B$19</f>
        <v>500000</v>
      </c>
      <c r="IX12" s="18" t="n">
        <f aca="false">Supuestos!$B$19</f>
        <v>500000</v>
      </c>
      <c r="IY12" s="18" t="n">
        <f aca="false">Supuestos!$B$19</f>
        <v>500000</v>
      </c>
      <c r="IZ12" s="18" t="n">
        <f aca="false">Supuestos!$B$19</f>
        <v>500000</v>
      </c>
      <c r="JA12" s="18" t="n">
        <f aca="false">Supuestos!$B$19</f>
        <v>500000</v>
      </c>
      <c r="JB12" s="18" t="n">
        <f aca="false">Supuestos!$B$19</f>
        <v>500000</v>
      </c>
      <c r="JC12" s="18" t="n">
        <f aca="false">Supuestos!$B$19</f>
        <v>500000</v>
      </c>
      <c r="JD12" s="18" t="n">
        <f aca="false">Supuestos!$B$19</f>
        <v>500000</v>
      </c>
      <c r="JE12" s="18" t="n">
        <f aca="false">Supuestos!$B$19</f>
        <v>500000</v>
      </c>
      <c r="JF12" s="18" t="n">
        <f aca="false">Supuestos!$B$19</f>
        <v>500000</v>
      </c>
      <c r="JG12" s="18" t="n">
        <f aca="false">Supuestos!$B$19</f>
        <v>500000</v>
      </c>
      <c r="JH12" s="18" t="n">
        <f aca="false">Supuestos!$B$19</f>
        <v>500000</v>
      </c>
      <c r="JI12" s="18" t="n">
        <f aca="false">Supuestos!$B$19</f>
        <v>500000</v>
      </c>
      <c r="JJ12" s="18" t="n">
        <f aca="false">Supuestos!$B$19</f>
        <v>500000</v>
      </c>
      <c r="JK12" s="18" t="n">
        <f aca="false">Supuestos!$B$19</f>
        <v>500000</v>
      </c>
      <c r="JL12" s="18" t="n">
        <f aca="false">Supuestos!$B$19</f>
        <v>500000</v>
      </c>
      <c r="JM12" s="18" t="n">
        <f aca="false">Supuestos!$B$19</f>
        <v>500000</v>
      </c>
      <c r="JN12" s="18" t="n">
        <f aca="false">Supuestos!$B$19</f>
        <v>500000</v>
      </c>
      <c r="JO12" s="18" t="n">
        <f aca="false">Supuestos!$B$19</f>
        <v>500000</v>
      </c>
      <c r="JP12" s="18" t="n">
        <f aca="false">Supuestos!$B$19</f>
        <v>500000</v>
      </c>
      <c r="JQ12" s="18" t="n">
        <f aca="false">Supuestos!$B$19</f>
        <v>500000</v>
      </c>
      <c r="JR12" s="18" t="n">
        <f aca="false">Supuestos!$B$19</f>
        <v>500000</v>
      </c>
      <c r="JS12" s="18" t="n">
        <f aca="false">Supuestos!$B$19</f>
        <v>500000</v>
      </c>
      <c r="JT12" s="18" t="n">
        <f aca="false">Supuestos!$B$19</f>
        <v>500000</v>
      </c>
      <c r="JU12" s="18" t="n">
        <f aca="false">Supuestos!$B$19</f>
        <v>500000</v>
      </c>
      <c r="JV12" s="18" t="n">
        <f aca="false">Supuestos!$B$19</f>
        <v>500000</v>
      </c>
      <c r="JW12" s="18" t="n">
        <f aca="false">Supuestos!$B$19</f>
        <v>500000</v>
      </c>
      <c r="JX12" s="18" t="n">
        <f aca="false">Supuestos!$B$19</f>
        <v>500000</v>
      </c>
      <c r="JY12" s="18" t="n">
        <f aca="false">Supuestos!$B$19</f>
        <v>500000</v>
      </c>
      <c r="JZ12" s="18" t="n">
        <f aca="false">Supuestos!$B$19</f>
        <v>500000</v>
      </c>
      <c r="KA12" s="18" t="n">
        <f aca="false">Supuestos!$B$19</f>
        <v>500000</v>
      </c>
      <c r="KB12" s="18" t="n">
        <f aca="false">Supuestos!$B$19</f>
        <v>500000</v>
      </c>
      <c r="KC12" s="18" t="n">
        <f aca="false">Supuestos!$B$19</f>
        <v>500000</v>
      </c>
      <c r="KD12" s="18" t="n">
        <f aca="false">Supuestos!$B$19</f>
        <v>500000</v>
      </c>
      <c r="KE12" s="18" t="n">
        <f aca="false">Supuestos!$B$19</f>
        <v>500000</v>
      </c>
      <c r="KF12" s="18" t="n">
        <f aca="false">Supuestos!$B$19</f>
        <v>500000</v>
      </c>
      <c r="KG12" s="18" t="n">
        <f aca="false">Supuestos!$B$19</f>
        <v>500000</v>
      </c>
      <c r="KH12" s="18" t="n">
        <f aca="false">Supuestos!$B$19</f>
        <v>500000</v>
      </c>
      <c r="KI12" s="18" t="n">
        <f aca="false">Supuestos!$B$19</f>
        <v>500000</v>
      </c>
      <c r="KJ12" s="18" t="n">
        <f aca="false">Supuestos!$B$19</f>
        <v>500000</v>
      </c>
      <c r="KK12" s="18" t="n">
        <f aca="false">Supuestos!$B$19</f>
        <v>500000</v>
      </c>
      <c r="KL12" s="18" t="n">
        <f aca="false">Supuestos!$B$19</f>
        <v>500000</v>
      </c>
      <c r="KM12" s="18" t="n">
        <f aca="false">Supuestos!$B$19</f>
        <v>500000</v>
      </c>
      <c r="KN12" s="18" t="n">
        <f aca="false">Supuestos!$B$19</f>
        <v>500000</v>
      </c>
      <c r="KO12" s="18" t="n">
        <f aca="false">Supuestos!$B$19</f>
        <v>500000</v>
      </c>
    </row>
    <row r="13" s="21" customFormat="true" ht="14.25" hidden="false" customHeight="false" outlineLevel="0" collapsed="false">
      <c r="A13" s="21" t="s">
        <v>390</v>
      </c>
      <c r="B13" s="18" t="n">
        <f aca="false">Supuestos!$B$20</f>
        <v>400000</v>
      </c>
      <c r="C13" s="18" t="n">
        <f aca="false">Supuestos!$B$20</f>
        <v>400000</v>
      </c>
      <c r="D13" s="18" t="n">
        <f aca="false">Supuestos!$B$20</f>
        <v>400000</v>
      </c>
      <c r="E13" s="18" t="n">
        <f aca="false">Supuestos!$B$20</f>
        <v>400000</v>
      </c>
      <c r="F13" s="18" t="n">
        <f aca="false">Supuestos!$B$20</f>
        <v>400000</v>
      </c>
      <c r="G13" s="18" t="n">
        <f aca="false">Supuestos!$B$20</f>
        <v>400000</v>
      </c>
      <c r="H13" s="18" t="n">
        <f aca="false">Supuestos!$B$20</f>
        <v>400000</v>
      </c>
      <c r="I13" s="18" t="n">
        <f aca="false">Supuestos!$B$20</f>
        <v>400000</v>
      </c>
      <c r="J13" s="18" t="n">
        <f aca="false">Supuestos!$B$20</f>
        <v>400000</v>
      </c>
      <c r="K13" s="18" t="n">
        <f aca="false">Supuestos!$B$20</f>
        <v>400000</v>
      </c>
      <c r="L13" s="18" t="n">
        <f aca="false">Supuestos!$B$20</f>
        <v>400000</v>
      </c>
      <c r="M13" s="18" t="n">
        <f aca="false">Supuestos!$B$20</f>
        <v>400000</v>
      </c>
      <c r="N13" s="18" t="n">
        <f aca="false">Supuestos!$B$20</f>
        <v>400000</v>
      </c>
      <c r="O13" s="18" t="n">
        <f aca="false">Supuestos!$B$20</f>
        <v>400000</v>
      </c>
      <c r="P13" s="18" t="n">
        <f aca="false">Supuestos!$B$20</f>
        <v>400000</v>
      </c>
      <c r="Q13" s="18" t="n">
        <f aca="false">Supuestos!$B$20</f>
        <v>400000</v>
      </c>
      <c r="R13" s="18" t="n">
        <f aca="false">Supuestos!$B$20</f>
        <v>400000</v>
      </c>
      <c r="S13" s="18" t="n">
        <f aca="false">Supuestos!$B$20</f>
        <v>400000</v>
      </c>
      <c r="T13" s="18" t="n">
        <f aca="false">Supuestos!$B$20</f>
        <v>400000</v>
      </c>
      <c r="U13" s="18" t="n">
        <f aca="false">Supuestos!$B$20</f>
        <v>400000</v>
      </c>
      <c r="V13" s="18" t="n">
        <f aca="false">Supuestos!$B$20</f>
        <v>400000</v>
      </c>
      <c r="W13" s="18" t="n">
        <f aca="false">Supuestos!$B$20</f>
        <v>400000</v>
      </c>
      <c r="X13" s="18" t="n">
        <f aca="false">Supuestos!$B$20</f>
        <v>400000</v>
      </c>
      <c r="Y13" s="18" t="n">
        <f aca="false">Supuestos!$B$20</f>
        <v>400000</v>
      </c>
      <c r="Z13" s="18" t="n">
        <f aca="false">Supuestos!$B$20</f>
        <v>400000</v>
      </c>
      <c r="AA13" s="18" t="n">
        <f aca="false">Supuestos!$B$20</f>
        <v>400000</v>
      </c>
      <c r="AB13" s="18" t="n">
        <f aca="false">Supuestos!$B$20</f>
        <v>400000</v>
      </c>
      <c r="AC13" s="18" t="n">
        <f aca="false">Supuestos!$B$20</f>
        <v>400000</v>
      </c>
      <c r="AD13" s="18" t="n">
        <f aca="false">Supuestos!$B$20</f>
        <v>400000</v>
      </c>
      <c r="AE13" s="18" t="n">
        <f aca="false">Supuestos!$B$20</f>
        <v>400000</v>
      </c>
      <c r="AF13" s="18" t="n">
        <f aca="false">Supuestos!$B$20</f>
        <v>400000</v>
      </c>
      <c r="AG13" s="18" t="n">
        <f aca="false">Supuestos!$B$20</f>
        <v>400000</v>
      </c>
      <c r="AH13" s="18" t="n">
        <f aca="false">Supuestos!$B$20</f>
        <v>400000</v>
      </c>
      <c r="AI13" s="18" t="n">
        <f aca="false">Supuestos!$B$20</f>
        <v>400000</v>
      </c>
      <c r="AJ13" s="18" t="n">
        <f aca="false">Supuestos!$B$20</f>
        <v>400000</v>
      </c>
      <c r="AK13" s="18" t="n">
        <f aca="false">Supuestos!$B$20</f>
        <v>400000</v>
      </c>
      <c r="AL13" s="18" t="n">
        <f aca="false">Supuestos!$B$20</f>
        <v>400000</v>
      </c>
      <c r="AM13" s="18" t="n">
        <f aca="false">Supuestos!$B$20</f>
        <v>400000</v>
      </c>
      <c r="AN13" s="18" t="n">
        <f aca="false">Supuestos!$B$20</f>
        <v>400000</v>
      </c>
      <c r="AO13" s="18" t="n">
        <f aca="false">Supuestos!$B$20</f>
        <v>400000</v>
      </c>
      <c r="AP13" s="18" t="n">
        <f aca="false">Supuestos!$B$20</f>
        <v>400000</v>
      </c>
      <c r="AQ13" s="18" t="n">
        <f aca="false">Supuestos!$B$20</f>
        <v>400000</v>
      </c>
      <c r="AR13" s="18" t="n">
        <f aca="false">Supuestos!$B$20</f>
        <v>400000</v>
      </c>
      <c r="AS13" s="18" t="n">
        <f aca="false">Supuestos!$B$20</f>
        <v>400000</v>
      </c>
      <c r="AT13" s="18" t="n">
        <f aca="false">Supuestos!$B$20</f>
        <v>400000</v>
      </c>
      <c r="AU13" s="18" t="n">
        <f aca="false">Supuestos!$B$20</f>
        <v>400000</v>
      </c>
      <c r="AV13" s="18" t="n">
        <f aca="false">Supuestos!$B$20</f>
        <v>400000</v>
      </c>
      <c r="AW13" s="18" t="n">
        <f aca="false">Supuestos!$B$20</f>
        <v>400000</v>
      </c>
      <c r="AX13" s="18" t="n">
        <f aca="false">Supuestos!$B$20</f>
        <v>400000</v>
      </c>
      <c r="AY13" s="18" t="n">
        <f aca="false">Supuestos!$B$20</f>
        <v>400000</v>
      </c>
      <c r="AZ13" s="18" t="n">
        <f aca="false">Supuestos!$B$20</f>
        <v>400000</v>
      </c>
      <c r="BA13" s="18" t="n">
        <f aca="false">Supuestos!$B$20</f>
        <v>400000</v>
      </c>
      <c r="BB13" s="18" t="n">
        <f aca="false">Supuestos!$B$20</f>
        <v>400000</v>
      </c>
      <c r="BC13" s="18" t="n">
        <f aca="false">Supuestos!$B$20</f>
        <v>400000</v>
      </c>
      <c r="BD13" s="18" t="n">
        <f aca="false">Supuestos!$B$20</f>
        <v>400000</v>
      </c>
      <c r="BE13" s="18" t="n">
        <f aca="false">Supuestos!$B$20</f>
        <v>400000</v>
      </c>
      <c r="BF13" s="18" t="n">
        <f aca="false">Supuestos!$B$20</f>
        <v>400000</v>
      </c>
      <c r="BG13" s="18" t="n">
        <f aca="false">Supuestos!$B$20</f>
        <v>400000</v>
      </c>
      <c r="BH13" s="18" t="n">
        <f aca="false">Supuestos!$B$20</f>
        <v>400000</v>
      </c>
      <c r="BI13" s="18" t="n">
        <f aca="false">Supuestos!$B$20</f>
        <v>400000</v>
      </c>
      <c r="BJ13" s="18" t="n">
        <f aca="false">Supuestos!$B$20</f>
        <v>400000</v>
      </c>
      <c r="BK13" s="18" t="n">
        <f aca="false">Supuestos!$B$20</f>
        <v>400000</v>
      </c>
      <c r="BL13" s="18" t="n">
        <f aca="false">Supuestos!$B$20</f>
        <v>400000</v>
      </c>
      <c r="BM13" s="18" t="n">
        <f aca="false">Supuestos!$B$20</f>
        <v>400000</v>
      </c>
      <c r="BN13" s="18" t="n">
        <f aca="false">Supuestos!$B$20</f>
        <v>400000</v>
      </c>
      <c r="BO13" s="18" t="n">
        <f aca="false">Supuestos!$B$20</f>
        <v>400000</v>
      </c>
      <c r="BP13" s="18" t="n">
        <f aca="false">Supuestos!$B$20</f>
        <v>400000</v>
      </c>
      <c r="BQ13" s="18" t="n">
        <f aca="false">Supuestos!$B$20</f>
        <v>400000</v>
      </c>
      <c r="BR13" s="18" t="n">
        <f aca="false">Supuestos!$B$20</f>
        <v>400000</v>
      </c>
      <c r="BS13" s="18" t="n">
        <f aca="false">Supuestos!$B$20</f>
        <v>400000</v>
      </c>
      <c r="BT13" s="18" t="n">
        <f aca="false">Supuestos!$B$20</f>
        <v>400000</v>
      </c>
      <c r="BU13" s="18" t="n">
        <f aca="false">Supuestos!$B$20</f>
        <v>400000</v>
      </c>
      <c r="BV13" s="18" t="n">
        <f aca="false">Supuestos!$B$20</f>
        <v>400000</v>
      </c>
      <c r="BW13" s="18" t="n">
        <f aca="false">Supuestos!$B$20</f>
        <v>400000</v>
      </c>
      <c r="BX13" s="18" t="n">
        <f aca="false">Supuestos!$B$20</f>
        <v>400000</v>
      </c>
      <c r="BY13" s="18" t="n">
        <f aca="false">Supuestos!$B$20</f>
        <v>400000</v>
      </c>
      <c r="BZ13" s="18" t="n">
        <f aca="false">Supuestos!$B$20</f>
        <v>400000</v>
      </c>
      <c r="CA13" s="18" t="n">
        <f aca="false">Supuestos!$B$20</f>
        <v>400000</v>
      </c>
      <c r="CB13" s="18" t="n">
        <f aca="false">Supuestos!$B$20</f>
        <v>400000</v>
      </c>
      <c r="CC13" s="18" t="n">
        <f aca="false">Supuestos!$B$20</f>
        <v>400000</v>
      </c>
      <c r="CD13" s="18" t="n">
        <f aca="false">Supuestos!$B$20</f>
        <v>400000</v>
      </c>
      <c r="CE13" s="18" t="n">
        <f aca="false">Supuestos!$B$20</f>
        <v>400000</v>
      </c>
      <c r="CF13" s="18" t="n">
        <f aca="false">Supuestos!$B$20</f>
        <v>400000</v>
      </c>
      <c r="CG13" s="18" t="n">
        <f aca="false">Supuestos!$B$20</f>
        <v>400000</v>
      </c>
      <c r="CH13" s="18" t="n">
        <f aca="false">Supuestos!$B$20</f>
        <v>400000</v>
      </c>
      <c r="CI13" s="18" t="n">
        <f aca="false">Supuestos!$B$20</f>
        <v>400000</v>
      </c>
      <c r="CJ13" s="18" t="n">
        <f aca="false">Supuestos!$B$20</f>
        <v>400000</v>
      </c>
      <c r="CK13" s="18" t="n">
        <f aca="false">Supuestos!$B$20</f>
        <v>400000</v>
      </c>
      <c r="CL13" s="18" t="n">
        <f aca="false">Supuestos!$B$20</f>
        <v>400000</v>
      </c>
      <c r="CM13" s="18" t="n">
        <f aca="false">Supuestos!$B$20</f>
        <v>400000</v>
      </c>
      <c r="CN13" s="18" t="n">
        <f aca="false">Supuestos!$B$20</f>
        <v>400000</v>
      </c>
      <c r="CO13" s="18" t="n">
        <f aca="false">Supuestos!$B$20</f>
        <v>400000</v>
      </c>
      <c r="CP13" s="18" t="n">
        <f aca="false">Supuestos!$B$20</f>
        <v>400000</v>
      </c>
      <c r="CQ13" s="18" t="n">
        <f aca="false">Supuestos!$B$20</f>
        <v>400000</v>
      </c>
      <c r="CR13" s="18" t="n">
        <f aca="false">Supuestos!$B$20</f>
        <v>400000</v>
      </c>
      <c r="CS13" s="18" t="n">
        <f aca="false">Supuestos!$B$20</f>
        <v>400000</v>
      </c>
      <c r="CT13" s="18" t="n">
        <f aca="false">Supuestos!$B$20</f>
        <v>400000</v>
      </c>
      <c r="CU13" s="18" t="n">
        <f aca="false">Supuestos!$B$20</f>
        <v>400000</v>
      </c>
      <c r="CV13" s="18" t="n">
        <f aca="false">Supuestos!$B$20</f>
        <v>400000</v>
      </c>
      <c r="CW13" s="18" t="n">
        <f aca="false">Supuestos!$B$20</f>
        <v>400000</v>
      </c>
      <c r="CX13" s="18" t="n">
        <f aca="false">Supuestos!$B$20</f>
        <v>400000</v>
      </c>
      <c r="CY13" s="18" t="n">
        <f aca="false">Supuestos!$B$20</f>
        <v>400000</v>
      </c>
      <c r="CZ13" s="18" t="n">
        <f aca="false">Supuestos!$B$20</f>
        <v>400000</v>
      </c>
      <c r="DA13" s="18" t="n">
        <f aca="false">Supuestos!$B$20</f>
        <v>400000</v>
      </c>
      <c r="DB13" s="18" t="n">
        <f aca="false">Supuestos!$B$20</f>
        <v>400000</v>
      </c>
      <c r="DC13" s="18" t="n">
        <f aca="false">Supuestos!$B$20</f>
        <v>400000</v>
      </c>
      <c r="DD13" s="18" t="n">
        <f aca="false">Supuestos!$B$20</f>
        <v>400000</v>
      </c>
      <c r="DE13" s="18" t="n">
        <f aca="false">Supuestos!$B$20</f>
        <v>400000</v>
      </c>
      <c r="DF13" s="18" t="n">
        <f aca="false">Supuestos!$B$20</f>
        <v>400000</v>
      </c>
      <c r="DG13" s="18" t="n">
        <f aca="false">Supuestos!$B$20</f>
        <v>400000</v>
      </c>
      <c r="DH13" s="18" t="n">
        <f aca="false">Supuestos!$B$20</f>
        <v>400000</v>
      </c>
      <c r="DI13" s="18" t="n">
        <f aca="false">Supuestos!$B$20</f>
        <v>400000</v>
      </c>
      <c r="DJ13" s="18" t="n">
        <f aca="false">Supuestos!$B$20</f>
        <v>400000</v>
      </c>
      <c r="DK13" s="18" t="n">
        <f aca="false">Supuestos!$B$20</f>
        <v>400000</v>
      </c>
      <c r="DL13" s="18" t="n">
        <f aca="false">Supuestos!$B$20</f>
        <v>400000</v>
      </c>
      <c r="DM13" s="18" t="n">
        <f aca="false">Supuestos!$B$20</f>
        <v>400000</v>
      </c>
      <c r="DN13" s="18" t="n">
        <f aca="false">Supuestos!$B$20</f>
        <v>400000</v>
      </c>
      <c r="DO13" s="18" t="n">
        <f aca="false">Supuestos!$B$20</f>
        <v>400000</v>
      </c>
      <c r="DP13" s="18" t="n">
        <f aca="false">Supuestos!$B$20</f>
        <v>400000</v>
      </c>
      <c r="DQ13" s="18" t="n">
        <f aca="false">Supuestos!$B$20</f>
        <v>400000</v>
      </c>
      <c r="DR13" s="18" t="n">
        <f aca="false">Supuestos!$B$20</f>
        <v>400000</v>
      </c>
      <c r="DS13" s="18" t="n">
        <f aca="false">Supuestos!$B$20</f>
        <v>400000</v>
      </c>
      <c r="DT13" s="18" t="n">
        <f aca="false">Supuestos!$B$20</f>
        <v>400000</v>
      </c>
      <c r="DU13" s="18" t="n">
        <f aca="false">Supuestos!$B$20</f>
        <v>400000</v>
      </c>
      <c r="DV13" s="18" t="n">
        <f aca="false">Supuestos!$B$20</f>
        <v>400000</v>
      </c>
      <c r="DW13" s="18" t="n">
        <f aca="false">Supuestos!$B$20</f>
        <v>400000</v>
      </c>
      <c r="DX13" s="18" t="n">
        <f aca="false">Supuestos!$B$20</f>
        <v>400000</v>
      </c>
      <c r="DY13" s="18" t="n">
        <f aca="false">Supuestos!$B$20</f>
        <v>400000</v>
      </c>
      <c r="DZ13" s="18" t="n">
        <f aca="false">Supuestos!$B$20</f>
        <v>400000</v>
      </c>
      <c r="EA13" s="18" t="n">
        <f aca="false">Supuestos!$B$20</f>
        <v>400000</v>
      </c>
      <c r="EB13" s="18" t="n">
        <f aca="false">Supuestos!$B$20</f>
        <v>400000</v>
      </c>
      <c r="EC13" s="18" t="n">
        <f aca="false">Supuestos!$B$20</f>
        <v>400000</v>
      </c>
      <c r="ED13" s="18" t="n">
        <f aca="false">Supuestos!$B$20</f>
        <v>400000</v>
      </c>
      <c r="EE13" s="18" t="n">
        <f aca="false">Supuestos!$B$20</f>
        <v>400000</v>
      </c>
      <c r="EF13" s="18" t="n">
        <f aca="false">Supuestos!$B$20</f>
        <v>400000</v>
      </c>
      <c r="EG13" s="18" t="n">
        <f aca="false">Supuestos!$B$20</f>
        <v>400000</v>
      </c>
      <c r="EH13" s="18" t="n">
        <f aca="false">Supuestos!$B$20</f>
        <v>400000</v>
      </c>
      <c r="EI13" s="18" t="n">
        <f aca="false">Supuestos!$B$20</f>
        <v>400000</v>
      </c>
      <c r="EJ13" s="18" t="n">
        <f aca="false">Supuestos!$B$20</f>
        <v>400000</v>
      </c>
      <c r="EK13" s="18" t="n">
        <f aca="false">Supuestos!$B$20</f>
        <v>400000</v>
      </c>
      <c r="EL13" s="18" t="n">
        <f aca="false">Supuestos!$B$20</f>
        <v>400000</v>
      </c>
      <c r="EM13" s="18" t="n">
        <f aca="false">Supuestos!$B$20</f>
        <v>400000</v>
      </c>
      <c r="EN13" s="18" t="n">
        <f aca="false">Supuestos!$B$20</f>
        <v>400000</v>
      </c>
      <c r="EO13" s="18" t="n">
        <f aca="false">Supuestos!$B$20</f>
        <v>400000</v>
      </c>
      <c r="EP13" s="18" t="n">
        <f aca="false">Supuestos!$B$20</f>
        <v>400000</v>
      </c>
      <c r="EQ13" s="18" t="n">
        <f aca="false">Supuestos!$B$20</f>
        <v>400000</v>
      </c>
      <c r="ER13" s="18" t="n">
        <f aca="false">Supuestos!$B$20</f>
        <v>400000</v>
      </c>
      <c r="ES13" s="18" t="n">
        <f aca="false">Supuestos!$B$20</f>
        <v>400000</v>
      </c>
      <c r="ET13" s="18" t="n">
        <f aca="false">Supuestos!$B$20</f>
        <v>400000</v>
      </c>
      <c r="EU13" s="18" t="n">
        <f aca="false">Supuestos!$B$20</f>
        <v>400000</v>
      </c>
      <c r="EV13" s="18" t="n">
        <f aca="false">Supuestos!$B$20</f>
        <v>400000</v>
      </c>
      <c r="EW13" s="18" t="n">
        <f aca="false">Supuestos!$B$20</f>
        <v>400000</v>
      </c>
      <c r="EX13" s="18" t="n">
        <f aca="false">Supuestos!$B$20</f>
        <v>400000</v>
      </c>
      <c r="EY13" s="18" t="n">
        <f aca="false">Supuestos!$B$20</f>
        <v>400000</v>
      </c>
      <c r="EZ13" s="18" t="n">
        <f aca="false">Supuestos!$B$20</f>
        <v>400000</v>
      </c>
      <c r="FA13" s="18" t="n">
        <f aca="false">Supuestos!$B$20</f>
        <v>400000</v>
      </c>
      <c r="FB13" s="18" t="n">
        <f aca="false">Supuestos!$B$20</f>
        <v>400000</v>
      </c>
      <c r="FC13" s="18" t="n">
        <f aca="false">Supuestos!$B$20</f>
        <v>400000</v>
      </c>
      <c r="FD13" s="18" t="n">
        <f aca="false">Supuestos!$B$20</f>
        <v>400000</v>
      </c>
      <c r="FE13" s="18" t="n">
        <f aca="false">Supuestos!$B$20</f>
        <v>400000</v>
      </c>
      <c r="FF13" s="18" t="n">
        <f aca="false">Supuestos!$B$20</f>
        <v>400000</v>
      </c>
      <c r="FG13" s="18" t="n">
        <f aca="false">Supuestos!$B$20</f>
        <v>400000</v>
      </c>
      <c r="FH13" s="18" t="n">
        <f aca="false">Supuestos!$B$20</f>
        <v>400000</v>
      </c>
      <c r="FI13" s="18" t="n">
        <f aca="false">Supuestos!$B$20</f>
        <v>400000</v>
      </c>
      <c r="FJ13" s="18" t="n">
        <f aca="false">Supuestos!$B$20</f>
        <v>400000</v>
      </c>
      <c r="FK13" s="18" t="n">
        <f aca="false">Supuestos!$B$20</f>
        <v>400000</v>
      </c>
      <c r="FL13" s="18" t="n">
        <f aca="false">Supuestos!$B$20</f>
        <v>400000</v>
      </c>
      <c r="FM13" s="18" t="n">
        <f aca="false">Supuestos!$B$20</f>
        <v>400000</v>
      </c>
      <c r="FN13" s="18" t="n">
        <f aca="false">Supuestos!$B$20</f>
        <v>400000</v>
      </c>
      <c r="FO13" s="18" t="n">
        <f aca="false">Supuestos!$B$20</f>
        <v>400000</v>
      </c>
      <c r="FP13" s="18" t="n">
        <f aca="false">Supuestos!$B$20</f>
        <v>400000</v>
      </c>
      <c r="FQ13" s="18" t="n">
        <f aca="false">Supuestos!$B$20</f>
        <v>400000</v>
      </c>
      <c r="FR13" s="18" t="n">
        <f aca="false">Supuestos!$B$20</f>
        <v>400000</v>
      </c>
      <c r="FS13" s="18" t="n">
        <f aca="false">Supuestos!$B$20</f>
        <v>400000</v>
      </c>
      <c r="FT13" s="18" t="n">
        <f aca="false">Supuestos!$B$20</f>
        <v>400000</v>
      </c>
      <c r="FU13" s="18" t="n">
        <f aca="false">Supuestos!$B$20</f>
        <v>400000</v>
      </c>
      <c r="FV13" s="18" t="n">
        <f aca="false">Supuestos!$B$20</f>
        <v>400000</v>
      </c>
      <c r="FW13" s="18" t="n">
        <f aca="false">Supuestos!$B$20</f>
        <v>400000</v>
      </c>
      <c r="FX13" s="18" t="n">
        <f aca="false">Supuestos!$B$20</f>
        <v>400000</v>
      </c>
      <c r="FY13" s="18" t="n">
        <f aca="false">Supuestos!$B$20</f>
        <v>400000</v>
      </c>
      <c r="FZ13" s="18" t="n">
        <f aca="false">Supuestos!$B$20</f>
        <v>400000</v>
      </c>
      <c r="GA13" s="18" t="n">
        <f aca="false">Supuestos!$B$20</f>
        <v>400000</v>
      </c>
      <c r="GB13" s="18" t="n">
        <f aca="false">Supuestos!$B$20</f>
        <v>400000</v>
      </c>
      <c r="GC13" s="18" t="n">
        <f aca="false">Supuestos!$B$20</f>
        <v>400000</v>
      </c>
      <c r="GD13" s="18" t="n">
        <f aca="false">Supuestos!$B$20</f>
        <v>400000</v>
      </c>
      <c r="GE13" s="18" t="n">
        <f aca="false">Supuestos!$B$20</f>
        <v>400000</v>
      </c>
      <c r="GF13" s="18" t="n">
        <f aca="false">Supuestos!$B$20</f>
        <v>400000</v>
      </c>
      <c r="GG13" s="18" t="n">
        <f aca="false">Supuestos!$B$20</f>
        <v>400000</v>
      </c>
      <c r="GH13" s="18" t="n">
        <f aca="false">Supuestos!$B$20</f>
        <v>400000</v>
      </c>
      <c r="GI13" s="18" t="n">
        <f aca="false">Supuestos!$B$20</f>
        <v>400000</v>
      </c>
      <c r="GJ13" s="18" t="n">
        <f aca="false">Supuestos!$B$20</f>
        <v>400000</v>
      </c>
      <c r="GK13" s="18" t="n">
        <f aca="false">Supuestos!$B$20</f>
        <v>400000</v>
      </c>
      <c r="GL13" s="18" t="n">
        <f aca="false">Supuestos!$B$20</f>
        <v>400000</v>
      </c>
      <c r="GM13" s="18" t="n">
        <f aca="false">Supuestos!$B$20</f>
        <v>400000</v>
      </c>
      <c r="GN13" s="18" t="n">
        <f aca="false">Supuestos!$B$20</f>
        <v>400000</v>
      </c>
      <c r="GO13" s="18" t="n">
        <f aca="false">Supuestos!$B$20</f>
        <v>400000</v>
      </c>
      <c r="GP13" s="18" t="n">
        <f aca="false">Supuestos!$B$20</f>
        <v>400000</v>
      </c>
      <c r="GQ13" s="18" t="n">
        <f aca="false">Supuestos!$B$20</f>
        <v>400000</v>
      </c>
      <c r="GR13" s="18" t="n">
        <f aca="false">Supuestos!$B$20</f>
        <v>400000</v>
      </c>
      <c r="GS13" s="18" t="n">
        <f aca="false">Supuestos!$B$20</f>
        <v>400000</v>
      </c>
      <c r="GT13" s="18" t="n">
        <f aca="false">Supuestos!$B$20</f>
        <v>400000</v>
      </c>
      <c r="GU13" s="18" t="n">
        <f aca="false">Supuestos!$B$20</f>
        <v>400000</v>
      </c>
      <c r="GV13" s="18" t="n">
        <f aca="false">Supuestos!$B$20</f>
        <v>400000</v>
      </c>
      <c r="GW13" s="18" t="n">
        <f aca="false">Supuestos!$B$20</f>
        <v>400000</v>
      </c>
      <c r="GX13" s="18" t="n">
        <f aca="false">Supuestos!$B$20</f>
        <v>400000</v>
      </c>
      <c r="GY13" s="18" t="n">
        <f aca="false">Supuestos!$B$20</f>
        <v>400000</v>
      </c>
      <c r="GZ13" s="18" t="n">
        <f aca="false">Supuestos!$B$20</f>
        <v>400000</v>
      </c>
      <c r="HA13" s="18" t="n">
        <f aca="false">Supuestos!$B$20</f>
        <v>400000</v>
      </c>
      <c r="HB13" s="18" t="n">
        <f aca="false">Supuestos!$B$20</f>
        <v>400000</v>
      </c>
      <c r="HC13" s="18" t="n">
        <f aca="false">Supuestos!$B$20</f>
        <v>400000</v>
      </c>
      <c r="HD13" s="18" t="n">
        <f aca="false">Supuestos!$B$20</f>
        <v>400000</v>
      </c>
      <c r="HE13" s="18" t="n">
        <f aca="false">Supuestos!$B$20</f>
        <v>400000</v>
      </c>
      <c r="HF13" s="18" t="n">
        <f aca="false">Supuestos!$B$20</f>
        <v>400000</v>
      </c>
      <c r="HG13" s="18" t="n">
        <f aca="false">Supuestos!$B$20</f>
        <v>400000</v>
      </c>
      <c r="HH13" s="18" t="n">
        <f aca="false">Supuestos!$B$20</f>
        <v>400000</v>
      </c>
      <c r="HI13" s="18" t="n">
        <f aca="false">Supuestos!$B$20</f>
        <v>400000</v>
      </c>
      <c r="HJ13" s="18" t="n">
        <f aca="false">Supuestos!$B$20</f>
        <v>400000</v>
      </c>
      <c r="HK13" s="18" t="n">
        <f aca="false">Supuestos!$B$20</f>
        <v>400000</v>
      </c>
      <c r="HL13" s="18" t="n">
        <f aca="false">Supuestos!$B$20</f>
        <v>400000</v>
      </c>
      <c r="HM13" s="18" t="n">
        <f aca="false">Supuestos!$B$20</f>
        <v>400000</v>
      </c>
      <c r="HN13" s="18" t="n">
        <f aca="false">Supuestos!$B$20</f>
        <v>400000</v>
      </c>
      <c r="HO13" s="18" t="n">
        <f aca="false">Supuestos!$B$20</f>
        <v>400000</v>
      </c>
      <c r="HP13" s="18" t="n">
        <f aca="false">Supuestos!$B$20</f>
        <v>400000</v>
      </c>
      <c r="HQ13" s="18" t="n">
        <f aca="false">Supuestos!$B$20</f>
        <v>400000</v>
      </c>
      <c r="HR13" s="18" t="n">
        <f aca="false">Supuestos!$B$20</f>
        <v>400000</v>
      </c>
      <c r="HS13" s="18" t="n">
        <f aca="false">Supuestos!$B$20</f>
        <v>400000</v>
      </c>
      <c r="HT13" s="18" t="n">
        <f aca="false">Supuestos!$B$20</f>
        <v>400000</v>
      </c>
      <c r="HU13" s="18" t="n">
        <f aca="false">Supuestos!$B$20</f>
        <v>400000</v>
      </c>
      <c r="HV13" s="18" t="n">
        <f aca="false">Supuestos!$B$20</f>
        <v>400000</v>
      </c>
      <c r="HW13" s="18" t="n">
        <f aca="false">Supuestos!$B$20</f>
        <v>400000</v>
      </c>
      <c r="HX13" s="18" t="n">
        <f aca="false">Supuestos!$B$20</f>
        <v>400000</v>
      </c>
      <c r="HY13" s="18" t="n">
        <f aca="false">Supuestos!$B$20</f>
        <v>400000</v>
      </c>
      <c r="HZ13" s="18" t="n">
        <f aca="false">Supuestos!$B$20</f>
        <v>400000</v>
      </c>
      <c r="IA13" s="18" t="n">
        <f aca="false">Supuestos!$B$20</f>
        <v>400000</v>
      </c>
      <c r="IB13" s="18" t="n">
        <f aca="false">Supuestos!$B$20</f>
        <v>400000</v>
      </c>
      <c r="IC13" s="18" t="n">
        <f aca="false">Supuestos!$B$20</f>
        <v>400000</v>
      </c>
      <c r="ID13" s="18" t="n">
        <f aca="false">Supuestos!$B$20</f>
        <v>400000</v>
      </c>
      <c r="IE13" s="18" t="n">
        <f aca="false">Supuestos!$B$20</f>
        <v>400000</v>
      </c>
      <c r="IF13" s="18" t="n">
        <f aca="false">Supuestos!$B$20</f>
        <v>400000</v>
      </c>
      <c r="IG13" s="18" t="n">
        <f aca="false">Supuestos!$B$20</f>
        <v>400000</v>
      </c>
      <c r="IH13" s="18" t="n">
        <f aca="false">Supuestos!$B$20</f>
        <v>400000</v>
      </c>
      <c r="II13" s="18" t="n">
        <f aca="false">Supuestos!$B$20</f>
        <v>400000</v>
      </c>
      <c r="IJ13" s="18" t="n">
        <f aca="false">Supuestos!$B$20</f>
        <v>400000</v>
      </c>
      <c r="IK13" s="18" t="n">
        <f aca="false">Supuestos!$B$20</f>
        <v>400000</v>
      </c>
      <c r="IL13" s="18" t="n">
        <f aca="false">Supuestos!$B$20</f>
        <v>400000</v>
      </c>
      <c r="IM13" s="18" t="n">
        <f aca="false">Supuestos!$B$20</f>
        <v>400000</v>
      </c>
      <c r="IN13" s="18" t="n">
        <f aca="false">Supuestos!$B$20</f>
        <v>400000</v>
      </c>
      <c r="IO13" s="18" t="n">
        <f aca="false">Supuestos!$B$20</f>
        <v>400000</v>
      </c>
      <c r="IP13" s="18" t="n">
        <f aca="false">Supuestos!$B$20</f>
        <v>400000</v>
      </c>
      <c r="IQ13" s="18" t="n">
        <f aca="false">Supuestos!$B$20</f>
        <v>400000</v>
      </c>
      <c r="IR13" s="18" t="n">
        <f aca="false">Supuestos!$B$20</f>
        <v>400000</v>
      </c>
      <c r="IS13" s="18" t="n">
        <f aca="false">Supuestos!$B$20</f>
        <v>400000</v>
      </c>
      <c r="IT13" s="18" t="n">
        <f aca="false">Supuestos!$B$20</f>
        <v>400000</v>
      </c>
      <c r="IU13" s="18" t="n">
        <f aca="false">Supuestos!$B$20</f>
        <v>400000</v>
      </c>
      <c r="IV13" s="18" t="n">
        <f aca="false">Supuestos!$B$20</f>
        <v>400000</v>
      </c>
      <c r="IW13" s="18" t="n">
        <f aca="false">Supuestos!$B$20</f>
        <v>400000</v>
      </c>
      <c r="IX13" s="18" t="n">
        <f aca="false">Supuestos!$B$20</f>
        <v>400000</v>
      </c>
      <c r="IY13" s="18" t="n">
        <f aca="false">Supuestos!$B$20</f>
        <v>400000</v>
      </c>
      <c r="IZ13" s="18" t="n">
        <f aca="false">Supuestos!$B$20</f>
        <v>400000</v>
      </c>
      <c r="JA13" s="18" t="n">
        <f aca="false">Supuestos!$B$20</f>
        <v>400000</v>
      </c>
      <c r="JB13" s="18" t="n">
        <f aca="false">Supuestos!$B$20</f>
        <v>400000</v>
      </c>
      <c r="JC13" s="18" t="n">
        <f aca="false">Supuestos!$B$20</f>
        <v>400000</v>
      </c>
      <c r="JD13" s="18" t="n">
        <f aca="false">Supuestos!$B$20</f>
        <v>400000</v>
      </c>
      <c r="JE13" s="18" t="n">
        <f aca="false">Supuestos!$B$20</f>
        <v>400000</v>
      </c>
      <c r="JF13" s="18" t="n">
        <f aca="false">Supuestos!$B$20</f>
        <v>400000</v>
      </c>
      <c r="JG13" s="18" t="n">
        <f aca="false">Supuestos!$B$20</f>
        <v>400000</v>
      </c>
      <c r="JH13" s="18" t="n">
        <f aca="false">Supuestos!$B$20</f>
        <v>400000</v>
      </c>
      <c r="JI13" s="18" t="n">
        <f aca="false">Supuestos!$B$20</f>
        <v>400000</v>
      </c>
      <c r="JJ13" s="18" t="n">
        <f aca="false">Supuestos!$B$20</f>
        <v>400000</v>
      </c>
      <c r="JK13" s="18" t="n">
        <f aca="false">Supuestos!$B$20</f>
        <v>400000</v>
      </c>
      <c r="JL13" s="18" t="n">
        <f aca="false">Supuestos!$B$20</f>
        <v>400000</v>
      </c>
      <c r="JM13" s="18" t="n">
        <f aca="false">Supuestos!$B$20</f>
        <v>400000</v>
      </c>
      <c r="JN13" s="18" t="n">
        <f aca="false">Supuestos!$B$20</f>
        <v>400000</v>
      </c>
      <c r="JO13" s="18" t="n">
        <f aca="false">Supuestos!$B$20</f>
        <v>400000</v>
      </c>
      <c r="JP13" s="18" t="n">
        <f aca="false">Supuestos!$B$20</f>
        <v>400000</v>
      </c>
      <c r="JQ13" s="18" t="n">
        <f aca="false">Supuestos!$B$20</f>
        <v>400000</v>
      </c>
      <c r="JR13" s="18" t="n">
        <f aca="false">Supuestos!$B$20</f>
        <v>400000</v>
      </c>
      <c r="JS13" s="18" t="n">
        <f aca="false">Supuestos!$B$20</f>
        <v>400000</v>
      </c>
      <c r="JT13" s="18" t="n">
        <f aca="false">Supuestos!$B$20</f>
        <v>400000</v>
      </c>
      <c r="JU13" s="18" t="n">
        <f aca="false">Supuestos!$B$20</f>
        <v>400000</v>
      </c>
      <c r="JV13" s="18" t="n">
        <f aca="false">Supuestos!$B$20</f>
        <v>400000</v>
      </c>
      <c r="JW13" s="18" t="n">
        <f aca="false">Supuestos!$B$20</f>
        <v>400000</v>
      </c>
      <c r="JX13" s="18" t="n">
        <f aca="false">Supuestos!$B$20</f>
        <v>400000</v>
      </c>
      <c r="JY13" s="18" t="n">
        <f aca="false">Supuestos!$B$20</f>
        <v>400000</v>
      </c>
      <c r="JZ13" s="18" t="n">
        <f aca="false">Supuestos!$B$20</f>
        <v>400000</v>
      </c>
      <c r="KA13" s="18" t="n">
        <f aca="false">Supuestos!$B$20</f>
        <v>400000</v>
      </c>
      <c r="KB13" s="18" t="n">
        <f aca="false">Supuestos!$B$20</f>
        <v>400000</v>
      </c>
      <c r="KC13" s="18" t="n">
        <f aca="false">Supuestos!$B$20</f>
        <v>400000</v>
      </c>
      <c r="KD13" s="18" t="n">
        <f aca="false">Supuestos!$B$20</f>
        <v>400000</v>
      </c>
      <c r="KE13" s="18" t="n">
        <f aca="false">Supuestos!$B$20</f>
        <v>400000</v>
      </c>
      <c r="KF13" s="18" t="n">
        <f aca="false">Supuestos!$B$20</f>
        <v>400000</v>
      </c>
      <c r="KG13" s="18" t="n">
        <f aca="false">Supuestos!$B$20</f>
        <v>400000</v>
      </c>
      <c r="KH13" s="18" t="n">
        <f aca="false">Supuestos!$B$20</f>
        <v>400000</v>
      </c>
      <c r="KI13" s="18" t="n">
        <f aca="false">Supuestos!$B$20</f>
        <v>400000</v>
      </c>
      <c r="KJ13" s="18" t="n">
        <f aca="false">Supuestos!$B$20</f>
        <v>400000</v>
      </c>
      <c r="KK13" s="18" t="n">
        <f aca="false">Supuestos!$B$20</f>
        <v>400000</v>
      </c>
      <c r="KL13" s="18" t="n">
        <f aca="false">Supuestos!$B$20</f>
        <v>400000</v>
      </c>
      <c r="KM13" s="18" t="n">
        <f aca="false">Supuestos!$B$20</f>
        <v>400000</v>
      </c>
      <c r="KN13" s="18" t="n">
        <f aca="false">Supuestos!$B$20</f>
        <v>400000</v>
      </c>
      <c r="KO13" s="18" t="n">
        <f aca="false">Supuestos!$B$20</f>
        <v>400000</v>
      </c>
    </row>
    <row r="14" s="21" customFormat="true" ht="14.25" hidden="false" customHeight="false" outlineLevel="0" collapsed="false">
      <c r="A14" s="14" t="s">
        <v>391</v>
      </c>
      <c r="B14" s="18" t="n">
        <f aca="false">SUM(B9:B13)</f>
        <v>6900000</v>
      </c>
      <c r="C14" s="18" t="n">
        <f aca="false">SUM(C9:C13)</f>
        <v>6900000</v>
      </c>
      <c r="D14" s="18" t="n">
        <f aca="false">SUM(D9:D13)</f>
        <v>6900000</v>
      </c>
      <c r="E14" s="18" t="n">
        <f aca="false">SUM(E9:E13)</f>
        <v>6900000</v>
      </c>
      <c r="F14" s="18" t="n">
        <f aca="false">SUM(F9:F13)</f>
        <v>6900000</v>
      </c>
      <c r="G14" s="18" t="n">
        <f aca="false">SUM(G9:G13)</f>
        <v>6900000</v>
      </c>
      <c r="H14" s="18" t="n">
        <f aca="false">SUM(H9:H13)</f>
        <v>6900000</v>
      </c>
      <c r="I14" s="18" t="n">
        <f aca="false">SUM(I9:I13)</f>
        <v>6900000</v>
      </c>
      <c r="J14" s="18" t="n">
        <f aca="false">SUM(J9:J13)</f>
        <v>6900000</v>
      </c>
      <c r="K14" s="18" t="n">
        <f aca="false">SUM(K9:K13)</f>
        <v>6900000</v>
      </c>
      <c r="L14" s="18" t="n">
        <f aca="false">SUM(L9:L13)</f>
        <v>6900000</v>
      </c>
      <c r="M14" s="18" t="n">
        <f aca="false">SUM(M9:M13)</f>
        <v>6900000</v>
      </c>
      <c r="N14" s="18" t="n">
        <f aca="false">SUM(N9:N13)</f>
        <v>6900000</v>
      </c>
      <c r="O14" s="18" t="n">
        <f aca="false">SUM(O9:O13)</f>
        <v>6900000</v>
      </c>
      <c r="P14" s="18" t="n">
        <f aca="false">SUM(P9:P13)</f>
        <v>6900000</v>
      </c>
      <c r="Q14" s="18" t="n">
        <f aca="false">SUM(Q9:Q13)</f>
        <v>6900000</v>
      </c>
      <c r="R14" s="18" t="n">
        <f aca="false">SUM(R9:R13)</f>
        <v>6900000</v>
      </c>
      <c r="S14" s="18" t="n">
        <f aca="false">SUM(S9:S13)</f>
        <v>6900000</v>
      </c>
      <c r="T14" s="18" t="n">
        <f aca="false">SUM(T9:T13)</f>
        <v>6900000</v>
      </c>
      <c r="U14" s="18" t="n">
        <f aca="false">SUM(U9:U13)</f>
        <v>6900000</v>
      </c>
      <c r="V14" s="18" t="n">
        <f aca="false">SUM(V9:V13)</f>
        <v>6900000</v>
      </c>
      <c r="W14" s="18" t="n">
        <f aca="false">SUM(W9:W13)</f>
        <v>6900000</v>
      </c>
      <c r="X14" s="18" t="n">
        <f aca="false">SUM(X9:X13)</f>
        <v>6900000</v>
      </c>
      <c r="Y14" s="18" t="n">
        <f aca="false">SUM(Y9:Y13)</f>
        <v>6900000</v>
      </c>
      <c r="Z14" s="18" t="n">
        <f aca="false">SUM(Z9:Z13)</f>
        <v>6900000</v>
      </c>
      <c r="AA14" s="18" t="n">
        <f aca="false">SUM(AA9:AA13)</f>
        <v>6900000</v>
      </c>
      <c r="AB14" s="18" t="n">
        <f aca="false">SUM(AB9:AB13)</f>
        <v>6900000</v>
      </c>
      <c r="AC14" s="18" t="n">
        <f aca="false">SUM(AC9:AC13)</f>
        <v>6900000</v>
      </c>
      <c r="AD14" s="18" t="n">
        <f aca="false">SUM(AD9:AD13)</f>
        <v>6900000</v>
      </c>
      <c r="AE14" s="18" t="n">
        <f aca="false">SUM(AE9:AE13)</f>
        <v>6900000</v>
      </c>
      <c r="AF14" s="18" t="n">
        <f aca="false">SUM(AF9:AF13)</f>
        <v>6900000</v>
      </c>
      <c r="AG14" s="18" t="n">
        <f aca="false">SUM(AG9:AG13)</f>
        <v>6900000</v>
      </c>
      <c r="AH14" s="18" t="n">
        <f aca="false">SUM(AH9:AH13)</f>
        <v>6900000</v>
      </c>
      <c r="AI14" s="18" t="n">
        <f aca="false">SUM(AI9:AI13)</f>
        <v>6900000</v>
      </c>
      <c r="AJ14" s="18" t="n">
        <f aca="false">SUM(AJ9:AJ13)</f>
        <v>6900000</v>
      </c>
      <c r="AK14" s="18" t="n">
        <f aca="false">SUM(AK9:AK13)</f>
        <v>6900000</v>
      </c>
      <c r="AL14" s="18" t="n">
        <f aca="false">SUM(AL9:AL13)</f>
        <v>6900000</v>
      </c>
      <c r="AM14" s="18" t="n">
        <f aca="false">SUM(AM9:AM13)</f>
        <v>6900000</v>
      </c>
      <c r="AN14" s="18" t="n">
        <f aca="false">SUM(AN9:AN13)</f>
        <v>6900000</v>
      </c>
      <c r="AO14" s="18" t="n">
        <f aca="false">SUM(AO9:AO13)</f>
        <v>6900000</v>
      </c>
      <c r="AP14" s="18" t="n">
        <f aca="false">SUM(AP9:AP13)</f>
        <v>6900000</v>
      </c>
      <c r="AQ14" s="18" t="n">
        <f aca="false">SUM(AQ9:AQ13)</f>
        <v>6900000</v>
      </c>
      <c r="AR14" s="18" t="n">
        <f aca="false">SUM(AR9:AR13)</f>
        <v>6900000</v>
      </c>
      <c r="AS14" s="18" t="n">
        <f aca="false">SUM(AS9:AS13)</f>
        <v>6900000</v>
      </c>
      <c r="AT14" s="18" t="n">
        <f aca="false">SUM(AT9:AT13)</f>
        <v>6900000</v>
      </c>
      <c r="AU14" s="18" t="n">
        <f aca="false">SUM(AU9:AU13)</f>
        <v>6900000</v>
      </c>
      <c r="AV14" s="18" t="n">
        <f aca="false">SUM(AV9:AV13)</f>
        <v>6900000</v>
      </c>
      <c r="AW14" s="18" t="n">
        <f aca="false">SUM(AW9:AW13)</f>
        <v>6900000</v>
      </c>
      <c r="AX14" s="18" t="n">
        <f aca="false">SUM(AX9:AX13)</f>
        <v>6900000</v>
      </c>
      <c r="AY14" s="18" t="n">
        <f aca="false">SUM(AY9:AY13)</f>
        <v>6900000</v>
      </c>
      <c r="AZ14" s="18" t="n">
        <f aca="false">SUM(AZ9:AZ13)</f>
        <v>6900000</v>
      </c>
      <c r="BA14" s="18" t="n">
        <f aca="false">SUM(BA9:BA13)</f>
        <v>6900000</v>
      </c>
      <c r="BB14" s="18" t="n">
        <f aca="false">SUM(BB9:BB13)</f>
        <v>6900000</v>
      </c>
      <c r="BC14" s="18" t="n">
        <f aca="false">SUM(BC9:BC13)</f>
        <v>6900000</v>
      </c>
      <c r="BD14" s="18" t="n">
        <f aca="false">SUM(BD9:BD13)</f>
        <v>6900000</v>
      </c>
      <c r="BE14" s="18" t="n">
        <f aca="false">SUM(BE9:BE13)</f>
        <v>6900000</v>
      </c>
      <c r="BF14" s="18" t="n">
        <f aca="false">SUM(BF9:BF13)</f>
        <v>6900000</v>
      </c>
      <c r="BG14" s="18" t="n">
        <f aca="false">SUM(BG9:BG13)</f>
        <v>6900000</v>
      </c>
      <c r="BH14" s="18" t="n">
        <f aca="false">SUM(BH9:BH13)</f>
        <v>6900000</v>
      </c>
      <c r="BI14" s="18" t="n">
        <f aca="false">SUM(BI9:BI13)</f>
        <v>6900000</v>
      </c>
      <c r="BJ14" s="18" t="n">
        <f aca="false">SUM(BJ9:BJ13)</f>
        <v>6900000</v>
      </c>
      <c r="BK14" s="18" t="n">
        <f aca="false">SUM(BK9:BK13)</f>
        <v>6900000</v>
      </c>
      <c r="BL14" s="18" t="n">
        <f aca="false">SUM(BL9:BL13)</f>
        <v>6900000</v>
      </c>
      <c r="BM14" s="18" t="n">
        <f aca="false">SUM(BM9:BM13)</f>
        <v>6900000</v>
      </c>
      <c r="BN14" s="18" t="n">
        <f aca="false">SUM(BN9:BN13)</f>
        <v>6900000</v>
      </c>
      <c r="BO14" s="18" t="n">
        <f aca="false">SUM(BO9:BO13)</f>
        <v>6900000</v>
      </c>
      <c r="BP14" s="18" t="n">
        <f aca="false">SUM(BP9:BP13)</f>
        <v>6900000</v>
      </c>
      <c r="BQ14" s="18" t="n">
        <f aca="false">SUM(BQ9:BQ13)</f>
        <v>6900000</v>
      </c>
      <c r="BR14" s="18" t="n">
        <f aca="false">SUM(BR9:BR13)</f>
        <v>6900000</v>
      </c>
      <c r="BS14" s="18" t="n">
        <f aca="false">SUM(BS9:BS13)</f>
        <v>6900000</v>
      </c>
      <c r="BT14" s="18" t="n">
        <f aca="false">SUM(BT9:BT13)</f>
        <v>6900000</v>
      </c>
      <c r="BU14" s="18" t="n">
        <f aca="false">SUM(BU9:BU13)</f>
        <v>6900000</v>
      </c>
      <c r="BV14" s="18" t="n">
        <f aca="false">SUM(BV9:BV13)</f>
        <v>6900000</v>
      </c>
      <c r="BW14" s="18" t="n">
        <f aca="false">SUM(BW9:BW13)</f>
        <v>6900000</v>
      </c>
      <c r="BX14" s="18" t="n">
        <f aca="false">SUM(BX9:BX13)</f>
        <v>6900000</v>
      </c>
      <c r="BY14" s="18" t="n">
        <f aca="false">SUM(BY9:BY13)</f>
        <v>6900000</v>
      </c>
      <c r="BZ14" s="18" t="n">
        <f aca="false">SUM(BZ9:BZ13)</f>
        <v>6900000</v>
      </c>
      <c r="CA14" s="18" t="n">
        <f aca="false">SUM(CA9:CA13)</f>
        <v>6900000</v>
      </c>
      <c r="CB14" s="18" t="n">
        <f aca="false">SUM(CB9:CB13)</f>
        <v>6900000</v>
      </c>
      <c r="CC14" s="18" t="n">
        <f aca="false">SUM(CC9:CC13)</f>
        <v>6900000</v>
      </c>
      <c r="CD14" s="18" t="n">
        <f aca="false">SUM(CD9:CD13)</f>
        <v>6900000</v>
      </c>
      <c r="CE14" s="18" t="n">
        <f aca="false">SUM(CE9:CE13)</f>
        <v>6900000</v>
      </c>
      <c r="CF14" s="18" t="n">
        <f aca="false">SUM(CF9:CF13)</f>
        <v>6900000</v>
      </c>
      <c r="CG14" s="18" t="n">
        <f aca="false">SUM(CG9:CG13)</f>
        <v>6900000</v>
      </c>
      <c r="CH14" s="18" t="n">
        <f aca="false">SUM(CH9:CH13)</f>
        <v>6900000</v>
      </c>
      <c r="CI14" s="18" t="n">
        <f aca="false">SUM(CI9:CI13)</f>
        <v>6900000</v>
      </c>
      <c r="CJ14" s="18" t="n">
        <f aca="false">SUM(CJ9:CJ13)</f>
        <v>6900000</v>
      </c>
      <c r="CK14" s="18" t="n">
        <f aca="false">SUM(CK9:CK13)</f>
        <v>6900000</v>
      </c>
      <c r="CL14" s="18" t="n">
        <f aca="false">SUM(CL9:CL13)</f>
        <v>6900000</v>
      </c>
      <c r="CM14" s="18" t="n">
        <f aca="false">SUM(CM9:CM13)</f>
        <v>6900000</v>
      </c>
      <c r="CN14" s="18" t="n">
        <f aca="false">SUM(CN9:CN13)</f>
        <v>6900000</v>
      </c>
      <c r="CO14" s="18" t="n">
        <f aca="false">SUM(CO9:CO13)</f>
        <v>6900000</v>
      </c>
      <c r="CP14" s="18" t="n">
        <f aca="false">SUM(CP9:CP13)</f>
        <v>6900000</v>
      </c>
      <c r="CQ14" s="18" t="n">
        <f aca="false">SUM(CQ9:CQ13)</f>
        <v>6900000</v>
      </c>
      <c r="CR14" s="18" t="n">
        <f aca="false">SUM(CR9:CR13)</f>
        <v>6900000</v>
      </c>
      <c r="CS14" s="18" t="n">
        <f aca="false">SUM(CS9:CS13)</f>
        <v>6900000</v>
      </c>
      <c r="CT14" s="18" t="n">
        <f aca="false">SUM(CT9:CT13)</f>
        <v>6900000</v>
      </c>
      <c r="CU14" s="18" t="n">
        <f aca="false">SUM(CU9:CU13)</f>
        <v>6900000</v>
      </c>
      <c r="CV14" s="18" t="n">
        <f aca="false">SUM(CV9:CV13)</f>
        <v>6900000</v>
      </c>
      <c r="CW14" s="18" t="n">
        <f aca="false">SUM(CW9:CW13)</f>
        <v>6900000</v>
      </c>
      <c r="CX14" s="18" t="n">
        <f aca="false">SUM(CX9:CX13)</f>
        <v>6900000</v>
      </c>
      <c r="CY14" s="18" t="n">
        <f aca="false">SUM(CY9:CY13)</f>
        <v>6900000</v>
      </c>
      <c r="CZ14" s="18" t="n">
        <f aca="false">SUM(CZ9:CZ13)</f>
        <v>6900000</v>
      </c>
      <c r="DA14" s="18" t="n">
        <f aca="false">SUM(DA9:DA13)</f>
        <v>6900000</v>
      </c>
      <c r="DB14" s="18" t="n">
        <f aca="false">SUM(DB9:DB13)</f>
        <v>6900000</v>
      </c>
      <c r="DC14" s="18" t="n">
        <f aca="false">SUM(DC9:DC13)</f>
        <v>6900000</v>
      </c>
      <c r="DD14" s="18" t="n">
        <f aca="false">SUM(DD9:DD13)</f>
        <v>6900000</v>
      </c>
      <c r="DE14" s="18" t="n">
        <f aca="false">SUM(DE9:DE13)</f>
        <v>6900000</v>
      </c>
      <c r="DF14" s="18" t="n">
        <f aca="false">SUM(DF9:DF13)</f>
        <v>6900000</v>
      </c>
      <c r="DG14" s="18" t="n">
        <f aca="false">SUM(DG9:DG13)</f>
        <v>6900000</v>
      </c>
      <c r="DH14" s="18" t="n">
        <f aca="false">SUM(DH9:DH13)</f>
        <v>6900000</v>
      </c>
      <c r="DI14" s="18" t="n">
        <f aca="false">SUM(DI9:DI13)</f>
        <v>6900000</v>
      </c>
      <c r="DJ14" s="18" t="n">
        <f aca="false">SUM(DJ9:DJ13)</f>
        <v>6900000</v>
      </c>
      <c r="DK14" s="18" t="n">
        <f aca="false">SUM(DK9:DK13)</f>
        <v>6900000</v>
      </c>
      <c r="DL14" s="18" t="n">
        <f aca="false">SUM(DL9:DL13)</f>
        <v>6900000</v>
      </c>
      <c r="DM14" s="18" t="n">
        <f aca="false">SUM(DM9:DM13)</f>
        <v>6900000</v>
      </c>
      <c r="DN14" s="18" t="n">
        <f aca="false">SUM(DN9:DN13)</f>
        <v>6900000</v>
      </c>
      <c r="DO14" s="18" t="n">
        <f aca="false">SUM(DO9:DO13)</f>
        <v>6900000</v>
      </c>
      <c r="DP14" s="18" t="n">
        <f aca="false">SUM(DP9:DP13)</f>
        <v>6900000</v>
      </c>
      <c r="DQ14" s="18" t="n">
        <f aca="false">SUM(DQ9:DQ13)</f>
        <v>6900000</v>
      </c>
      <c r="DR14" s="18" t="n">
        <f aca="false">SUM(DR9:DR13)</f>
        <v>6900000</v>
      </c>
      <c r="DS14" s="18" t="n">
        <f aca="false">SUM(DS9:DS13)</f>
        <v>6900000</v>
      </c>
      <c r="DT14" s="18" t="n">
        <f aca="false">SUM(DT9:DT13)</f>
        <v>6900000</v>
      </c>
      <c r="DU14" s="18" t="n">
        <f aca="false">SUM(DU9:DU13)</f>
        <v>6900000</v>
      </c>
      <c r="DV14" s="18" t="n">
        <f aca="false">SUM(DV9:DV13)</f>
        <v>6900000</v>
      </c>
      <c r="DW14" s="18" t="n">
        <f aca="false">SUM(DW9:DW13)</f>
        <v>6900000</v>
      </c>
      <c r="DX14" s="18" t="n">
        <f aca="false">SUM(DX9:DX13)</f>
        <v>6900000</v>
      </c>
      <c r="DY14" s="18" t="n">
        <f aca="false">SUM(DY9:DY13)</f>
        <v>6900000</v>
      </c>
      <c r="DZ14" s="18" t="n">
        <f aca="false">SUM(DZ9:DZ13)</f>
        <v>6900000</v>
      </c>
      <c r="EA14" s="18" t="n">
        <f aca="false">SUM(EA9:EA13)</f>
        <v>6900000</v>
      </c>
      <c r="EB14" s="18" t="n">
        <f aca="false">SUM(EB9:EB13)</f>
        <v>6900000</v>
      </c>
      <c r="EC14" s="18" t="n">
        <f aca="false">SUM(EC9:EC13)</f>
        <v>6900000</v>
      </c>
      <c r="ED14" s="18" t="n">
        <f aca="false">SUM(ED9:ED13)</f>
        <v>6900000</v>
      </c>
      <c r="EE14" s="18" t="n">
        <f aca="false">SUM(EE9:EE13)</f>
        <v>6900000</v>
      </c>
      <c r="EF14" s="18" t="n">
        <f aca="false">SUM(EF9:EF13)</f>
        <v>6900000</v>
      </c>
      <c r="EG14" s="18" t="n">
        <f aca="false">SUM(EG9:EG13)</f>
        <v>6900000</v>
      </c>
      <c r="EH14" s="18" t="n">
        <f aca="false">SUM(EH9:EH13)</f>
        <v>6900000</v>
      </c>
      <c r="EI14" s="18" t="n">
        <f aca="false">SUM(EI9:EI13)</f>
        <v>6900000</v>
      </c>
      <c r="EJ14" s="18" t="n">
        <f aca="false">SUM(EJ9:EJ13)</f>
        <v>6900000</v>
      </c>
      <c r="EK14" s="18" t="n">
        <f aca="false">SUM(EK9:EK13)</f>
        <v>6900000</v>
      </c>
      <c r="EL14" s="18" t="n">
        <f aca="false">SUM(EL9:EL13)</f>
        <v>6900000</v>
      </c>
      <c r="EM14" s="18" t="n">
        <f aca="false">SUM(EM9:EM13)</f>
        <v>6900000</v>
      </c>
      <c r="EN14" s="18" t="n">
        <f aca="false">SUM(EN9:EN13)</f>
        <v>6900000</v>
      </c>
      <c r="EO14" s="18" t="n">
        <f aca="false">SUM(EO9:EO13)</f>
        <v>6900000</v>
      </c>
      <c r="EP14" s="18" t="n">
        <f aca="false">SUM(EP9:EP13)</f>
        <v>6900000</v>
      </c>
      <c r="EQ14" s="18" t="n">
        <f aca="false">SUM(EQ9:EQ13)</f>
        <v>6900000</v>
      </c>
      <c r="ER14" s="18" t="n">
        <f aca="false">SUM(ER9:ER13)</f>
        <v>6900000</v>
      </c>
      <c r="ES14" s="18" t="n">
        <f aca="false">SUM(ES9:ES13)</f>
        <v>6900000</v>
      </c>
      <c r="ET14" s="18" t="n">
        <f aca="false">SUM(ET9:ET13)</f>
        <v>6900000</v>
      </c>
      <c r="EU14" s="18" t="n">
        <f aca="false">SUM(EU9:EU13)</f>
        <v>6900000</v>
      </c>
      <c r="EV14" s="18" t="n">
        <f aca="false">SUM(EV9:EV13)</f>
        <v>6900000</v>
      </c>
      <c r="EW14" s="18" t="n">
        <f aca="false">SUM(EW9:EW13)</f>
        <v>6900000</v>
      </c>
      <c r="EX14" s="18" t="n">
        <f aca="false">SUM(EX9:EX13)</f>
        <v>6900000</v>
      </c>
      <c r="EY14" s="18" t="n">
        <f aca="false">SUM(EY9:EY13)</f>
        <v>6900000</v>
      </c>
      <c r="EZ14" s="18" t="n">
        <f aca="false">SUM(EZ9:EZ13)</f>
        <v>6900000</v>
      </c>
      <c r="FA14" s="18" t="n">
        <f aca="false">SUM(FA9:FA13)</f>
        <v>6900000</v>
      </c>
      <c r="FB14" s="18" t="n">
        <f aca="false">SUM(FB9:FB13)</f>
        <v>6900000</v>
      </c>
      <c r="FC14" s="18" t="n">
        <f aca="false">SUM(FC9:FC13)</f>
        <v>6900000</v>
      </c>
      <c r="FD14" s="18" t="n">
        <f aca="false">SUM(FD9:FD13)</f>
        <v>6900000</v>
      </c>
      <c r="FE14" s="18" t="n">
        <f aca="false">SUM(FE9:FE13)</f>
        <v>6900000</v>
      </c>
      <c r="FF14" s="18" t="n">
        <f aca="false">SUM(FF9:FF13)</f>
        <v>6900000</v>
      </c>
      <c r="FG14" s="18" t="n">
        <f aca="false">SUM(FG9:FG13)</f>
        <v>6900000</v>
      </c>
      <c r="FH14" s="18" t="n">
        <f aca="false">SUM(FH9:FH13)</f>
        <v>6900000</v>
      </c>
      <c r="FI14" s="18" t="n">
        <f aca="false">SUM(FI9:FI13)</f>
        <v>6900000</v>
      </c>
      <c r="FJ14" s="18" t="n">
        <f aca="false">SUM(FJ9:FJ13)</f>
        <v>6900000</v>
      </c>
      <c r="FK14" s="18" t="n">
        <f aca="false">SUM(FK9:FK13)</f>
        <v>6900000</v>
      </c>
      <c r="FL14" s="18" t="n">
        <f aca="false">SUM(FL9:FL13)</f>
        <v>6900000</v>
      </c>
      <c r="FM14" s="18" t="n">
        <f aca="false">SUM(FM9:FM13)</f>
        <v>6900000</v>
      </c>
      <c r="FN14" s="18" t="n">
        <f aca="false">SUM(FN9:FN13)</f>
        <v>6900000</v>
      </c>
      <c r="FO14" s="18" t="n">
        <f aca="false">SUM(FO9:FO13)</f>
        <v>6900000</v>
      </c>
      <c r="FP14" s="18" t="n">
        <f aca="false">SUM(FP9:FP13)</f>
        <v>6900000</v>
      </c>
      <c r="FQ14" s="18" t="n">
        <f aca="false">SUM(FQ9:FQ13)</f>
        <v>6900000</v>
      </c>
      <c r="FR14" s="18" t="n">
        <f aca="false">SUM(FR9:FR13)</f>
        <v>6900000</v>
      </c>
      <c r="FS14" s="18" t="n">
        <f aca="false">SUM(FS9:FS13)</f>
        <v>6900000</v>
      </c>
      <c r="FT14" s="18" t="n">
        <f aca="false">SUM(FT9:FT13)</f>
        <v>6900000</v>
      </c>
      <c r="FU14" s="18" t="n">
        <f aca="false">SUM(FU9:FU13)</f>
        <v>6900000</v>
      </c>
      <c r="FV14" s="18" t="n">
        <f aca="false">SUM(FV9:FV13)</f>
        <v>6900000</v>
      </c>
      <c r="FW14" s="18" t="n">
        <f aca="false">SUM(FW9:FW13)</f>
        <v>6900000</v>
      </c>
      <c r="FX14" s="18" t="n">
        <f aca="false">SUM(FX9:FX13)</f>
        <v>6900000</v>
      </c>
      <c r="FY14" s="18" t="n">
        <f aca="false">SUM(FY9:FY13)</f>
        <v>6900000</v>
      </c>
      <c r="FZ14" s="18" t="n">
        <f aca="false">SUM(FZ9:FZ13)</f>
        <v>6900000</v>
      </c>
      <c r="GA14" s="18" t="n">
        <f aca="false">SUM(GA9:GA13)</f>
        <v>6900000</v>
      </c>
      <c r="GB14" s="18" t="n">
        <f aca="false">SUM(GB9:GB13)</f>
        <v>6900000</v>
      </c>
      <c r="GC14" s="18" t="n">
        <f aca="false">SUM(GC9:GC13)</f>
        <v>6900000</v>
      </c>
      <c r="GD14" s="18" t="n">
        <f aca="false">SUM(GD9:GD13)</f>
        <v>6900000</v>
      </c>
      <c r="GE14" s="18" t="n">
        <f aca="false">SUM(GE9:GE13)</f>
        <v>6900000</v>
      </c>
      <c r="GF14" s="18" t="n">
        <f aca="false">SUM(GF9:GF13)</f>
        <v>6900000</v>
      </c>
      <c r="GG14" s="18" t="n">
        <f aca="false">SUM(GG9:GG13)</f>
        <v>6900000</v>
      </c>
      <c r="GH14" s="18" t="n">
        <f aca="false">SUM(GH9:GH13)</f>
        <v>6900000</v>
      </c>
      <c r="GI14" s="18" t="n">
        <f aca="false">SUM(GI9:GI13)</f>
        <v>6900000</v>
      </c>
      <c r="GJ14" s="18" t="n">
        <f aca="false">SUM(GJ9:GJ13)</f>
        <v>6900000</v>
      </c>
      <c r="GK14" s="18" t="n">
        <f aca="false">SUM(GK9:GK13)</f>
        <v>6900000</v>
      </c>
      <c r="GL14" s="18" t="n">
        <f aca="false">SUM(GL9:GL13)</f>
        <v>6900000</v>
      </c>
      <c r="GM14" s="18" t="n">
        <f aca="false">SUM(GM9:GM13)</f>
        <v>6900000</v>
      </c>
      <c r="GN14" s="18" t="n">
        <f aca="false">SUM(GN9:GN13)</f>
        <v>6900000</v>
      </c>
      <c r="GO14" s="18" t="n">
        <f aca="false">SUM(GO9:GO13)</f>
        <v>6900000</v>
      </c>
      <c r="GP14" s="18" t="n">
        <f aca="false">SUM(GP9:GP13)</f>
        <v>6900000</v>
      </c>
      <c r="GQ14" s="18" t="n">
        <f aca="false">SUM(GQ9:GQ13)</f>
        <v>6900000</v>
      </c>
      <c r="GR14" s="18" t="n">
        <f aca="false">SUM(GR9:GR13)</f>
        <v>6900000</v>
      </c>
      <c r="GS14" s="18" t="n">
        <f aca="false">SUM(GS9:GS13)</f>
        <v>6900000</v>
      </c>
      <c r="GT14" s="18" t="n">
        <f aca="false">SUM(GT9:GT13)</f>
        <v>6900000</v>
      </c>
      <c r="GU14" s="18" t="n">
        <f aca="false">SUM(GU9:GU13)</f>
        <v>6900000</v>
      </c>
      <c r="GV14" s="18" t="n">
        <f aca="false">SUM(GV9:GV13)</f>
        <v>6900000</v>
      </c>
      <c r="GW14" s="18" t="n">
        <f aca="false">SUM(GW9:GW13)</f>
        <v>6900000</v>
      </c>
      <c r="GX14" s="18" t="n">
        <f aca="false">SUM(GX9:GX13)</f>
        <v>6900000</v>
      </c>
      <c r="GY14" s="18" t="n">
        <f aca="false">SUM(GY9:GY13)</f>
        <v>6900000</v>
      </c>
      <c r="GZ14" s="18" t="n">
        <f aca="false">SUM(GZ9:GZ13)</f>
        <v>6900000</v>
      </c>
      <c r="HA14" s="18" t="n">
        <f aca="false">SUM(HA9:HA13)</f>
        <v>6900000</v>
      </c>
      <c r="HB14" s="18" t="n">
        <f aca="false">SUM(HB9:HB13)</f>
        <v>6900000</v>
      </c>
      <c r="HC14" s="18" t="n">
        <f aca="false">SUM(HC9:HC13)</f>
        <v>6900000</v>
      </c>
      <c r="HD14" s="18" t="n">
        <f aca="false">SUM(HD9:HD13)</f>
        <v>6900000</v>
      </c>
      <c r="HE14" s="18" t="n">
        <f aca="false">SUM(HE9:HE13)</f>
        <v>6900000</v>
      </c>
      <c r="HF14" s="18" t="n">
        <f aca="false">SUM(HF9:HF13)</f>
        <v>6900000</v>
      </c>
      <c r="HG14" s="18" t="n">
        <f aca="false">SUM(HG9:HG13)</f>
        <v>6900000</v>
      </c>
      <c r="HH14" s="18" t="n">
        <f aca="false">SUM(HH9:HH13)</f>
        <v>6900000</v>
      </c>
      <c r="HI14" s="18" t="n">
        <f aca="false">SUM(HI9:HI13)</f>
        <v>6900000</v>
      </c>
      <c r="HJ14" s="18" t="n">
        <f aca="false">SUM(HJ9:HJ13)</f>
        <v>6900000</v>
      </c>
      <c r="HK14" s="18" t="n">
        <f aca="false">SUM(HK9:HK13)</f>
        <v>6900000</v>
      </c>
      <c r="HL14" s="18" t="n">
        <f aca="false">SUM(HL9:HL13)</f>
        <v>6900000</v>
      </c>
      <c r="HM14" s="18" t="n">
        <f aca="false">SUM(HM9:HM13)</f>
        <v>6900000</v>
      </c>
      <c r="HN14" s="18" t="n">
        <f aca="false">SUM(HN9:HN13)</f>
        <v>6900000</v>
      </c>
      <c r="HO14" s="18" t="n">
        <f aca="false">SUM(HO9:HO13)</f>
        <v>6900000</v>
      </c>
      <c r="HP14" s="18" t="n">
        <f aca="false">SUM(HP9:HP13)</f>
        <v>6900000</v>
      </c>
      <c r="HQ14" s="18" t="n">
        <f aca="false">SUM(HQ9:HQ13)</f>
        <v>6900000</v>
      </c>
      <c r="HR14" s="18" t="n">
        <f aca="false">SUM(HR9:HR13)</f>
        <v>6900000</v>
      </c>
      <c r="HS14" s="18" t="n">
        <f aca="false">SUM(HS9:HS13)</f>
        <v>6900000</v>
      </c>
      <c r="HT14" s="18" t="n">
        <f aca="false">SUM(HT9:HT13)</f>
        <v>6900000</v>
      </c>
      <c r="HU14" s="18" t="n">
        <f aca="false">SUM(HU9:HU13)</f>
        <v>6900000</v>
      </c>
      <c r="HV14" s="18" t="n">
        <f aca="false">SUM(HV9:HV13)</f>
        <v>6900000</v>
      </c>
      <c r="HW14" s="18" t="n">
        <f aca="false">SUM(HW9:HW13)</f>
        <v>6900000</v>
      </c>
      <c r="HX14" s="18" t="n">
        <f aca="false">SUM(HX9:HX13)</f>
        <v>6900000</v>
      </c>
      <c r="HY14" s="18" t="n">
        <f aca="false">SUM(HY9:HY13)</f>
        <v>6900000</v>
      </c>
      <c r="HZ14" s="18" t="n">
        <f aca="false">SUM(HZ9:HZ13)</f>
        <v>6900000</v>
      </c>
      <c r="IA14" s="18" t="n">
        <f aca="false">SUM(IA9:IA13)</f>
        <v>6900000</v>
      </c>
      <c r="IB14" s="18" t="n">
        <f aca="false">SUM(IB9:IB13)</f>
        <v>6900000</v>
      </c>
      <c r="IC14" s="18" t="n">
        <f aca="false">SUM(IC9:IC13)</f>
        <v>6900000</v>
      </c>
      <c r="ID14" s="18" t="n">
        <f aca="false">SUM(ID9:ID13)</f>
        <v>6900000</v>
      </c>
      <c r="IE14" s="18" t="n">
        <f aca="false">SUM(IE9:IE13)</f>
        <v>6900000</v>
      </c>
      <c r="IF14" s="18" t="n">
        <f aca="false">SUM(IF9:IF13)</f>
        <v>6900000</v>
      </c>
      <c r="IG14" s="18" t="n">
        <f aca="false">SUM(IG9:IG13)</f>
        <v>6900000</v>
      </c>
      <c r="IH14" s="18" t="n">
        <f aca="false">SUM(IH9:IH13)</f>
        <v>6900000</v>
      </c>
      <c r="II14" s="18" t="n">
        <f aca="false">SUM(II9:II13)</f>
        <v>6900000</v>
      </c>
      <c r="IJ14" s="18" t="n">
        <f aca="false">SUM(IJ9:IJ13)</f>
        <v>6900000</v>
      </c>
      <c r="IK14" s="18" t="n">
        <f aca="false">SUM(IK9:IK13)</f>
        <v>6900000</v>
      </c>
      <c r="IL14" s="18" t="n">
        <f aca="false">SUM(IL9:IL13)</f>
        <v>6900000</v>
      </c>
      <c r="IM14" s="18" t="n">
        <f aca="false">SUM(IM9:IM13)</f>
        <v>6900000</v>
      </c>
      <c r="IN14" s="18" t="n">
        <f aca="false">SUM(IN9:IN13)</f>
        <v>6900000</v>
      </c>
      <c r="IO14" s="18" t="n">
        <f aca="false">SUM(IO9:IO13)</f>
        <v>6900000</v>
      </c>
      <c r="IP14" s="18" t="n">
        <f aca="false">SUM(IP9:IP13)</f>
        <v>6900000</v>
      </c>
      <c r="IQ14" s="18" t="n">
        <f aca="false">SUM(IQ9:IQ13)</f>
        <v>6900000</v>
      </c>
      <c r="IR14" s="18" t="n">
        <f aca="false">SUM(IR9:IR13)</f>
        <v>6900000</v>
      </c>
      <c r="IS14" s="18" t="n">
        <f aca="false">SUM(IS9:IS13)</f>
        <v>6900000</v>
      </c>
      <c r="IT14" s="18" t="n">
        <f aca="false">SUM(IT9:IT13)</f>
        <v>6900000</v>
      </c>
      <c r="IU14" s="18" t="n">
        <f aca="false">SUM(IU9:IU13)</f>
        <v>6900000</v>
      </c>
      <c r="IV14" s="18" t="n">
        <f aca="false">SUM(IV9:IV13)</f>
        <v>6900000</v>
      </c>
      <c r="IW14" s="18" t="n">
        <f aca="false">SUM(IW9:IW13)</f>
        <v>6900000</v>
      </c>
      <c r="IX14" s="18" t="n">
        <f aca="false">SUM(IX9:IX13)</f>
        <v>6900000</v>
      </c>
      <c r="IY14" s="18" t="n">
        <f aca="false">SUM(IY9:IY13)</f>
        <v>6900000</v>
      </c>
      <c r="IZ14" s="18" t="n">
        <f aca="false">SUM(IZ9:IZ13)</f>
        <v>6900000</v>
      </c>
      <c r="JA14" s="18" t="n">
        <f aca="false">SUM(JA9:JA13)</f>
        <v>6900000</v>
      </c>
      <c r="JB14" s="18" t="n">
        <f aca="false">SUM(JB9:JB13)</f>
        <v>6900000</v>
      </c>
      <c r="JC14" s="18" t="n">
        <f aca="false">SUM(JC9:JC13)</f>
        <v>6900000</v>
      </c>
      <c r="JD14" s="18" t="n">
        <f aca="false">SUM(JD9:JD13)</f>
        <v>6900000</v>
      </c>
      <c r="JE14" s="18" t="n">
        <f aca="false">SUM(JE9:JE13)</f>
        <v>6900000</v>
      </c>
      <c r="JF14" s="18" t="n">
        <f aca="false">SUM(JF9:JF13)</f>
        <v>6900000</v>
      </c>
      <c r="JG14" s="18" t="n">
        <f aca="false">SUM(JG9:JG13)</f>
        <v>6900000</v>
      </c>
      <c r="JH14" s="18" t="n">
        <f aca="false">SUM(JH9:JH13)</f>
        <v>6900000</v>
      </c>
      <c r="JI14" s="18" t="n">
        <f aca="false">SUM(JI9:JI13)</f>
        <v>6900000</v>
      </c>
      <c r="JJ14" s="18" t="n">
        <f aca="false">SUM(JJ9:JJ13)</f>
        <v>6900000</v>
      </c>
      <c r="JK14" s="18" t="n">
        <f aca="false">SUM(JK9:JK13)</f>
        <v>6900000</v>
      </c>
      <c r="JL14" s="18" t="n">
        <f aca="false">SUM(JL9:JL13)</f>
        <v>6900000</v>
      </c>
      <c r="JM14" s="18" t="n">
        <f aca="false">SUM(JM9:JM13)</f>
        <v>6900000</v>
      </c>
      <c r="JN14" s="18" t="n">
        <f aca="false">SUM(JN9:JN13)</f>
        <v>6900000</v>
      </c>
      <c r="JO14" s="18" t="n">
        <f aca="false">SUM(JO9:JO13)</f>
        <v>6900000</v>
      </c>
      <c r="JP14" s="18" t="n">
        <f aca="false">SUM(JP9:JP13)</f>
        <v>6900000</v>
      </c>
      <c r="JQ14" s="18" t="n">
        <f aca="false">SUM(JQ9:JQ13)</f>
        <v>6900000</v>
      </c>
      <c r="JR14" s="18" t="n">
        <f aca="false">SUM(JR9:JR13)</f>
        <v>6900000</v>
      </c>
      <c r="JS14" s="18" t="n">
        <f aca="false">SUM(JS9:JS13)</f>
        <v>6900000</v>
      </c>
      <c r="JT14" s="18" t="n">
        <f aca="false">SUM(JT9:JT13)</f>
        <v>6900000</v>
      </c>
      <c r="JU14" s="18" t="n">
        <f aca="false">SUM(JU9:JU13)</f>
        <v>6900000</v>
      </c>
      <c r="JV14" s="18" t="n">
        <f aca="false">SUM(JV9:JV13)</f>
        <v>6900000</v>
      </c>
      <c r="JW14" s="18" t="n">
        <f aca="false">SUM(JW9:JW13)</f>
        <v>6900000</v>
      </c>
      <c r="JX14" s="18" t="n">
        <f aca="false">SUM(JX9:JX13)</f>
        <v>6900000</v>
      </c>
      <c r="JY14" s="18" t="n">
        <f aca="false">SUM(JY9:JY13)</f>
        <v>6900000</v>
      </c>
      <c r="JZ14" s="18" t="n">
        <f aca="false">SUM(JZ9:JZ13)</f>
        <v>6900000</v>
      </c>
      <c r="KA14" s="18" t="n">
        <f aca="false">SUM(KA9:KA13)</f>
        <v>6900000</v>
      </c>
      <c r="KB14" s="18" t="n">
        <f aca="false">SUM(KB9:KB13)</f>
        <v>6900000</v>
      </c>
      <c r="KC14" s="18" t="n">
        <f aca="false">SUM(KC9:KC13)</f>
        <v>6900000</v>
      </c>
      <c r="KD14" s="18" t="n">
        <f aca="false">SUM(KD9:KD13)</f>
        <v>6900000</v>
      </c>
      <c r="KE14" s="18" t="n">
        <f aca="false">SUM(KE9:KE13)</f>
        <v>6900000</v>
      </c>
      <c r="KF14" s="18" t="n">
        <f aca="false">SUM(KF9:KF13)</f>
        <v>6900000</v>
      </c>
      <c r="KG14" s="18" t="n">
        <f aca="false">SUM(KG9:KG13)</f>
        <v>6900000</v>
      </c>
      <c r="KH14" s="18" t="n">
        <f aca="false">SUM(KH9:KH13)</f>
        <v>6900000</v>
      </c>
      <c r="KI14" s="18" t="n">
        <f aca="false">SUM(KI9:KI13)</f>
        <v>6900000</v>
      </c>
      <c r="KJ14" s="18" t="n">
        <f aca="false">SUM(KJ9:KJ13)</f>
        <v>6900000</v>
      </c>
      <c r="KK14" s="18" t="n">
        <f aca="false">SUM(KK9:KK13)</f>
        <v>6900000</v>
      </c>
      <c r="KL14" s="18" t="n">
        <f aca="false">SUM(KL9:KL13)</f>
        <v>6900000</v>
      </c>
      <c r="KM14" s="18" t="n">
        <f aca="false">SUM(KM9:KM13)</f>
        <v>6900000</v>
      </c>
      <c r="KN14" s="18" t="n">
        <f aca="false">SUM(KN9:KN13)</f>
        <v>6900000</v>
      </c>
      <c r="KO14" s="18" t="n">
        <f aca="false">SUM(KO9:KO13)</f>
        <v>6900000</v>
      </c>
    </row>
    <row r="15" s="21" customFormat="true" ht="14.25" hidden="false" customHeight="false" outlineLevel="0" collapsed="false"/>
    <row r="16" s="21" customFormat="true" ht="14.25" hidden="false" customHeight="false" outlineLevel="0" collapsed="false">
      <c r="A16" s="21" t="s">
        <v>392</v>
      </c>
      <c r="B16" s="18" t="n">
        <f aca="false">Supuestos!$B$4/120</f>
        <v>416666.666666667</v>
      </c>
      <c r="C16" s="18" t="n">
        <f aca="false">Supuestos!$B$4/120</f>
        <v>416666.666666667</v>
      </c>
      <c r="D16" s="18" t="n">
        <f aca="false">Supuestos!$B$4/120</f>
        <v>416666.666666667</v>
      </c>
      <c r="E16" s="18" t="n">
        <f aca="false">Supuestos!$B$4/120</f>
        <v>416666.666666667</v>
      </c>
      <c r="F16" s="18" t="n">
        <f aca="false">Supuestos!$B$4/120</f>
        <v>416666.666666667</v>
      </c>
      <c r="G16" s="18" t="n">
        <f aca="false">Supuestos!$B$4/120</f>
        <v>416666.666666667</v>
      </c>
      <c r="H16" s="18" t="n">
        <f aca="false">Supuestos!$B$4/120</f>
        <v>416666.666666667</v>
      </c>
      <c r="I16" s="18" t="n">
        <f aca="false">Supuestos!$B$4/120</f>
        <v>416666.666666667</v>
      </c>
      <c r="J16" s="18" t="n">
        <f aca="false">Supuestos!$B$4/120</f>
        <v>416666.666666667</v>
      </c>
      <c r="K16" s="18" t="n">
        <f aca="false">Supuestos!$B$4/120</f>
        <v>416666.666666667</v>
      </c>
      <c r="L16" s="18" t="n">
        <f aca="false">Supuestos!$B$4/120</f>
        <v>416666.666666667</v>
      </c>
      <c r="M16" s="18" t="n">
        <f aca="false">Supuestos!$B$4/120</f>
        <v>416666.666666667</v>
      </c>
      <c r="N16" s="18" t="n">
        <f aca="false">Supuestos!$B$4/120</f>
        <v>416666.666666667</v>
      </c>
      <c r="O16" s="18" t="n">
        <f aca="false">Supuestos!$B$4/120</f>
        <v>416666.666666667</v>
      </c>
      <c r="P16" s="18" t="n">
        <f aca="false">Supuestos!$B$4/120</f>
        <v>416666.666666667</v>
      </c>
      <c r="Q16" s="18" t="n">
        <f aca="false">Supuestos!$B$4/120</f>
        <v>416666.666666667</v>
      </c>
      <c r="R16" s="18" t="n">
        <f aca="false">Supuestos!$B$4/120</f>
        <v>416666.666666667</v>
      </c>
      <c r="S16" s="18" t="n">
        <f aca="false">Supuestos!$B$4/120</f>
        <v>416666.666666667</v>
      </c>
      <c r="T16" s="18" t="n">
        <f aca="false">Supuestos!$B$4/120</f>
        <v>416666.666666667</v>
      </c>
      <c r="U16" s="18" t="n">
        <f aca="false">Supuestos!$B$4/120</f>
        <v>416666.666666667</v>
      </c>
      <c r="V16" s="18" t="n">
        <f aca="false">Supuestos!$B$4/120</f>
        <v>416666.666666667</v>
      </c>
      <c r="W16" s="18" t="n">
        <f aca="false">Supuestos!$B$4/120</f>
        <v>416666.666666667</v>
      </c>
      <c r="X16" s="18" t="n">
        <f aca="false">Supuestos!$B$4/120</f>
        <v>416666.666666667</v>
      </c>
      <c r="Y16" s="18" t="n">
        <f aca="false">Supuestos!$B$4/120</f>
        <v>416666.666666667</v>
      </c>
      <c r="Z16" s="18" t="n">
        <f aca="false">Supuestos!$B$4/120</f>
        <v>416666.666666667</v>
      </c>
      <c r="AA16" s="18" t="n">
        <f aca="false">Supuestos!$B$4/120</f>
        <v>416666.666666667</v>
      </c>
      <c r="AB16" s="18" t="n">
        <f aca="false">Supuestos!$B$4/120</f>
        <v>416666.666666667</v>
      </c>
      <c r="AC16" s="18" t="n">
        <f aca="false">Supuestos!$B$4/120</f>
        <v>416666.666666667</v>
      </c>
      <c r="AD16" s="18" t="n">
        <f aca="false">Supuestos!$B$4/120</f>
        <v>416666.666666667</v>
      </c>
      <c r="AE16" s="18" t="n">
        <f aca="false">Supuestos!$B$4/120</f>
        <v>416666.666666667</v>
      </c>
      <c r="AF16" s="18" t="n">
        <f aca="false">Supuestos!$B$4/120</f>
        <v>416666.666666667</v>
      </c>
      <c r="AG16" s="18" t="n">
        <f aca="false">Supuestos!$B$4/120</f>
        <v>416666.666666667</v>
      </c>
      <c r="AH16" s="18" t="n">
        <f aca="false">Supuestos!$B$4/120</f>
        <v>416666.666666667</v>
      </c>
      <c r="AI16" s="18" t="n">
        <f aca="false">Supuestos!$B$4/120</f>
        <v>416666.666666667</v>
      </c>
      <c r="AJ16" s="18" t="n">
        <f aca="false">Supuestos!$B$4/120</f>
        <v>416666.666666667</v>
      </c>
      <c r="AK16" s="18" t="n">
        <f aca="false">Supuestos!$B$4/120</f>
        <v>416666.666666667</v>
      </c>
      <c r="AL16" s="18" t="n">
        <f aca="false">Supuestos!$B$4/120</f>
        <v>416666.666666667</v>
      </c>
      <c r="AM16" s="18" t="n">
        <f aca="false">Supuestos!$B$4/120</f>
        <v>416666.666666667</v>
      </c>
      <c r="AN16" s="18" t="n">
        <f aca="false">Supuestos!$B$4/120</f>
        <v>416666.666666667</v>
      </c>
      <c r="AO16" s="18" t="n">
        <f aca="false">Supuestos!$B$4/120</f>
        <v>416666.666666667</v>
      </c>
      <c r="AP16" s="18" t="n">
        <f aca="false">Supuestos!$B$4/120</f>
        <v>416666.666666667</v>
      </c>
      <c r="AQ16" s="18" t="n">
        <f aca="false">Supuestos!$B$4/120</f>
        <v>416666.666666667</v>
      </c>
      <c r="AR16" s="18" t="n">
        <f aca="false">Supuestos!$B$4/120</f>
        <v>416666.666666667</v>
      </c>
      <c r="AS16" s="18" t="n">
        <f aca="false">Supuestos!$B$4/120</f>
        <v>416666.666666667</v>
      </c>
      <c r="AT16" s="18" t="n">
        <f aca="false">Supuestos!$B$4/120</f>
        <v>416666.666666667</v>
      </c>
      <c r="AU16" s="18" t="n">
        <f aca="false">Supuestos!$B$4/120</f>
        <v>416666.666666667</v>
      </c>
      <c r="AV16" s="18" t="n">
        <f aca="false">Supuestos!$B$4/120</f>
        <v>416666.666666667</v>
      </c>
      <c r="AW16" s="18" t="n">
        <f aca="false">Supuestos!$B$4/120</f>
        <v>416666.666666667</v>
      </c>
      <c r="AX16" s="18" t="n">
        <f aca="false">Supuestos!$B$4/120</f>
        <v>416666.666666667</v>
      </c>
      <c r="AY16" s="18" t="n">
        <f aca="false">Supuestos!$B$4/120</f>
        <v>416666.666666667</v>
      </c>
      <c r="AZ16" s="18" t="n">
        <f aca="false">Supuestos!$B$4/120</f>
        <v>416666.666666667</v>
      </c>
      <c r="BA16" s="18" t="n">
        <f aca="false">Supuestos!$B$4/120</f>
        <v>416666.666666667</v>
      </c>
      <c r="BB16" s="18" t="n">
        <f aca="false">Supuestos!$B$4/120</f>
        <v>416666.666666667</v>
      </c>
      <c r="BC16" s="18" t="n">
        <f aca="false">Supuestos!$B$4/120</f>
        <v>416666.666666667</v>
      </c>
      <c r="BD16" s="18" t="n">
        <f aca="false">Supuestos!$B$4/120</f>
        <v>416666.666666667</v>
      </c>
      <c r="BE16" s="18" t="n">
        <f aca="false">Supuestos!$B$4/120</f>
        <v>416666.666666667</v>
      </c>
      <c r="BF16" s="18" t="n">
        <f aca="false">Supuestos!$B$4/120</f>
        <v>416666.666666667</v>
      </c>
      <c r="BG16" s="18" t="n">
        <f aca="false">Supuestos!$B$4/120</f>
        <v>416666.666666667</v>
      </c>
      <c r="BH16" s="18" t="n">
        <f aca="false">Supuestos!$B$4/120</f>
        <v>416666.666666667</v>
      </c>
      <c r="BI16" s="18" t="n">
        <f aca="false">Supuestos!$B$4/120</f>
        <v>416666.666666667</v>
      </c>
      <c r="BJ16" s="18" t="n">
        <f aca="false">Supuestos!$B$4/120</f>
        <v>416666.666666667</v>
      </c>
      <c r="BK16" s="18" t="n">
        <f aca="false">Supuestos!$B$4/120</f>
        <v>416666.666666667</v>
      </c>
      <c r="BL16" s="18" t="n">
        <f aca="false">Supuestos!$B$4/120</f>
        <v>416666.666666667</v>
      </c>
      <c r="BM16" s="18" t="n">
        <f aca="false">Supuestos!$B$4/120</f>
        <v>416666.666666667</v>
      </c>
      <c r="BN16" s="18" t="n">
        <f aca="false">Supuestos!$B$4/120</f>
        <v>416666.666666667</v>
      </c>
      <c r="BO16" s="18" t="n">
        <f aca="false">Supuestos!$B$4/120</f>
        <v>416666.666666667</v>
      </c>
      <c r="BP16" s="18" t="n">
        <f aca="false">Supuestos!$B$4/120</f>
        <v>416666.666666667</v>
      </c>
      <c r="BQ16" s="18" t="n">
        <f aca="false">Supuestos!$B$4/120</f>
        <v>416666.666666667</v>
      </c>
      <c r="BR16" s="18" t="n">
        <f aca="false">Supuestos!$B$4/120</f>
        <v>416666.666666667</v>
      </c>
      <c r="BS16" s="18" t="n">
        <f aca="false">Supuestos!$B$4/120</f>
        <v>416666.666666667</v>
      </c>
      <c r="BT16" s="18" t="n">
        <f aca="false">Supuestos!$B$4/120</f>
        <v>416666.666666667</v>
      </c>
      <c r="BU16" s="18" t="n">
        <f aca="false">Supuestos!$B$4/120</f>
        <v>416666.666666667</v>
      </c>
      <c r="BV16" s="18" t="n">
        <f aca="false">Supuestos!$B$4/120</f>
        <v>416666.666666667</v>
      </c>
      <c r="BW16" s="18" t="n">
        <f aca="false">Supuestos!$B$4/120</f>
        <v>416666.666666667</v>
      </c>
      <c r="BX16" s="18" t="n">
        <f aca="false">Supuestos!$B$4/120</f>
        <v>416666.666666667</v>
      </c>
      <c r="BY16" s="18" t="n">
        <f aca="false">Supuestos!$B$4/120</f>
        <v>416666.666666667</v>
      </c>
      <c r="BZ16" s="18" t="n">
        <f aca="false">Supuestos!$B$4/120</f>
        <v>416666.666666667</v>
      </c>
      <c r="CA16" s="18" t="n">
        <f aca="false">Supuestos!$B$4/120</f>
        <v>416666.666666667</v>
      </c>
      <c r="CB16" s="18" t="n">
        <f aca="false">Supuestos!$B$4/120</f>
        <v>416666.666666667</v>
      </c>
      <c r="CC16" s="18" t="n">
        <f aca="false">Supuestos!$B$4/120</f>
        <v>416666.666666667</v>
      </c>
      <c r="CD16" s="18" t="n">
        <f aca="false">Supuestos!$B$4/120</f>
        <v>416666.666666667</v>
      </c>
      <c r="CE16" s="18" t="n">
        <f aca="false">Supuestos!$B$4/120</f>
        <v>416666.666666667</v>
      </c>
      <c r="CF16" s="18" t="n">
        <f aca="false">Supuestos!$B$4/120</f>
        <v>416666.666666667</v>
      </c>
      <c r="CG16" s="18" t="n">
        <f aca="false">Supuestos!$B$4/120</f>
        <v>416666.666666667</v>
      </c>
      <c r="CH16" s="18" t="n">
        <f aca="false">Supuestos!$B$4/120</f>
        <v>416666.666666667</v>
      </c>
      <c r="CI16" s="18" t="n">
        <f aca="false">Supuestos!$B$4/120</f>
        <v>416666.666666667</v>
      </c>
      <c r="CJ16" s="18" t="n">
        <f aca="false">Supuestos!$B$4/120</f>
        <v>416666.666666667</v>
      </c>
      <c r="CK16" s="18" t="n">
        <f aca="false">Supuestos!$B$4/120</f>
        <v>416666.666666667</v>
      </c>
      <c r="CL16" s="18" t="n">
        <f aca="false">Supuestos!$B$4/120</f>
        <v>416666.666666667</v>
      </c>
      <c r="CM16" s="18" t="n">
        <f aca="false">Supuestos!$B$4/120</f>
        <v>416666.666666667</v>
      </c>
      <c r="CN16" s="18" t="n">
        <f aca="false">Supuestos!$B$4/120</f>
        <v>416666.666666667</v>
      </c>
      <c r="CO16" s="18" t="n">
        <f aca="false">Supuestos!$B$4/120</f>
        <v>416666.666666667</v>
      </c>
      <c r="CP16" s="18" t="n">
        <f aca="false">Supuestos!$B$4/120</f>
        <v>416666.666666667</v>
      </c>
      <c r="CQ16" s="18" t="n">
        <f aca="false">Supuestos!$B$4/120</f>
        <v>416666.666666667</v>
      </c>
      <c r="CR16" s="18" t="n">
        <f aca="false">Supuestos!$B$4/120</f>
        <v>416666.666666667</v>
      </c>
      <c r="CS16" s="18" t="n">
        <f aca="false">Supuestos!$B$4/120</f>
        <v>416666.666666667</v>
      </c>
      <c r="CT16" s="18" t="n">
        <f aca="false">Supuestos!$B$4/120</f>
        <v>416666.666666667</v>
      </c>
      <c r="CU16" s="18" t="n">
        <f aca="false">Supuestos!$B$4/120</f>
        <v>416666.666666667</v>
      </c>
      <c r="CV16" s="18" t="n">
        <f aca="false">Supuestos!$B$4/120</f>
        <v>416666.666666667</v>
      </c>
      <c r="CW16" s="18" t="n">
        <f aca="false">Supuestos!$B$4/120</f>
        <v>416666.666666667</v>
      </c>
      <c r="CX16" s="18" t="n">
        <f aca="false">Supuestos!$B$4/120</f>
        <v>416666.666666667</v>
      </c>
      <c r="CY16" s="18" t="n">
        <f aca="false">Supuestos!$B$4/120</f>
        <v>416666.666666667</v>
      </c>
      <c r="CZ16" s="18" t="n">
        <f aca="false">Supuestos!$B$4/120</f>
        <v>416666.666666667</v>
      </c>
      <c r="DA16" s="18" t="n">
        <f aca="false">Supuestos!$B$4/120</f>
        <v>416666.666666667</v>
      </c>
      <c r="DB16" s="18" t="n">
        <f aca="false">Supuestos!$B$4/120</f>
        <v>416666.666666667</v>
      </c>
      <c r="DC16" s="18" t="n">
        <f aca="false">Supuestos!$B$4/120</f>
        <v>416666.666666667</v>
      </c>
      <c r="DD16" s="18" t="n">
        <f aca="false">Supuestos!$B$4/120</f>
        <v>416666.666666667</v>
      </c>
      <c r="DE16" s="18" t="n">
        <f aca="false">Supuestos!$B$4/120</f>
        <v>416666.666666667</v>
      </c>
      <c r="DF16" s="18" t="n">
        <f aca="false">Supuestos!$B$4/120</f>
        <v>416666.666666667</v>
      </c>
      <c r="DG16" s="18" t="n">
        <f aca="false">Supuestos!$B$4/120</f>
        <v>416666.666666667</v>
      </c>
      <c r="DH16" s="18" t="n">
        <f aca="false">Supuestos!$B$4/120</f>
        <v>416666.666666667</v>
      </c>
      <c r="DI16" s="18" t="n">
        <f aca="false">Supuestos!$B$4/120</f>
        <v>416666.666666667</v>
      </c>
      <c r="DJ16" s="18" t="n">
        <f aca="false">Supuestos!$B$4/120</f>
        <v>416666.666666667</v>
      </c>
      <c r="DK16" s="18" t="n">
        <f aca="false">Supuestos!$B$4/120</f>
        <v>416666.666666667</v>
      </c>
      <c r="DL16" s="18" t="n">
        <f aca="false">Supuestos!$B$4/120</f>
        <v>416666.666666667</v>
      </c>
      <c r="DM16" s="18" t="n">
        <f aca="false">Supuestos!$B$4/120</f>
        <v>416666.666666667</v>
      </c>
      <c r="DN16" s="18" t="n">
        <f aca="false">Supuestos!$B$4/120</f>
        <v>416666.666666667</v>
      </c>
      <c r="DO16" s="18" t="n">
        <f aca="false">Supuestos!$B$4/120</f>
        <v>416666.666666667</v>
      </c>
      <c r="DP16" s="18" t="n">
        <f aca="false">Supuestos!$B$4/120</f>
        <v>416666.666666667</v>
      </c>
      <c r="DQ16" s="18" t="n">
        <f aca="false">Supuestos!$B$4/120</f>
        <v>416666.666666667</v>
      </c>
      <c r="DR16" s="18" t="n">
        <v>0</v>
      </c>
      <c r="DS16" s="18" t="n">
        <v>0</v>
      </c>
      <c r="DT16" s="18" t="n">
        <v>0</v>
      </c>
      <c r="DU16" s="18" t="n">
        <v>0</v>
      </c>
      <c r="DV16" s="18" t="n">
        <v>0</v>
      </c>
      <c r="DW16" s="18" t="n">
        <v>0</v>
      </c>
      <c r="DX16" s="18" t="n">
        <v>0</v>
      </c>
      <c r="DY16" s="18" t="n">
        <v>0</v>
      </c>
      <c r="DZ16" s="18" t="n">
        <v>0</v>
      </c>
      <c r="EA16" s="18" t="n">
        <v>0</v>
      </c>
      <c r="EB16" s="18" t="n">
        <v>0</v>
      </c>
      <c r="EC16" s="18" t="n">
        <v>0</v>
      </c>
      <c r="ED16" s="18" t="n">
        <v>0</v>
      </c>
      <c r="EE16" s="18" t="n">
        <v>0</v>
      </c>
      <c r="EF16" s="18" t="n">
        <v>0</v>
      </c>
      <c r="EG16" s="18" t="n">
        <v>0</v>
      </c>
      <c r="EH16" s="18" t="n">
        <v>0</v>
      </c>
      <c r="EI16" s="18" t="n">
        <v>0</v>
      </c>
      <c r="EJ16" s="18" t="n">
        <v>0</v>
      </c>
      <c r="EK16" s="18" t="n">
        <v>0</v>
      </c>
      <c r="EL16" s="18" t="n">
        <v>0</v>
      </c>
      <c r="EM16" s="18" t="n">
        <v>0</v>
      </c>
      <c r="EN16" s="18" t="n">
        <v>0</v>
      </c>
      <c r="EO16" s="18" t="n">
        <v>0</v>
      </c>
      <c r="EP16" s="18" t="n">
        <v>0</v>
      </c>
      <c r="EQ16" s="18" t="n">
        <v>0</v>
      </c>
      <c r="ER16" s="18" t="n">
        <v>0</v>
      </c>
      <c r="ES16" s="18" t="n">
        <v>0</v>
      </c>
      <c r="ET16" s="18" t="n">
        <v>0</v>
      </c>
      <c r="EU16" s="18" t="n">
        <v>0</v>
      </c>
      <c r="EV16" s="18" t="n">
        <v>0</v>
      </c>
      <c r="EW16" s="18" t="n">
        <v>0</v>
      </c>
      <c r="EX16" s="18" t="n">
        <v>0</v>
      </c>
      <c r="EY16" s="18" t="n">
        <v>0</v>
      </c>
      <c r="EZ16" s="18" t="n">
        <v>0</v>
      </c>
      <c r="FA16" s="18" t="n">
        <v>0</v>
      </c>
      <c r="FB16" s="18" t="n">
        <v>0</v>
      </c>
      <c r="FC16" s="18" t="n">
        <v>0</v>
      </c>
      <c r="FD16" s="18" t="n">
        <v>0</v>
      </c>
      <c r="FE16" s="18" t="n">
        <v>0</v>
      </c>
      <c r="FF16" s="18" t="n">
        <v>0</v>
      </c>
      <c r="FG16" s="18" t="n">
        <v>0</v>
      </c>
      <c r="FH16" s="18" t="n">
        <v>0</v>
      </c>
      <c r="FI16" s="18" t="n">
        <v>0</v>
      </c>
      <c r="FJ16" s="18" t="n">
        <v>0</v>
      </c>
      <c r="FK16" s="18" t="n">
        <v>0</v>
      </c>
      <c r="FL16" s="18" t="n">
        <v>0</v>
      </c>
      <c r="FM16" s="18" t="n">
        <v>0</v>
      </c>
      <c r="FN16" s="18" t="n">
        <v>0</v>
      </c>
      <c r="FO16" s="18" t="n">
        <v>0</v>
      </c>
      <c r="FP16" s="18" t="n">
        <v>0</v>
      </c>
      <c r="FQ16" s="18" t="n">
        <v>0</v>
      </c>
      <c r="FR16" s="18" t="n">
        <v>0</v>
      </c>
      <c r="FS16" s="18" t="n">
        <v>0</v>
      </c>
      <c r="FT16" s="18" t="n">
        <v>0</v>
      </c>
      <c r="FU16" s="18" t="n">
        <v>0</v>
      </c>
      <c r="FV16" s="18" t="n">
        <v>0</v>
      </c>
      <c r="FW16" s="18" t="n">
        <v>0</v>
      </c>
      <c r="FX16" s="18" t="n">
        <v>0</v>
      </c>
      <c r="FY16" s="18" t="n">
        <v>0</v>
      </c>
      <c r="FZ16" s="18" t="n">
        <v>0</v>
      </c>
      <c r="GA16" s="18" t="n">
        <v>0</v>
      </c>
      <c r="GB16" s="18" t="n">
        <v>0</v>
      </c>
      <c r="GC16" s="18" t="n">
        <v>0</v>
      </c>
      <c r="GD16" s="18" t="n">
        <v>0</v>
      </c>
      <c r="GE16" s="18" t="n">
        <v>0</v>
      </c>
      <c r="GF16" s="18" t="n">
        <v>0</v>
      </c>
      <c r="GG16" s="18" t="n">
        <v>0</v>
      </c>
      <c r="GH16" s="18" t="n">
        <v>0</v>
      </c>
      <c r="GI16" s="18" t="n">
        <v>0</v>
      </c>
      <c r="GJ16" s="18" t="n">
        <v>0</v>
      </c>
      <c r="GK16" s="18" t="n">
        <v>0</v>
      </c>
      <c r="GL16" s="18" t="n">
        <v>0</v>
      </c>
      <c r="GM16" s="18" t="n">
        <v>0</v>
      </c>
      <c r="GN16" s="18" t="n">
        <v>0</v>
      </c>
      <c r="GO16" s="18" t="n">
        <v>0</v>
      </c>
      <c r="GP16" s="18" t="n">
        <v>0</v>
      </c>
      <c r="GQ16" s="18" t="n">
        <v>0</v>
      </c>
      <c r="GR16" s="18" t="n">
        <v>0</v>
      </c>
      <c r="GS16" s="18" t="n">
        <v>0</v>
      </c>
      <c r="GT16" s="18" t="n">
        <v>0</v>
      </c>
      <c r="GU16" s="18" t="n">
        <v>0</v>
      </c>
      <c r="GV16" s="18" t="n">
        <v>0</v>
      </c>
      <c r="GW16" s="18" t="n">
        <v>0</v>
      </c>
      <c r="GX16" s="18" t="n">
        <v>0</v>
      </c>
      <c r="GY16" s="18" t="n">
        <v>0</v>
      </c>
      <c r="GZ16" s="18" t="n">
        <v>0</v>
      </c>
      <c r="HA16" s="18" t="n">
        <v>0</v>
      </c>
      <c r="HB16" s="18" t="n">
        <v>0</v>
      </c>
      <c r="HC16" s="18" t="n">
        <v>0</v>
      </c>
      <c r="HD16" s="18" t="n">
        <v>0</v>
      </c>
      <c r="HE16" s="18" t="n">
        <v>0</v>
      </c>
      <c r="HF16" s="18" t="n">
        <v>0</v>
      </c>
      <c r="HG16" s="18" t="n">
        <v>0</v>
      </c>
      <c r="HH16" s="18" t="n">
        <v>0</v>
      </c>
      <c r="HI16" s="18" t="n">
        <v>0</v>
      </c>
      <c r="HJ16" s="18" t="n">
        <v>0</v>
      </c>
      <c r="HK16" s="18" t="n">
        <v>0</v>
      </c>
      <c r="HL16" s="18" t="n">
        <v>0</v>
      </c>
      <c r="HM16" s="18" t="n">
        <v>0</v>
      </c>
      <c r="HN16" s="18" t="n">
        <v>0</v>
      </c>
      <c r="HO16" s="18" t="n">
        <v>0</v>
      </c>
      <c r="HP16" s="18" t="n">
        <v>0</v>
      </c>
      <c r="HQ16" s="18" t="n">
        <v>0</v>
      </c>
      <c r="HR16" s="18" t="n">
        <v>0</v>
      </c>
      <c r="HS16" s="18" t="n">
        <v>0</v>
      </c>
      <c r="HT16" s="18" t="n">
        <v>0</v>
      </c>
      <c r="HU16" s="18" t="n">
        <v>0</v>
      </c>
      <c r="HV16" s="18" t="n">
        <v>0</v>
      </c>
      <c r="HW16" s="18" t="n">
        <v>0</v>
      </c>
      <c r="HX16" s="18" t="n">
        <v>0</v>
      </c>
      <c r="HY16" s="18" t="n">
        <v>0</v>
      </c>
      <c r="HZ16" s="18" t="n">
        <v>0</v>
      </c>
      <c r="IA16" s="18" t="n">
        <v>0</v>
      </c>
      <c r="IB16" s="18" t="n">
        <v>0</v>
      </c>
      <c r="IC16" s="18" t="n">
        <v>0</v>
      </c>
      <c r="ID16" s="18" t="n">
        <v>0</v>
      </c>
      <c r="IE16" s="18" t="n">
        <v>0</v>
      </c>
      <c r="IF16" s="18" t="n">
        <v>0</v>
      </c>
      <c r="IG16" s="18" t="n">
        <v>0</v>
      </c>
      <c r="IH16" s="18" t="n">
        <v>0</v>
      </c>
      <c r="II16" s="18" t="n">
        <v>0</v>
      </c>
      <c r="IJ16" s="18" t="n">
        <v>0</v>
      </c>
      <c r="IK16" s="18" t="n">
        <v>0</v>
      </c>
      <c r="IL16" s="18" t="n">
        <v>0</v>
      </c>
      <c r="IM16" s="18" t="n">
        <v>0</v>
      </c>
      <c r="IN16" s="18" t="n">
        <v>0</v>
      </c>
      <c r="IO16" s="18" t="n">
        <v>0</v>
      </c>
      <c r="IP16" s="18" t="n">
        <v>0</v>
      </c>
      <c r="IQ16" s="18" t="n">
        <v>0</v>
      </c>
      <c r="IR16" s="18" t="n">
        <v>0</v>
      </c>
      <c r="IS16" s="18" t="n">
        <v>0</v>
      </c>
      <c r="IT16" s="18" t="n">
        <v>0</v>
      </c>
      <c r="IU16" s="18" t="n">
        <v>0</v>
      </c>
      <c r="IV16" s="18" t="n">
        <v>0</v>
      </c>
      <c r="IW16" s="18" t="n">
        <v>0</v>
      </c>
      <c r="IX16" s="18" t="n">
        <v>0</v>
      </c>
      <c r="IY16" s="18" t="n">
        <v>0</v>
      </c>
      <c r="IZ16" s="18" t="n">
        <v>0</v>
      </c>
      <c r="JA16" s="18" t="n">
        <v>0</v>
      </c>
      <c r="JB16" s="18" t="n">
        <v>0</v>
      </c>
      <c r="JC16" s="18" t="n">
        <v>0</v>
      </c>
      <c r="JD16" s="18" t="n">
        <v>0</v>
      </c>
      <c r="JE16" s="18" t="n">
        <v>0</v>
      </c>
      <c r="JF16" s="18" t="n">
        <v>0</v>
      </c>
      <c r="JG16" s="18" t="n">
        <v>0</v>
      </c>
      <c r="JH16" s="18" t="n">
        <v>0</v>
      </c>
      <c r="JI16" s="18" t="n">
        <v>0</v>
      </c>
      <c r="JJ16" s="18" t="n">
        <v>0</v>
      </c>
      <c r="JK16" s="18" t="n">
        <v>0</v>
      </c>
      <c r="JL16" s="18" t="n">
        <v>0</v>
      </c>
      <c r="JM16" s="18" t="n">
        <v>0</v>
      </c>
      <c r="JN16" s="18" t="n">
        <v>0</v>
      </c>
      <c r="JO16" s="18" t="n">
        <v>0</v>
      </c>
      <c r="JP16" s="18" t="n">
        <v>0</v>
      </c>
      <c r="JQ16" s="18" t="n">
        <v>0</v>
      </c>
      <c r="JR16" s="18" t="n">
        <v>0</v>
      </c>
      <c r="JS16" s="18" t="n">
        <v>0</v>
      </c>
      <c r="JT16" s="18" t="n">
        <v>0</v>
      </c>
      <c r="JU16" s="18" t="n">
        <v>0</v>
      </c>
      <c r="JV16" s="18" t="n">
        <v>0</v>
      </c>
      <c r="JW16" s="18" t="n">
        <v>0</v>
      </c>
      <c r="JX16" s="18" t="n">
        <v>0</v>
      </c>
      <c r="JY16" s="18" t="n">
        <v>0</v>
      </c>
      <c r="JZ16" s="18" t="n">
        <v>0</v>
      </c>
      <c r="KA16" s="18" t="n">
        <v>0</v>
      </c>
      <c r="KB16" s="18" t="n">
        <v>0</v>
      </c>
      <c r="KC16" s="18" t="n">
        <v>0</v>
      </c>
      <c r="KD16" s="18" t="n">
        <v>0</v>
      </c>
      <c r="KE16" s="18" t="n">
        <v>0</v>
      </c>
      <c r="KF16" s="18" t="n">
        <v>0</v>
      </c>
      <c r="KG16" s="18" t="n">
        <v>0</v>
      </c>
      <c r="KH16" s="18" t="n">
        <v>0</v>
      </c>
      <c r="KI16" s="18" t="n">
        <v>0</v>
      </c>
      <c r="KJ16" s="18" t="n">
        <v>0</v>
      </c>
      <c r="KK16" s="18" t="n">
        <v>0</v>
      </c>
      <c r="KL16" s="18" t="n">
        <v>0</v>
      </c>
      <c r="KM16" s="18" t="n">
        <v>0</v>
      </c>
      <c r="KN16" s="18" t="n">
        <v>0</v>
      </c>
      <c r="KO16" s="18" t="n">
        <v>0</v>
      </c>
    </row>
    <row r="17" s="21" customFormat="true" ht="14.25" hidden="false" customHeight="false" outlineLevel="0" collapsed="false"/>
    <row r="18" s="21" customFormat="true" ht="14.25" hidden="false" customHeight="false" outlineLevel="0" collapsed="false">
      <c r="A18" s="14" t="s">
        <v>393</v>
      </c>
      <c r="B18" s="18" t="n">
        <f aca="false">B6+B14+B16</f>
        <v>11275666.6666667</v>
      </c>
      <c r="C18" s="18" t="n">
        <f aca="false">C6+C14+C16</f>
        <v>11275666.6666667</v>
      </c>
      <c r="D18" s="18" t="n">
        <f aca="false">D6+D14+D16</f>
        <v>11275666.6666667</v>
      </c>
      <c r="E18" s="18" t="n">
        <f aca="false">E6+E14+E16</f>
        <v>11275666.6666667</v>
      </c>
      <c r="F18" s="18" t="n">
        <f aca="false">F6+F14+F16</f>
        <v>11275666.6666667</v>
      </c>
      <c r="G18" s="18" t="n">
        <f aca="false">G6+G14+G16</f>
        <v>11275666.6666667</v>
      </c>
      <c r="H18" s="18" t="n">
        <f aca="false">H6+H14+H16</f>
        <v>11275666.6666667</v>
      </c>
      <c r="I18" s="18" t="n">
        <f aca="false">I6+I14+I16</f>
        <v>11275666.6666667</v>
      </c>
      <c r="J18" s="18" t="n">
        <f aca="false">J6+J14+J16</f>
        <v>11275666.6666667</v>
      </c>
      <c r="K18" s="18" t="n">
        <f aca="false">K6+K14+K16</f>
        <v>11275666.6666667</v>
      </c>
      <c r="L18" s="18" t="n">
        <f aca="false">L6+L14+L16</f>
        <v>11275666.6666667</v>
      </c>
      <c r="M18" s="18" t="n">
        <f aca="false">M6+M14+M16</f>
        <v>11275666.6666667</v>
      </c>
      <c r="N18" s="18" t="n">
        <f aca="false">N6+N14+N16</f>
        <v>11552796.6666667</v>
      </c>
      <c r="O18" s="18" t="n">
        <f aca="false">O6+O14+O16</f>
        <v>11552796.6666667</v>
      </c>
      <c r="P18" s="18" t="n">
        <f aca="false">P6+P14+P16</f>
        <v>11552796.6666667</v>
      </c>
      <c r="Q18" s="18" t="n">
        <f aca="false">Q6+Q14+Q16</f>
        <v>11552796.6666667</v>
      </c>
      <c r="R18" s="18" t="n">
        <f aca="false">R6+R14+R16</f>
        <v>11552796.6666667</v>
      </c>
      <c r="S18" s="18" t="n">
        <f aca="false">S6+S14+S16</f>
        <v>11552796.6666667</v>
      </c>
      <c r="T18" s="18" t="n">
        <f aca="false">T6+T14+T16</f>
        <v>11552796.6666667</v>
      </c>
      <c r="U18" s="18" t="n">
        <f aca="false">U6+U14+U16</f>
        <v>11552796.6666667</v>
      </c>
      <c r="V18" s="18" t="n">
        <f aca="false">V6+V14+V16</f>
        <v>11552796.6666667</v>
      </c>
      <c r="W18" s="18" t="n">
        <f aca="false">W6+W14+W16</f>
        <v>11552796.6666667</v>
      </c>
      <c r="X18" s="18" t="n">
        <f aca="false">X6+X14+X16</f>
        <v>11552796.6666667</v>
      </c>
      <c r="Y18" s="18" t="n">
        <f aca="false">Y6+Y14+Y16</f>
        <v>11552796.6666667</v>
      </c>
      <c r="Z18" s="18" t="n">
        <f aca="false">Z6+Z14+Z16</f>
        <v>11849325.7666667</v>
      </c>
      <c r="AA18" s="18" t="n">
        <f aca="false">AA6+AA14+AA16</f>
        <v>11849325.7666667</v>
      </c>
      <c r="AB18" s="18" t="n">
        <f aca="false">AB6+AB14+AB16</f>
        <v>11849325.7666667</v>
      </c>
      <c r="AC18" s="18" t="n">
        <f aca="false">AC6+AC14+AC16</f>
        <v>11849325.7666667</v>
      </c>
      <c r="AD18" s="18" t="n">
        <f aca="false">AD6+AD14+AD16</f>
        <v>11849325.7666667</v>
      </c>
      <c r="AE18" s="18" t="n">
        <f aca="false">AE6+AE14+AE16</f>
        <v>11849325.7666667</v>
      </c>
      <c r="AF18" s="18" t="n">
        <f aca="false">AF6+AF14+AF16</f>
        <v>11849325.7666667</v>
      </c>
      <c r="AG18" s="18" t="n">
        <f aca="false">AG6+AG14+AG16</f>
        <v>11849325.7666667</v>
      </c>
      <c r="AH18" s="18" t="n">
        <f aca="false">AH6+AH14+AH16</f>
        <v>11849325.7666667</v>
      </c>
      <c r="AI18" s="18" t="n">
        <f aca="false">AI6+AI14+AI16</f>
        <v>11849325.7666667</v>
      </c>
      <c r="AJ18" s="18" t="n">
        <f aca="false">AJ6+AJ14+AJ16</f>
        <v>11849325.7666667</v>
      </c>
      <c r="AK18" s="18" t="n">
        <f aca="false">AK6+AK14+AK16</f>
        <v>11849325.7666667</v>
      </c>
      <c r="AL18" s="18" t="n">
        <f aca="false">AL6+AL14+AL16</f>
        <v>12166611.9036667</v>
      </c>
      <c r="AM18" s="18" t="n">
        <f aca="false">AM6+AM14+AM16</f>
        <v>12166611.9036667</v>
      </c>
      <c r="AN18" s="18" t="n">
        <f aca="false">AN6+AN14+AN16</f>
        <v>12166611.9036667</v>
      </c>
      <c r="AO18" s="18" t="n">
        <f aca="false">AO6+AO14+AO16</f>
        <v>12166611.9036667</v>
      </c>
      <c r="AP18" s="18" t="n">
        <f aca="false">AP6+AP14+AP16</f>
        <v>12166611.9036667</v>
      </c>
      <c r="AQ18" s="18" t="n">
        <f aca="false">AQ6+AQ14+AQ16</f>
        <v>12166611.9036667</v>
      </c>
      <c r="AR18" s="18" t="n">
        <f aca="false">AR6+AR14+AR16</f>
        <v>12166611.9036667</v>
      </c>
      <c r="AS18" s="18" t="n">
        <f aca="false">AS6+AS14+AS16</f>
        <v>12166611.9036667</v>
      </c>
      <c r="AT18" s="18" t="n">
        <f aca="false">AT6+AT14+AT16</f>
        <v>12166611.9036667</v>
      </c>
      <c r="AU18" s="18" t="n">
        <f aca="false">AU6+AU14+AU16</f>
        <v>12166611.9036667</v>
      </c>
      <c r="AV18" s="18" t="n">
        <f aca="false">AV6+AV14+AV16</f>
        <v>12166611.9036667</v>
      </c>
      <c r="AW18" s="18" t="n">
        <f aca="false">AW6+AW14+AW16</f>
        <v>12166611.9036667</v>
      </c>
      <c r="AX18" s="18" t="n">
        <f aca="false">AX6+AX14+AX16</f>
        <v>12506108.0702567</v>
      </c>
      <c r="AY18" s="18" t="n">
        <f aca="false">AY6+AY14+AY16</f>
        <v>12506108.0702567</v>
      </c>
      <c r="AZ18" s="18" t="n">
        <f aca="false">AZ6+AZ14+AZ16</f>
        <v>12506108.0702567</v>
      </c>
      <c r="BA18" s="18" t="n">
        <f aca="false">BA6+BA14+BA16</f>
        <v>12506108.0702567</v>
      </c>
      <c r="BB18" s="18" t="n">
        <f aca="false">BB6+BB14+BB16</f>
        <v>12506108.0702567</v>
      </c>
      <c r="BC18" s="18" t="n">
        <f aca="false">BC6+BC14+BC16</f>
        <v>12506108.0702567</v>
      </c>
      <c r="BD18" s="18" t="n">
        <f aca="false">BD6+BD14+BD16</f>
        <v>12506108.0702567</v>
      </c>
      <c r="BE18" s="18" t="n">
        <f aca="false">BE6+BE14+BE16</f>
        <v>12506108.0702567</v>
      </c>
      <c r="BF18" s="18" t="n">
        <f aca="false">BF6+BF14+BF16</f>
        <v>12506108.0702567</v>
      </c>
      <c r="BG18" s="18" t="n">
        <f aca="false">BG6+BG14+BG16</f>
        <v>12506108.0702567</v>
      </c>
      <c r="BH18" s="18" t="n">
        <f aca="false">BH6+BH14+BH16</f>
        <v>12506108.0702567</v>
      </c>
      <c r="BI18" s="18" t="n">
        <f aca="false">BI6+BI14+BI16</f>
        <v>12506108.0702567</v>
      </c>
      <c r="BJ18" s="18" t="n">
        <f aca="false">BJ6+BJ14+BJ16</f>
        <v>12869368.968508</v>
      </c>
      <c r="BK18" s="18" t="n">
        <f aca="false">BK6+BK14+BK16</f>
        <v>12869368.968508</v>
      </c>
      <c r="BL18" s="18" t="n">
        <f aca="false">BL6+BL14+BL16</f>
        <v>12869368.968508</v>
      </c>
      <c r="BM18" s="18" t="n">
        <f aca="false">BM6+BM14+BM16</f>
        <v>12869368.968508</v>
      </c>
      <c r="BN18" s="18" t="n">
        <f aca="false">BN6+BN14+BN16</f>
        <v>12869368.968508</v>
      </c>
      <c r="BO18" s="18" t="n">
        <f aca="false">BO6+BO14+BO16</f>
        <v>12869368.968508</v>
      </c>
      <c r="BP18" s="18" t="n">
        <f aca="false">BP6+BP14+BP16</f>
        <v>12869368.968508</v>
      </c>
      <c r="BQ18" s="18" t="n">
        <f aca="false">BQ6+BQ14+BQ16</f>
        <v>12869368.968508</v>
      </c>
      <c r="BR18" s="18" t="n">
        <f aca="false">BR6+BR14+BR16</f>
        <v>12869368.968508</v>
      </c>
      <c r="BS18" s="18" t="n">
        <f aca="false">BS6+BS14+BS16</f>
        <v>12869368.968508</v>
      </c>
      <c r="BT18" s="18" t="n">
        <f aca="false">BT6+BT14+BT16</f>
        <v>12869368.968508</v>
      </c>
      <c r="BU18" s="18" t="n">
        <f aca="false">BU6+BU14+BU16</f>
        <v>12869368.968508</v>
      </c>
      <c r="BV18" s="18" t="n">
        <f aca="false">BV6+BV14+BV16</f>
        <v>13258058.1296369</v>
      </c>
      <c r="BW18" s="18" t="n">
        <f aca="false">BW6+BW14+BW16</f>
        <v>13258058.1296369</v>
      </c>
      <c r="BX18" s="18" t="n">
        <f aca="false">BX6+BX14+BX16</f>
        <v>13258058.1296369</v>
      </c>
      <c r="BY18" s="18" t="n">
        <f aca="false">BY6+BY14+BY16</f>
        <v>13258058.1296369</v>
      </c>
      <c r="BZ18" s="18" t="n">
        <f aca="false">BZ6+BZ14+BZ16</f>
        <v>13258058.1296369</v>
      </c>
      <c r="CA18" s="18" t="n">
        <f aca="false">CA6+CA14+CA16</f>
        <v>13258058.1296369</v>
      </c>
      <c r="CB18" s="18" t="n">
        <f aca="false">CB6+CB14+CB16</f>
        <v>13258058.1296369</v>
      </c>
      <c r="CC18" s="18" t="n">
        <f aca="false">CC6+CC14+CC16</f>
        <v>13258058.1296369</v>
      </c>
      <c r="CD18" s="18" t="n">
        <f aca="false">CD6+CD14+CD16</f>
        <v>13258058.1296369</v>
      </c>
      <c r="CE18" s="18" t="n">
        <f aca="false">CE6+CE14+CE16</f>
        <v>13258058.1296369</v>
      </c>
      <c r="CF18" s="18" t="n">
        <f aca="false">CF6+CF14+CF16</f>
        <v>13258058.1296369</v>
      </c>
      <c r="CG18" s="18" t="n">
        <f aca="false">CG6+CG14+CG16</f>
        <v>13258058.1296369</v>
      </c>
      <c r="CH18" s="18" t="n">
        <f aca="false">CH6+CH14+CH16</f>
        <v>13673955.5320448</v>
      </c>
      <c r="CI18" s="18" t="n">
        <f aca="false">CI6+CI14+CI16</f>
        <v>13673955.5320448</v>
      </c>
      <c r="CJ18" s="18" t="n">
        <f aca="false">CJ6+CJ14+CJ16</f>
        <v>13673955.5320448</v>
      </c>
      <c r="CK18" s="18" t="n">
        <f aca="false">CK6+CK14+CK16</f>
        <v>13673955.5320448</v>
      </c>
      <c r="CL18" s="18" t="n">
        <f aca="false">CL6+CL14+CL16</f>
        <v>13673955.5320448</v>
      </c>
      <c r="CM18" s="18" t="n">
        <f aca="false">CM6+CM14+CM16</f>
        <v>13673955.5320448</v>
      </c>
      <c r="CN18" s="18" t="n">
        <f aca="false">CN6+CN14+CN16</f>
        <v>13673955.5320448</v>
      </c>
      <c r="CO18" s="18" t="n">
        <f aca="false">CO6+CO14+CO16</f>
        <v>13673955.5320448</v>
      </c>
      <c r="CP18" s="18" t="n">
        <f aca="false">CP6+CP14+CP16</f>
        <v>13673955.5320448</v>
      </c>
      <c r="CQ18" s="18" t="n">
        <f aca="false">CQ6+CQ14+CQ16</f>
        <v>13673955.5320448</v>
      </c>
      <c r="CR18" s="18" t="n">
        <f aca="false">CR6+CR14+CR16</f>
        <v>13673955.5320448</v>
      </c>
      <c r="CS18" s="18" t="n">
        <f aca="false">CS6+CS14+CS16</f>
        <v>13673955.5320448</v>
      </c>
      <c r="CT18" s="18" t="n">
        <f aca="false">CT6+CT14+CT16</f>
        <v>14118965.7526212</v>
      </c>
      <c r="CU18" s="18" t="n">
        <f aca="false">CU6+CU14+CU16</f>
        <v>14118965.7526212</v>
      </c>
      <c r="CV18" s="18" t="n">
        <f aca="false">CV6+CV14+CV16</f>
        <v>14118965.7526212</v>
      </c>
      <c r="CW18" s="18" t="n">
        <f aca="false">CW6+CW14+CW16</f>
        <v>14118965.7526212</v>
      </c>
      <c r="CX18" s="18" t="n">
        <f aca="false">CX6+CX14+CX16</f>
        <v>14118965.7526212</v>
      </c>
      <c r="CY18" s="18" t="n">
        <f aca="false">CY6+CY14+CY16</f>
        <v>14118965.7526212</v>
      </c>
      <c r="CZ18" s="18" t="n">
        <f aca="false">CZ6+CZ14+CZ16</f>
        <v>14118965.7526212</v>
      </c>
      <c r="DA18" s="18" t="n">
        <f aca="false">DA6+DA14+DA16</f>
        <v>14118965.7526212</v>
      </c>
      <c r="DB18" s="18" t="n">
        <f aca="false">DB6+DB14+DB16</f>
        <v>14118965.7526212</v>
      </c>
      <c r="DC18" s="18" t="n">
        <f aca="false">DC6+DC14+DC16</f>
        <v>14118965.7526212</v>
      </c>
      <c r="DD18" s="18" t="n">
        <f aca="false">DD6+DD14+DD16</f>
        <v>14118965.7526212</v>
      </c>
      <c r="DE18" s="18" t="n">
        <f aca="false">DE6+DE14+DE16</f>
        <v>14118965.7526212</v>
      </c>
      <c r="DF18" s="18" t="n">
        <f aca="false">DF6+DF14+DF16</f>
        <v>14595126.6886381</v>
      </c>
      <c r="DG18" s="18" t="n">
        <f aca="false">DG6+DG14+DG16</f>
        <v>14595126.6886381</v>
      </c>
      <c r="DH18" s="18" t="n">
        <f aca="false">DH6+DH14+DH16</f>
        <v>14595126.6886381</v>
      </c>
      <c r="DI18" s="18" t="n">
        <f aca="false">DI6+DI14+DI16</f>
        <v>14595126.6886381</v>
      </c>
      <c r="DJ18" s="18" t="n">
        <f aca="false">DJ6+DJ14+DJ16</f>
        <v>14595126.6886381</v>
      </c>
      <c r="DK18" s="18" t="n">
        <f aca="false">DK6+DK14+DK16</f>
        <v>14595126.6886381</v>
      </c>
      <c r="DL18" s="18" t="n">
        <f aca="false">DL6+DL14+DL16</f>
        <v>14595126.6886381</v>
      </c>
      <c r="DM18" s="18" t="n">
        <f aca="false">DM6+DM14+DM16</f>
        <v>14595126.6886381</v>
      </c>
      <c r="DN18" s="18" t="n">
        <f aca="false">DN6+DN14+DN16</f>
        <v>14595126.6886381</v>
      </c>
      <c r="DO18" s="18" t="n">
        <f aca="false">DO6+DO14+DO16</f>
        <v>14595126.6886381</v>
      </c>
      <c r="DP18" s="18" t="n">
        <f aca="false">DP6+DP14+DP16</f>
        <v>14595126.6886381</v>
      </c>
      <c r="DQ18" s="18" t="n">
        <f aca="false">DQ6+DQ14+DQ16</f>
        <v>14595126.6886381</v>
      </c>
      <c r="DR18" s="18" t="n">
        <f aca="false">DR6+DR14+DR16</f>
        <v>14687952.2235094</v>
      </c>
      <c r="DS18" s="18" t="n">
        <f aca="false">DS6+DS14+DS16</f>
        <v>14687952.2235094</v>
      </c>
      <c r="DT18" s="18" t="n">
        <f aca="false">DT6+DT14+DT16</f>
        <v>14687952.2235094</v>
      </c>
      <c r="DU18" s="18" t="n">
        <f aca="false">DU6+DU14+DU16</f>
        <v>14687952.2235094</v>
      </c>
      <c r="DV18" s="18" t="n">
        <f aca="false">DV6+DV14+DV16</f>
        <v>14687952.2235094</v>
      </c>
      <c r="DW18" s="18" t="n">
        <f aca="false">DW6+DW14+DW16</f>
        <v>14687952.2235094</v>
      </c>
      <c r="DX18" s="18" t="n">
        <f aca="false">DX6+DX14+DX16</f>
        <v>14687952.2235094</v>
      </c>
      <c r="DY18" s="18" t="n">
        <f aca="false">DY6+DY14+DY16</f>
        <v>14687952.2235094</v>
      </c>
      <c r="DZ18" s="18" t="n">
        <f aca="false">DZ6+DZ14+DZ16</f>
        <v>14687952.2235094</v>
      </c>
      <c r="EA18" s="18" t="n">
        <f aca="false">EA6+EA14+EA16</f>
        <v>14687952.2235094</v>
      </c>
      <c r="EB18" s="18" t="n">
        <f aca="false">EB6+EB14+EB16</f>
        <v>14687952.2235094</v>
      </c>
      <c r="EC18" s="18" t="n">
        <f aca="false">EC6+EC14+EC16</f>
        <v>14687952.2235094</v>
      </c>
      <c r="ED18" s="18" t="n">
        <f aca="false">ED6+ED14+ED16</f>
        <v>15233108.8791551</v>
      </c>
      <c r="EE18" s="18" t="n">
        <f aca="false">EE6+EE14+EE16</f>
        <v>15233108.8791551</v>
      </c>
      <c r="EF18" s="18" t="n">
        <f aca="false">EF6+EF14+EF16</f>
        <v>15233108.8791551</v>
      </c>
      <c r="EG18" s="18" t="n">
        <f aca="false">EG6+EG14+EG16</f>
        <v>15233108.8791551</v>
      </c>
      <c r="EH18" s="18" t="n">
        <f aca="false">EH6+EH14+EH16</f>
        <v>15233108.8791551</v>
      </c>
      <c r="EI18" s="18" t="n">
        <f aca="false">EI6+EI14+EI16</f>
        <v>15233108.8791551</v>
      </c>
      <c r="EJ18" s="18" t="n">
        <f aca="false">EJ6+EJ14+EJ16</f>
        <v>15233108.8791551</v>
      </c>
      <c r="EK18" s="18" t="n">
        <f aca="false">EK6+EK14+EK16</f>
        <v>15233108.8791551</v>
      </c>
      <c r="EL18" s="18" t="n">
        <f aca="false">EL6+EL14+EL16</f>
        <v>15233108.8791551</v>
      </c>
      <c r="EM18" s="18" t="n">
        <f aca="false">EM6+EM14+EM16</f>
        <v>15233108.8791551</v>
      </c>
      <c r="EN18" s="18" t="n">
        <f aca="false">EN6+EN14+EN16</f>
        <v>15233108.8791551</v>
      </c>
      <c r="EO18" s="18" t="n">
        <f aca="false">EO6+EO14+EO16</f>
        <v>15233108.8791551</v>
      </c>
      <c r="EP18" s="18" t="n">
        <f aca="false">EP6+EP14+EP16</f>
        <v>15816426.5006959</v>
      </c>
      <c r="EQ18" s="18" t="n">
        <f aca="false">EQ6+EQ14+EQ16</f>
        <v>15816426.5006959</v>
      </c>
      <c r="ER18" s="18" t="n">
        <f aca="false">ER6+ER14+ER16</f>
        <v>15816426.5006959</v>
      </c>
      <c r="ES18" s="18" t="n">
        <f aca="false">ES6+ES14+ES16</f>
        <v>15816426.5006959</v>
      </c>
      <c r="ET18" s="18" t="n">
        <f aca="false">ET6+ET14+ET16</f>
        <v>15816426.5006959</v>
      </c>
      <c r="EU18" s="18" t="n">
        <f aca="false">EU6+EU14+EU16</f>
        <v>15816426.5006959</v>
      </c>
      <c r="EV18" s="18" t="n">
        <f aca="false">EV6+EV14+EV16</f>
        <v>15816426.5006959</v>
      </c>
      <c r="EW18" s="18" t="n">
        <f aca="false">EW6+EW14+EW16</f>
        <v>15816426.5006959</v>
      </c>
      <c r="EX18" s="18" t="n">
        <f aca="false">EX6+EX14+EX16</f>
        <v>15816426.5006959</v>
      </c>
      <c r="EY18" s="18" t="n">
        <f aca="false">EY6+EY14+EY16</f>
        <v>15816426.5006959</v>
      </c>
      <c r="EZ18" s="18" t="n">
        <f aca="false">EZ6+EZ14+EZ16</f>
        <v>15816426.5006959</v>
      </c>
      <c r="FA18" s="18" t="n">
        <f aca="false">FA6+FA14+FA16</f>
        <v>15816426.5006959</v>
      </c>
      <c r="FB18" s="18" t="n">
        <f aca="false">FB6+FB14+FB16</f>
        <v>16440576.3557446</v>
      </c>
      <c r="FC18" s="18" t="n">
        <f aca="false">FC6+FC14+FC16</f>
        <v>16440576.3557446</v>
      </c>
      <c r="FD18" s="18" t="n">
        <f aca="false">FD6+FD14+FD16</f>
        <v>16440576.3557446</v>
      </c>
      <c r="FE18" s="18" t="n">
        <f aca="false">FE6+FE14+FE16</f>
        <v>16440576.3557446</v>
      </c>
      <c r="FF18" s="18" t="n">
        <f aca="false">FF6+FF14+FF16</f>
        <v>16440576.3557446</v>
      </c>
      <c r="FG18" s="18" t="n">
        <f aca="false">FG6+FG14+FG16</f>
        <v>16440576.3557446</v>
      </c>
      <c r="FH18" s="18" t="n">
        <f aca="false">FH6+FH14+FH16</f>
        <v>16440576.3557446</v>
      </c>
      <c r="FI18" s="18" t="n">
        <f aca="false">FI6+FI14+FI16</f>
        <v>16440576.3557446</v>
      </c>
      <c r="FJ18" s="18" t="n">
        <f aca="false">FJ6+FJ14+FJ16</f>
        <v>16440576.3557446</v>
      </c>
      <c r="FK18" s="18" t="n">
        <f aca="false">FK6+FK14+FK16</f>
        <v>16440576.3557446</v>
      </c>
      <c r="FL18" s="18" t="n">
        <f aca="false">FL6+FL14+FL16</f>
        <v>16440576.3557446</v>
      </c>
      <c r="FM18" s="18" t="n">
        <f aca="false">FM6+FM14+FM16</f>
        <v>16440576.3557446</v>
      </c>
      <c r="FN18" s="18" t="n">
        <f aca="false">FN6+FN14+FN16</f>
        <v>17108416.7006467</v>
      </c>
      <c r="FO18" s="18" t="n">
        <f aca="false">FO6+FO14+FO16</f>
        <v>17108416.7006467</v>
      </c>
      <c r="FP18" s="18" t="n">
        <f aca="false">FP6+FP14+FP16</f>
        <v>17108416.7006467</v>
      </c>
      <c r="FQ18" s="18" t="n">
        <f aca="false">FQ6+FQ14+FQ16</f>
        <v>17108416.7006467</v>
      </c>
      <c r="FR18" s="18" t="n">
        <f aca="false">FR6+FR14+FR16</f>
        <v>17108416.7006467</v>
      </c>
      <c r="FS18" s="18" t="n">
        <f aca="false">FS6+FS14+FS16</f>
        <v>17108416.7006467</v>
      </c>
      <c r="FT18" s="18" t="n">
        <f aca="false">FT6+FT14+FT16</f>
        <v>17108416.7006467</v>
      </c>
      <c r="FU18" s="18" t="n">
        <f aca="false">FU6+FU14+FU16</f>
        <v>17108416.7006467</v>
      </c>
      <c r="FV18" s="18" t="n">
        <f aca="false">FV6+FV14+FV16</f>
        <v>17108416.7006467</v>
      </c>
      <c r="FW18" s="18" t="n">
        <f aca="false">FW6+FW14+FW16</f>
        <v>17108416.7006467</v>
      </c>
      <c r="FX18" s="18" t="n">
        <f aca="false">FX6+FX14+FX16</f>
        <v>17108416.7006467</v>
      </c>
      <c r="FY18" s="18" t="n">
        <f aca="false">FY6+FY14+FY16</f>
        <v>17108416.7006467</v>
      </c>
      <c r="FZ18" s="18" t="n">
        <f aca="false">FZ6+FZ14+FZ16</f>
        <v>17823005.869692</v>
      </c>
      <c r="GA18" s="18" t="n">
        <f aca="false">GA6+GA14+GA16</f>
        <v>17823005.869692</v>
      </c>
      <c r="GB18" s="18" t="n">
        <f aca="false">GB6+GB14+GB16</f>
        <v>17823005.869692</v>
      </c>
      <c r="GC18" s="18" t="n">
        <f aca="false">GC6+GC14+GC16</f>
        <v>17823005.869692</v>
      </c>
      <c r="GD18" s="18" t="n">
        <f aca="false">GD6+GD14+GD16</f>
        <v>17823005.869692</v>
      </c>
      <c r="GE18" s="18" t="n">
        <f aca="false">GE6+GE14+GE16</f>
        <v>17823005.869692</v>
      </c>
      <c r="GF18" s="18" t="n">
        <f aca="false">GF6+GF14+GF16</f>
        <v>17823005.869692</v>
      </c>
      <c r="GG18" s="18" t="n">
        <f aca="false">GG6+GG14+GG16</f>
        <v>17823005.869692</v>
      </c>
      <c r="GH18" s="18" t="n">
        <f aca="false">GH6+GH14+GH16</f>
        <v>17823005.869692</v>
      </c>
      <c r="GI18" s="18" t="n">
        <f aca="false">GI6+GI14+GI16</f>
        <v>17823005.869692</v>
      </c>
      <c r="GJ18" s="18" t="n">
        <f aca="false">GJ6+GJ14+GJ16</f>
        <v>17823005.869692</v>
      </c>
      <c r="GK18" s="18" t="n">
        <f aca="false">GK6+GK14+GK16</f>
        <v>17823005.869692</v>
      </c>
      <c r="GL18" s="18" t="n">
        <f aca="false">GL6+GL14+GL16</f>
        <v>18587616.2805705</v>
      </c>
      <c r="GM18" s="18" t="n">
        <f aca="false">GM6+GM14+GM16</f>
        <v>18587616.2805705</v>
      </c>
      <c r="GN18" s="18" t="n">
        <f aca="false">GN6+GN14+GN16</f>
        <v>18587616.2805705</v>
      </c>
      <c r="GO18" s="18" t="n">
        <f aca="false">GO6+GO14+GO16</f>
        <v>18587616.2805705</v>
      </c>
      <c r="GP18" s="18" t="n">
        <f aca="false">GP6+GP14+GP16</f>
        <v>18587616.2805705</v>
      </c>
      <c r="GQ18" s="18" t="n">
        <f aca="false">GQ6+GQ14+GQ16</f>
        <v>18587616.2805705</v>
      </c>
      <c r="GR18" s="18" t="n">
        <f aca="false">GR6+GR14+GR16</f>
        <v>18587616.2805705</v>
      </c>
      <c r="GS18" s="18" t="n">
        <f aca="false">GS6+GS14+GS16</f>
        <v>18587616.2805705</v>
      </c>
      <c r="GT18" s="18" t="n">
        <f aca="false">GT6+GT14+GT16</f>
        <v>18587616.2805705</v>
      </c>
      <c r="GU18" s="18" t="n">
        <f aca="false">GU6+GU14+GU16</f>
        <v>18587616.2805705</v>
      </c>
      <c r="GV18" s="18" t="n">
        <f aca="false">GV6+GV14+GV16</f>
        <v>18587616.2805705</v>
      </c>
      <c r="GW18" s="18" t="n">
        <f aca="false">GW6+GW14+GW16</f>
        <v>18587616.2805705</v>
      </c>
      <c r="GX18" s="18" t="n">
        <f aca="false">GX6+GX14+GX16</f>
        <v>19405749.4202104</v>
      </c>
      <c r="GY18" s="18" t="n">
        <f aca="false">GY6+GY14+GY16</f>
        <v>19405749.4202104</v>
      </c>
      <c r="GZ18" s="18" t="n">
        <f aca="false">GZ6+GZ14+GZ16</f>
        <v>19405749.4202104</v>
      </c>
      <c r="HA18" s="18" t="n">
        <f aca="false">HA6+HA14+HA16</f>
        <v>19405749.4202104</v>
      </c>
      <c r="HB18" s="18" t="n">
        <f aca="false">HB6+HB14+HB16</f>
        <v>19405749.4202104</v>
      </c>
      <c r="HC18" s="18" t="n">
        <f aca="false">HC6+HC14+HC16</f>
        <v>19405749.4202104</v>
      </c>
      <c r="HD18" s="18" t="n">
        <f aca="false">HD6+HD14+HD16</f>
        <v>19405749.4202104</v>
      </c>
      <c r="HE18" s="18" t="n">
        <f aca="false">HE6+HE14+HE16</f>
        <v>19405749.4202104</v>
      </c>
      <c r="HF18" s="18" t="n">
        <f aca="false">HF6+HF14+HF16</f>
        <v>19405749.4202104</v>
      </c>
      <c r="HG18" s="18" t="n">
        <f aca="false">HG6+HG14+HG16</f>
        <v>19405749.4202104</v>
      </c>
      <c r="HH18" s="18" t="n">
        <f aca="false">HH6+HH14+HH16</f>
        <v>19405749.4202104</v>
      </c>
      <c r="HI18" s="18" t="n">
        <f aca="false">HI6+HI14+HI16</f>
        <v>19405749.4202104</v>
      </c>
      <c r="HJ18" s="18" t="n">
        <f aca="false">HJ6+HJ14+HJ16</f>
        <v>20281151.8796251</v>
      </c>
      <c r="HK18" s="18" t="n">
        <f aca="false">HK6+HK14+HK16</f>
        <v>20281151.8796251</v>
      </c>
      <c r="HL18" s="18" t="n">
        <f aca="false">HL6+HL14+HL16</f>
        <v>20281151.8796251</v>
      </c>
      <c r="HM18" s="18" t="n">
        <f aca="false">HM6+HM14+HM16</f>
        <v>20281151.8796251</v>
      </c>
      <c r="HN18" s="18" t="n">
        <f aca="false">HN6+HN14+HN16</f>
        <v>20281151.8796251</v>
      </c>
      <c r="HO18" s="18" t="n">
        <f aca="false">HO6+HO14+HO16</f>
        <v>20281151.8796251</v>
      </c>
      <c r="HP18" s="18" t="n">
        <f aca="false">HP6+HP14+HP16</f>
        <v>20281151.8796251</v>
      </c>
      <c r="HQ18" s="18" t="n">
        <f aca="false">HQ6+HQ14+HQ16</f>
        <v>20281151.8796251</v>
      </c>
      <c r="HR18" s="18" t="n">
        <f aca="false">HR6+HR14+HR16</f>
        <v>20281151.8796251</v>
      </c>
      <c r="HS18" s="18" t="n">
        <f aca="false">HS6+HS14+HS16</f>
        <v>20281151.8796251</v>
      </c>
      <c r="HT18" s="18" t="n">
        <f aca="false">HT6+HT14+HT16</f>
        <v>20281151.8796251</v>
      </c>
      <c r="HU18" s="18" t="n">
        <f aca="false">HU6+HU14+HU16</f>
        <v>20281151.8796251</v>
      </c>
      <c r="HV18" s="18" t="n">
        <f aca="false">HV6+HV14+HV16</f>
        <v>21217832.5111989</v>
      </c>
      <c r="HW18" s="18" t="n">
        <f aca="false">HW6+HW14+HW16</f>
        <v>21217832.5111989</v>
      </c>
      <c r="HX18" s="18" t="n">
        <f aca="false">HX6+HX14+HX16</f>
        <v>21217832.5111989</v>
      </c>
      <c r="HY18" s="18" t="n">
        <f aca="false">HY6+HY14+HY16</f>
        <v>21217832.5111989</v>
      </c>
      <c r="HZ18" s="18" t="n">
        <f aca="false">HZ6+HZ14+HZ16</f>
        <v>21217832.5111989</v>
      </c>
      <c r="IA18" s="18" t="n">
        <f aca="false">IA6+IA14+IA16</f>
        <v>21217832.5111989</v>
      </c>
      <c r="IB18" s="18" t="n">
        <f aca="false">IB6+IB14+IB16</f>
        <v>21217832.5111989</v>
      </c>
      <c r="IC18" s="18" t="n">
        <f aca="false">IC6+IC14+IC16</f>
        <v>21217832.5111989</v>
      </c>
      <c r="ID18" s="18" t="n">
        <f aca="false">ID6+ID14+ID16</f>
        <v>21217832.5111989</v>
      </c>
      <c r="IE18" s="18" t="n">
        <f aca="false">IE6+IE14+IE16</f>
        <v>21217832.5111989</v>
      </c>
      <c r="IF18" s="18" t="n">
        <f aca="false">IF6+IF14+IF16</f>
        <v>21217832.5111989</v>
      </c>
      <c r="IG18" s="18" t="n">
        <f aca="false">IG6+IG14+IG16</f>
        <v>21217832.5111989</v>
      </c>
      <c r="IH18" s="18" t="n">
        <f aca="false">IH6+IH14+IH16</f>
        <v>22220080.7869828</v>
      </c>
      <c r="II18" s="18" t="n">
        <f aca="false">II6+II14+II16</f>
        <v>22220080.7869828</v>
      </c>
      <c r="IJ18" s="18" t="n">
        <f aca="false">IJ6+IJ14+IJ16</f>
        <v>22220080.7869828</v>
      </c>
      <c r="IK18" s="18" t="n">
        <f aca="false">IK6+IK14+IK16</f>
        <v>22220080.7869828</v>
      </c>
      <c r="IL18" s="18" t="n">
        <f aca="false">IL6+IL14+IL16</f>
        <v>22220080.7869828</v>
      </c>
      <c r="IM18" s="18" t="n">
        <f aca="false">IM6+IM14+IM16</f>
        <v>22220080.7869828</v>
      </c>
      <c r="IN18" s="18" t="n">
        <f aca="false">IN6+IN14+IN16</f>
        <v>22220080.7869828</v>
      </c>
      <c r="IO18" s="18" t="n">
        <f aca="false">IO6+IO14+IO16</f>
        <v>22220080.7869828</v>
      </c>
      <c r="IP18" s="18" t="n">
        <f aca="false">IP6+IP14+IP16</f>
        <v>22220080.7869828</v>
      </c>
      <c r="IQ18" s="18" t="n">
        <f aca="false">IQ6+IQ14+IQ16</f>
        <v>22220080.7869828</v>
      </c>
      <c r="IR18" s="18" t="n">
        <f aca="false">IR6+IR14+IR16</f>
        <v>22220080.7869828</v>
      </c>
      <c r="IS18" s="18" t="n">
        <f aca="false">IS6+IS14+IS16</f>
        <v>22220080.7869828</v>
      </c>
      <c r="IT18" s="18" t="n">
        <f aca="false">IT6+IT14+IT16</f>
        <v>23292486.4420716</v>
      </c>
      <c r="IU18" s="18" t="n">
        <f aca="false">IU6+IU14+IU16</f>
        <v>23292486.4420716</v>
      </c>
      <c r="IV18" s="18" t="n">
        <f aca="false">IV6+IV14+IV16</f>
        <v>23292486.4420716</v>
      </c>
      <c r="IW18" s="18" t="n">
        <f aca="false">IW6+IW14+IW16</f>
        <v>23292486.4420716</v>
      </c>
      <c r="IX18" s="18" t="n">
        <f aca="false">IX6+IX14+IX16</f>
        <v>23292486.4420716</v>
      </c>
      <c r="IY18" s="18" t="n">
        <f aca="false">IY6+IY14+IY16</f>
        <v>23292486.4420716</v>
      </c>
      <c r="IZ18" s="18" t="n">
        <f aca="false">IZ6+IZ14+IZ16</f>
        <v>23292486.4420716</v>
      </c>
      <c r="JA18" s="18" t="n">
        <f aca="false">JA6+JA14+JA16</f>
        <v>23292486.4420716</v>
      </c>
      <c r="JB18" s="18" t="n">
        <f aca="false">JB6+JB14+JB16</f>
        <v>23292486.4420716</v>
      </c>
      <c r="JC18" s="18" t="n">
        <f aca="false">JC6+JC14+JC16</f>
        <v>23292486.4420716</v>
      </c>
      <c r="JD18" s="18" t="n">
        <f aca="false">JD6+JD14+JD16</f>
        <v>23292486.4420716</v>
      </c>
      <c r="JE18" s="18" t="n">
        <f aca="false">JE6+JE14+JE16</f>
        <v>23292486.4420716</v>
      </c>
      <c r="JF18" s="18" t="n">
        <f aca="false">JF6+JF14+JF16</f>
        <v>24439960.4930166</v>
      </c>
      <c r="JG18" s="18" t="n">
        <f aca="false">JG6+JG14+JG16</f>
        <v>24439960.4930166</v>
      </c>
      <c r="JH18" s="18" t="n">
        <f aca="false">JH6+JH14+JH16</f>
        <v>24439960.4930166</v>
      </c>
      <c r="JI18" s="18" t="n">
        <f aca="false">JI6+JI14+JI16</f>
        <v>24439960.4930166</v>
      </c>
      <c r="JJ18" s="18" t="n">
        <f aca="false">JJ6+JJ14+JJ16</f>
        <v>24439960.4930166</v>
      </c>
      <c r="JK18" s="18" t="n">
        <f aca="false">JK6+JK14+JK16</f>
        <v>24439960.4930166</v>
      </c>
      <c r="JL18" s="18" t="n">
        <f aca="false">JL6+JL14+JL16</f>
        <v>24439960.4930166</v>
      </c>
      <c r="JM18" s="18" t="n">
        <f aca="false">JM6+JM14+JM16</f>
        <v>24439960.4930166</v>
      </c>
      <c r="JN18" s="18" t="n">
        <f aca="false">JN6+JN14+JN16</f>
        <v>24439960.4930166</v>
      </c>
      <c r="JO18" s="18" t="n">
        <f aca="false">JO6+JO14+JO16</f>
        <v>24439960.4930166</v>
      </c>
      <c r="JP18" s="18" t="n">
        <f aca="false">JP6+JP14+JP16</f>
        <v>24439960.4930166</v>
      </c>
      <c r="JQ18" s="18" t="n">
        <f aca="false">JQ6+JQ14+JQ16</f>
        <v>24439960.4930166</v>
      </c>
      <c r="JR18" s="18" t="n">
        <f aca="false">JR6+JR14+JR16</f>
        <v>25667757.7275278</v>
      </c>
      <c r="JS18" s="18" t="n">
        <f aca="false">JS6+JS14+JS16</f>
        <v>25667757.7275278</v>
      </c>
      <c r="JT18" s="18" t="n">
        <f aca="false">JT6+JT14+JT16</f>
        <v>25667757.7275278</v>
      </c>
      <c r="JU18" s="18" t="n">
        <f aca="false">JU6+JU14+JU16</f>
        <v>25667757.7275278</v>
      </c>
      <c r="JV18" s="18" t="n">
        <f aca="false">JV6+JV14+JV16</f>
        <v>25667757.7275278</v>
      </c>
      <c r="JW18" s="18" t="n">
        <f aca="false">JW6+JW14+JW16</f>
        <v>25667757.7275278</v>
      </c>
      <c r="JX18" s="18" t="n">
        <f aca="false">JX6+JX14+JX16</f>
        <v>25667757.7275278</v>
      </c>
      <c r="JY18" s="18" t="n">
        <f aca="false">JY6+JY14+JY16</f>
        <v>25667757.7275278</v>
      </c>
      <c r="JZ18" s="18" t="n">
        <f aca="false">JZ6+JZ14+JZ16</f>
        <v>25667757.7275278</v>
      </c>
      <c r="KA18" s="18" t="n">
        <f aca="false">KA6+KA14+KA16</f>
        <v>25667757.7275278</v>
      </c>
      <c r="KB18" s="18" t="n">
        <f aca="false">KB6+KB14+KB16</f>
        <v>25667757.7275278</v>
      </c>
      <c r="KC18" s="18" t="n">
        <f aca="false">KC6+KC14+KC16</f>
        <v>25667757.7275278</v>
      </c>
      <c r="KD18" s="18" t="n">
        <f aca="false">KD6+KD14+KD16</f>
        <v>26981500.7684547</v>
      </c>
      <c r="KE18" s="18" t="n">
        <f aca="false">KE6+KE14+KE16</f>
        <v>26981500.7684547</v>
      </c>
      <c r="KF18" s="18" t="n">
        <f aca="false">KF6+KF14+KF16</f>
        <v>26981500.7684547</v>
      </c>
      <c r="KG18" s="18" t="n">
        <f aca="false">KG6+KG14+KG16</f>
        <v>26981500.7684547</v>
      </c>
      <c r="KH18" s="18" t="n">
        <f aca="false">KH6+KH14+KH16</f>
        <v>26981500.7684547</v>
      </c>
      <c r="KI18" s="18" t="n">
        <f aca="false">KI6+KI14+KI16</f>
        <v>26981500.7684547</v>
      </c>
      <c r="KJ18" s="18" t="n">
        <f aca="false">KJ6+KJ14+KJ16</f>
        <v>26981500.7684547</v>
      </c>
      <c r="KK18" s="18" t="n">
        <f aca="false">KK6+KK14+KK16</f>
        <v>26981500.7684547</v>
      </c>
      <c r="KL18" s="18" t="n">
        <f aca="false">KL6+KL14+KL16</f>
        <v>26981500.7684547</v>
      </c>
      <c r="KM18" s="18" t="n">
        <f aca="false">KM6+KM14+KM16</f>
        <v>26981500.7684547</v>
      </c>
      <c r="KN18" s="18" t="n">
        <f aca="false">KN6+KN14+KN16</f>
        <v>26981500.7684547</v>
      </c>
      <c r="KO18" s="18" t="n">
        <f aca="false">KO6+KO14+KO16</f>
        <v>26981500.7684547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301" min="2" style="0" width="12"/>
  </cols>
  <sheetData>
    <row r="1" customFormat="false" ht="18" hidden="false" customHeight="true" outlineLevel="0" collapsed="false">
      <c r="A1" s="13" t="s">
        <v>394</v>
      </c>
    </row>
    <row r="3" customFormat="false" ht="14.25" hidden="false" customHeight="false" outlineLevel="0" collapsed="false">
      <c r="A3" s="16" t="s">
        <v>78</v>
      </c>
      <c r="B3" s="17" t="s">
        <v>79</v>
      </c>
      <c r="C3" s="17" t="s">
        <v>80</v>
      </c>
      <c r="D3" s="17" t="s">
        <v>81</v>
      </c>
      <c r="E3" s="17" t="s">
        <v>82</v>
      </c>
      <c r="F3" s="17" t="s">
        <v>83</v>
      </c>
      <c r="G3" s="17" t="s">
        <v>84</v>
      </c>
      <c r="H3" s="17" t="s">
        <v>85</v>
      </c>
      <c r="I3" s="17" t="s">
        <v>86</v>
      </c>
      <c r="J3" s="17" t="s">
        <v>87</v>
      </c>
      <c r="K3" s="17" t="s">
        <v>88</v>
      </c>
      <c r="L3" s="17" t="s">
        <v>89</v>
      </c>
      <c r="M3" s="17" t="s">
        <v>90</v>
      </c>
      <c r="N3" s="17" t="s">
        <v>91</v>
      </c>
      <c r="O3" s="17" t="s">
        <v>92</v>
      </c>
      <c r="P3" s="17" t="s">
        <v>93</v>
      </c>
      <c r="Q3" s="17" t="s">
        <v>94</v>
      </c>
      <c r="R3" s="17" t="s">
        <v>95</v>
      </c>
      <c r="S3" s="17" t="s">
        <v>96</v>
      </c>
      <c r="T3" s="17" t="s">
        <v>97</v>
      </c>
      <c r="U3" s="17" t="s">
        <v>98</v>
      </c>
      <c r="V3" s="17" t="s">
        <v>99</v>
      </c>
      <c r="W3" s="17" t="s">
        <v>100</v>
      </c>
      <c r="X3" s="17" t="s">
        <v>101</v>
      </c>
      <c r="Y3" s="17" t="s">
        <v>102</v>
      </c>
      <c r="Z3" s="17" t="s">
        <v>103</v>
      </c>
      <c r="AA3" s="17" t="s">
        <v>104</v>
      </c>
      <c r="AB3" s="17" t="s">
        <v>105</v>
      </c>
      <c r="AC3" s="17" t="s">
        <v>106</v>
      </c>
      <c r="AD3" s="17" t="s">
        <v>107</v>
      </c>
      <c r="AE3" s="17" t="s">
        <v>108</v>
      </c>
      <c r="AF3" s="17" t="s">
        <v>109</v>
      </c>
      <c r="AG3" s="17" t="s">
        <v>110</v>
      </c>
      <c r="AH3" s="17" t="s">
        <v>111</v>
      </c>
      <c r="AI3" s="17" t="s">
        <v>112</v>
      </c>
      <c r="AJ3" s="17" t="s">
        <v>113</v>
      </c>
      <c r="AK3" s="17" t="s">
        <v>114</v>
      </c>
      <c r="AL3" s="17" t="s">
        <v>115</v>
      </c>
      <c r="AM3" s="17" t="s">
        <v>116</v>
      </c>
      <c r="AN3" s="17" t="s">
        <v>117</v>
      </c>
      <c r="AO3" s="17" t="s">
        <v>118</v>
      </c>
      <c r="AP3" s="17" t="s">
        <v>119</v>
      </c>
      <c r="AQ3" s="17" t="s">
        <v>120</v>
      </c>
      <c r="AR3" s="17" t="s">
        <v>121</v>
      </c>
      <c r="AS3" s="17" t="s">
        <v>122</v>
      </c>
      <c r="AT3" s="17" t="s">
        <v>123</v>
      </c>
      <c r="AU3" s="17" t="s">
        <v>124</v>
      </c>
      <c r="AV3" s="17" t="s">
        <v>125</v>
      </c>
      <c r="AW3" s="17" t="s">
        <v>126</v>
      </c>
      <c r="AX3" s="17" t="s">
        <v>127</v>
      </c>
      <c r="AY3" s="17" t="s">
        <v>128</v>
      </c>
      <c r="AZ3" s="17" t="s">
        <v>129</v>
      </c>
      <c r="BA3" s="17" t="s">
        <v>130</v>
      </c>
      <c r="BB3" s="17" t="s">
        <v>131</v>
      </c>
      <c r="BC3" s="17" t="s">
        <v>132</v>
      </c>
      <c r="BD3" s="17" t="s">
        <v>133</v>
      </c>
      <c r="BE3" s="17" t="s">
        <v>134</v>
      </c>
      <c r="BF3" s="17" t="s">
        <v>135</v>
      </c>
      <c r="BG3" s="17" t="s">
        <v>136</v>
      </c>
      <c r="BH3" s="17" t="s">
        <v>137</v>
      </c>
      <c r="BI3" s="17" t="s">
        <v>138</v>
      </c>
      <c r="BJ3" s="17" t="s">
        <v>139</v>
      </c>
      <c r="BK3" s="17" t="s">
        <v>140</v>
      </c>
      <c r="BL3" s="17" t="s">
        <v>141</v>
      </c>
      <c r="BM3" s="17" t="s">
        <v>142</v>
      </c>
      <c r="BN3" s="17" t="s">
        <v>143</v>
      </c>
      <c r="BO3" s="17" t="s">
        <v>144</v>
      </c>
      <c r="BP3" s="17" t="s">
        <v>145</v>
      </c>
      <c r="BQ3" s="17" t="s">
        <v>146</v>
      </c>
      <c r="BR3" s="17" t="s">
        <v>147</v>
      </c>
      <c r="BS3" s="17" t="s">
        <v>148</v>
      </c>
      <c r="BT3" s="17" t="s">
        <v>149</v>
      </c>
      <c r="BU3" s="17" t="s">
        <v>150</v>
      </c>
      <c r="BV3" s="17" t="s">
        <v>151</v>
      </c>
      <c r="BW3" s="17" t="s">
        <v>152</v>
      </c>
      <c r="BX3" s="17" t="s">
        <v>153</v>
      </c>
      <c r="BY3" s="17" t="s">
        <v>154</v>
      </c>
      <c r="BZ3" s="17" t="s">
        <v>155</v>
      </c>
      <c r="CA3" s="17" t="s">
        <v>156</v>
      </c>
      <c r="CB3" s="17" t="s">
        <v>157</v>
      </c>
      <c r="CC3" s="17" t="s">
        <v>158</v>
      </c>
      <c r="CD3" s="17" t="s">
        <v>159</v>
      </c>
      <c r="CE3" s="17" t="s">
        <v>160</v>
      </c>
      <c r="CF3" s="17" t="s">
        <v>161</v>
      </c>
      <c r="CG3" s="17" t="s">
        <v>162</v>
      </c>
      <c r="CH3" s="17" t="s">
        <v>163</v>
      </c>
      <c r="CI3" s="17" t="s">
        <v>164</v>
      </c>
      <c r="CJ3" s="17" t="s">
        <v>165</v>
      </c>
      <c r="CK3" s="17" t="s">
        <v>166</v>
      </c>
      <c r="CL3" s="17" t="s">
        <v>167</v>
      </c>
      <c r="CM3" s="17" t="s">
        <v>168</v>
      </c>
      <c r="CN3" s="17" t="s">
        <v>169</v>
      </c>
      <c r="CO3" s="17" t="s">
        <v>170</v>
      </c>
      <c r="CP3" s="17" t="s">
        <v>171</v>
      </c>
      <c r="CQ3" s="17" t="s">
        <v>172</v>
      </c>
      <c r="CR3" s="17" t="s">
        <v>173</v>
      </c>
      <c r="CS3" s="17" t="s">
        <v>174</v>
      </c>
      <c r="CT3" s="17" t="s">
        <v>175</v>
      </c>
      <c r="CU3" s="17" t="s">
        <v>176</v>
      </c>
      <c r="CV3" s="17" t="s">
        <v>177</v>
      </c>
      <c r="CW3" s="17" t="s">
        <v>178</v>
      </c>
      <c r="CX3" s="17" t="s">
        <v>179</v>
      </c>
      <c r="CY3" s="17" t="s">
        <v>180</v>
      </c>
      <c r="CZ3" s="17" t="s">
        <v>181</v>
      </c>
      <c r="DA3" s="17" t="s">
        <v>182</v>
      </c>
      <c r="DB3" s="17" t="s">
        <v>183</v>
      </c>
      <c r="DC3" s="17" t="s">
        <v>184</v>
      </c>
      <c r="DD3" s="17" t="s">
        <v>185</v>
      </c>
      <c r="DE3" s="17" t="s">
        <v>186</v>
      </c>
      <c r="DF3" s="17" t="s">
        <v>187</v>
      </c>
      <c r="DG3" s="17" t="s">
        <v>188</v>
      </c>
      <c r="DH3" s="17" t="s">
        <v>189</v>
      </c>
      <c r="DI3" s="17" t="s">
        <v>190</v>
      </c>
      <c r="DJ3" s="17" t="s">
        <v>191</v>
      </c>
      <c r="DK3" s="17" t="s">
        <v>192</v>
      </c>
      <c r="DL3" s="17" t="s">
        <v>193</v>
      </c>
      <c r="DM3" s="17" t="s">
        <v>194</v>
      </c>
      <c r="DN3" s="17" t="s">
        <v>195</v>
      </c>
      <c r="DO3" s="17" t="s">
        <v>196</v>
      </c>
      <c r="DP3" s="17" t="s">
        <v>197</v>
      </c>
      <c r="DQ3" s="17" t="s">
        <v>198</v>
      </c>
      <c r="DR3" s="17" t="s">
        <v>199</v>
      </c>
      <c r="DS3" s="17" t="s">
        <v>200</v>
      </c>
      <c r="DT3" s="17" t="s">
        <v>201</v>
      </c>
      <c r="DU3" s="17" t="s">
        <v>202</v>
      </c>
      <c r="DV3" s="17" t="s">
        <v>203</v>
      </c>
      <c r="DW3" s="17" t="s">
        <v>204</v>
      </c>
      <c r="DX3" s="17" t="s">
        <v>205</v>
      </c>
      <c r="DY3" s="17" t="s">
        <v>206</v>
      </c>
      <c r="DZ3" s="17" t="s">
        <v>207</v>
      </c>
      <c r="EA3" s="17" t="s">
        <v>208</v>
      </c>
      <c r="EB3" s="17" t="s">
        <v>209</v>
      </c>
      <c r="EC3" s="17" t="s">
        <v>210</v>
      </c>
      <c r="ED3" s="17" t="s">
        <v>211</v>
      </c>
      <c r="EE3" s="17" t="s">
        <v>212</v>
      </c>
      <c r="EF3" s="17" t="s">
        <v>213</v>
      </c>
      <c r="EG3" s="17" t="s">
        <v>214</v>
      </c>
      <c r="EH3" s="17" t="s">
        <v>215</v>
      </c>
      <c r="EI3" s="17" t="s">
        <v>216</v>
      </c>
      <c r="EJ3" s="17" t="s">
        <v>217</v>
      </c>
      <c r="EK3" s="17" t="s">
        <v>218</v>
      </c>
      <c r="EL3" s="17" t="s">
        <v>219</v>
      </c>
      <c r="EM3" s="17" t="s">
        <v>220</v>
      </c>
      <c r="EN3" s="17" t="s">
        <v>221</v>
      </c>
      <c r="EO3" s="17" t="s">
        <v>222</v>
      </c>
      <c r="EP3" s="17" t="s">
        <v>223</v>
      </c>
      <c r="EQ3" s="17" t="s">
        <v>224</v>
      </c>
      <c r="ER3" s="17" t="s">
        <v>225</v>
      </c>
      <c r="ES3" s="17" t="s">
        <v>226</v>
      </c>
      <c r="ET3" s="17" t="s">
        <v>227</v>
      </c>
      <c r="EU3" s="17" t="s">
        <v>228</v>
      </c>
      <c r="EV3" s="17" t="s">
        <v>229</v>
      </c>
      <c r="EW3" s="17" t="s">
        <v>230</v>
      </c>
      <c r="EX3" s="17" t="s">
        <v>231</v>
      </c>
      <c r="EY3" s="17" t="s">
        <v>232</v>
      </c>
      <c r="EZ3" s="17" t="s">
        <v>233</v>
      </c>
      <c r="FA3" s="17" t="s">
        <v>234</v>
      </c>
      <c r="FB3" s="17" t="s">
        <v>235</v>
      </c>
      <c r="FC3" s="17" t="s">
        <v>236</v>
      </c>
      <c r="FD3" s="17" t="s">
        <v>237</v>
      </c>
      <c r="FE3" s="17" t="s">
        <v>238</v>
      </c>
      <c r="FF3" s="17" t="s">
        <v>239</v>
      </c>
      <c r="FG3" s="17" t="s">
        <v>240</v>
      </c>
      <c r="FH3" s="17" t="s">
        <v>241</v>
      </c>
      <c r="FI3" s="17" t="s">
        <v>242</v>
      </c>
      <c r="FJ3" s="17" t="s">
        <v>243</v>
      </c>
      <c r="FK3" s="17" t="s">
        <v>244</v>
      </c>
      <c r="FL3" s="17" t="s">
        <v>245</v>
      </c>
      <c r="FM3" s="17" t="s">
        <v>246</v>
      </c>
      <c r="FN3" s="17" t="s">
        <v>247</v>
      </c>
      <c r="FO3" s="17" t="s">
        <v>248</v>
      </c>
      <c r="FP3" s="17" t="s">
        <v>249</v>
      </c>
      <c r="FQ3" s="17" t="s">
        <v>250</v>
      </c>
      <c r="FR3" s="17" t="s">
        <v>251</v>
      </c>
      <c r="FS3" s="17" t="s">
        <v>252</v>
      </c>
      <c r="FT3" s="17" t="s">
        <v>253</v>
      </c>
      <c r="FU3" s="17" t="s">
        <v>254</v>
      </c>
      <c r="FV3" s="17" t="s">
        <v>255</v>
      </c>
      <c r="FW3" s="17" t="s">
        <v>256</v>
      </c>
      <c r="FX3" s="17" t="s">
        <v>257</v>
      </c>
      <c r="FY3" s="17" t="s">
        <v>258</v>
      </c>
      <c r="FZ3" s="17" t="s">
        <v>259</v>
      </c>
      <c r="GA3" s="17" t="s">
        <v>260</v>
      </c>
      <c r="GB3" s="17" t="s">
        <v>261</v>
      </c>
      <c r="GC3" s="17" t="s">
        <v>262</v>
      </c>
      <c r="GD3" s="17" t="s">
        <v>263</v>
      </c>
      <c r="GE3" s="17" t="s">
        <v>264</v>
      </c>
      <c r="GF3" s="17" t="s">
        <v>265</v>
      </c>
      <c r="GG3" s="17" t="s">
        <v>266</v>
      </c>
      <c r="GH3" s="17" t="s">
        <v>267</v>
      </c>
      <c r="GI3" s="17" t="s">
        <v>268</v>
      </c>
      <c r="GJ3" s="17" t="s">
        <v>269</v>
      </c>
      <c r="GK3" s="17" t="s">
        <v>270</v>
      </c>
      <c r="GL3" s="17" t="s">
        <v>271</v>
      </c>
      <c r="GM3" s="17" t="s">
        <v>272</v>
      </c>
      <c r="GN3" s="17" t="s">
        <v>273</v>
      </c>
      <c r="GO3" s="17" t="s">
        <v>274</v>
      </c>
      <c r="GP3" s="17" t="s">
        <v>275</v>
      </c>
      <c r="GQ3" s="17" t="s">
        <v>276</v>
      </c>
      <c r="GR3" s="17" t="s">
        <v>277</v>
      </c>
      <c r="GS3" s="17" t="s">
        <v>278</v>
      </c>
      <c r="GT3" s="17" t="s">
        <v>279</v>
      </c>
      <c r="GU3" s="17" t="s">
        <v>280</v>
      </c>
      <c r="GV3" s="17" t="s">
        <v>281</v>
      </c>
      <c r="GW3" s="17" t="s">
        <v>282</v>
      </c>
      <c r="GX3" s="17" t="s">
        <v>283</v>
      </c>
      <c r="GY3" s="17" t="s">
        <v>284</v>
      </c>
      <c r="GZ3" s="17" t="s">
        <v>285</v>
      </c>
      <c r="HA3" s="17" t="s">
        <v>286</v>
      </c>
      <c r="HB3" s="17" t="s">
        <v>287</v>
      </c>
      <c r="HC3" s="17" t="s">
        <v>288</v>
      </c>
      <c r="HD3" s="17" t="s">
        <v>289</v>
      </c>
      <c r="HE3" s="17" t="s">
        <v>290</v>
      </c>
      <c r="HF3" s="17" t="s">
        <v>291</v>
      </c>
      <c r="HG3" s="17" t="s">
        <v>292</v>
      </c>
      <c r="HH3" s="17" t="s">
        <v>293</v>
      </c>
      <c r="HI3" s="17" t="s">
        <v>294</v>
      </c>
      <c r="HJ3" s="17" t="s">
        <v>295</v>
      </c>
      <c r="HK3" s="17" t="s">
        <v>296</v>
      </c>
      <c r="HL3" s="17" t="s">
        <v>297</v>
      </c>
      <c r="HM3" s="17" t="s">
        <v>298</v>
      </c>
      <c r="HN3" s="17" t="s">
        <v>299</v>
      </c>
      <c r="HO3" s="17" t="s">
        <v>300</v>
      </c>
      <c r="HP3" s="17" t="s">
        <v>301</v>
      </c>
      <c r="HQ3" s="17" t="s">
        <v>302</v>
      </c>
      <c r="HR3" s="17" t="s">
        <v>303</v>
      </c>
      <c r="HS3" s="17" t="s">
        <v>304</v>
      </c>
      <c r="HT3" s="17" t="s">
        <v>305</v>
      </c>
      <c r="HU3" s="17" t="s">
        <v>306</v>
      </c>
      <c r="HV3" s="17" t="s">
        <v>307</v>
      </c>
      <c r="HW3" s="17" t="s">
        <v>308</v>
      </c>
      <c r="HX3" s="17" t="s">
        <v>309</v>
      </c>
      <c r="HY3" s="17" t="s">
        <v>310</v>
      </c>
      <c r="HZ3" s="17" t="s">
        <v>311</v>
      </c>
      <c r="IA3" s="17" t="s">
        <v>312</v>
      </c>
      <c r="IB3" s="17" t="s">
        <v>313</v>
      </c>
      <c r="IC3" s="17" t="s">
        <v>314</v>
      </c>
      <c r="ID3" s="17" t="s">
        <v>315</v>
      </c>
      <c r="IE3" s="17" t="s">
        <v>316</v>
      </c>
      <c r="IF3" s="17" t="s">
        <v>317</v>
      </c>
      <c r="IG3" s="17" t="s">
        <v>318</v>
      </c>
      <c r="IH3" s="17" t="s">
        <v>319</v>
      </c>
      <c r="II3" s="17" t="s">
        <v>320</v>
      </c>
      <c r="IJ3" s="17" t="s">
        <v>321</v>
      </c>
      <c r="IK3" s="17" t="s">
        <v>322</v>
      </c>
      <c r="IL3" s="17" t="s">
        <v>323</v>
      </c>
      <c r="IM3" s="17" t="s">
        <v>324</v>
      </c>
      <c r="IN3" s="17" t="s">
        <v>325</v>
      </c>
      <c r="IO3" s="17" t="s">
        <v>326</v>
      </c>
      <c r="IP3" s="17" t="s">
        <v>327</v>
      </c>
      <c r="IQ3" s="17" t="s">
        <v>328</v>
      </c>
      <c r="IR3" s="17" t="s">
        <v>329</v>
      </c>
      <c r="IS3" s="17" t="s">
        <v>330</v>
      </c>
      <c r="IT3" s="17" t="s">
        <v>331</v>
      </c>
      <c r="IU3" s="17" t="s">
        <v>332</v>
      </c>
      <c r="IV3" s="17" t="s">
        <v>333</v>
      </c>
      <c r="IW3" s="17" t="s">
        <v>334</v>
      </c>
      <c r="IX3" s="17" t="s">
        <v>335</v>
      </c>
      <c r="IY3" s="17" t="s">
        <v>336</v>
      </c>
      <c r="IZ3" s="17" t="s">
        <v>337</v>
      </c>
      <c r="JA3" s="17" t="s">
        <v>338</v>
      </c>
      <c r="JB3" s="17" t="s">
        <v>339</v>
      </c>
      <c r="JC3" s="17" t="s">
        <v>340</v>
      </c>
      <c r="JD3" s="17" t="s">
        <v>341</v>
      </c>
      <c r="JE3" s="17" t="s">
        <v>342</v>
      </c>
      <c r="JF3" s="17" t="s">
        <v>343</v>
      </c>
      <c r="JG3" s="17" t="s">
        <v>344</v>
      </c>
      <c r="JH3" s="17" t="s">
        <v>345</v>
      </c>
      <c r="JI3" s="17" t="s">
        <v>346</v>
      </c>
      <c r="JJ3" s="17" t="s">
        <v>347</v>
      </c>
      <c r="JK3" s="17" t="s">
        <v>348</v>
      </c>
      <c r="JL3" s="17" t="s">
        <v>349</v>
      </c>
      <c r="JM3" s="17" t="s">
        <v>350</v>
      </c>
      <c r="JN3" s="17" t="s">
        <v>351</v>
      </c>
      <c r="JO3" s="17" t="s">
        <v>352</v>
      </c>
      <c r="JP3" s="17" t="s">
        <v>353</v>
      </c>
      <c r="JQ3" s="17" t="s">
        <v>354</v>
      </c>
      <c r="JR3" s="17" t="s">
        <v>355</v>
      </c>
      <c r="JS3" s="17" t="s">
        <v>356</v>
      </c>
      <c r="JT3" s="17" t="s">
        <v>357</v>
      </c>
      <c r="JU3" s="17" t="s">
        <v>358</v>
      </c>
      <c r="JV3" s="17" t="s">
        <v>359</v>
      </c>
      <c r="JW3" s="17" t="s">
        <v>360</v>
      </c>
      <c r="JX3" s="17" t="s">
        <v>361</v>
      </c>
      <c r="JY3" s="17" t="s">
        <v>362</v>
      </c>
      <c r="JZ3" s="17" t="s">
        <v>363</v>
      </c>
      <c r="KA3" s="17" t="s">
        <v>364</v>
      </c>
      <c r="KB3" s="17" t="s">
        <v>365</v>
      </c>
      <c r="KC3" s="17" t="s">
        <v>366</v>
      </c>
      <c r="KD3" s="17" t="s">
        <v>367</v>
      </c>
      <c r="KE3" s="17" t="s">
        <v>368</v>
      </c>
      <c r="KF3" s="17" t="s">
        <v>369</v>
      </c>
      <c r="KG3" s="17" t="s">
        <v>370</v>
      </c>
      <c r="KH3" s="17" t="s">
        <v>371</v>
      </c>
      <c r="KI3" s="17" t="s">
        <v>372</v>
      </c>
      <c r="KJ3" s="17" t="s">
        <v>373</v>
      </c>
      <c r="KK3" s="17" t="s">
        <v>374</v>
      </c>
      <c r="KL3" s="17" t="s">
        <v>375</v>
      </c>
      <c r="KM3" s="17" t="s">
        <v>376</v>
      </c>
      <c r="KN3" s="17" t="s">
        <v>377</v>
      </c>
      <c r="KO3" s="17" t="s">
        <v>378</v>
      </c>
    </row>
    <row r="4" customFormat="false" ht="14.25" hidden="false" customHeight="false" outlineLevel="0" collapsed="false">
      <c r="A4" s="0" t="s">
        <v>379</v>
      </c>
      <c r="B4" s="22" t="n">
        <f aca="false">Ingresos!B6</f>
        <v>10700000</v>
      </c>
      <c r="C4" s="22" t="n">
        <f aca="false">Ingresos!C6</f>
        <v>10700000</v>
      </c>
      <c r="D4" s="22" t="n">
        <f aca="false">Ingresos!D6</f>
        <v>10700000</v>
      </c>
      <c r="E4" s="22" t="n">
        <f aca="false">Ingresos!E6</f>
        <v>10700000</v>
      </c>
      <c r="F4" s="22" t="n">
        <f aca="false">Ingresos!F6</f>
        <v>10700000</v>
      </c>
      <c r="G4" s="22" t="n">
        <f aca="false">Ingresos!G6</f>
        <v>10700000</v>
      </c>
      <c r="H4" s="22" t="n">
        <f aca="false">Ingresos!H6</f>
        <v>10700000</v>
      </c>
      <c r="I4" s="22" t="n">
        <f aca="false">Ingresos!I6</f>
        <v>10700000</v>
      </c>
      <c r="J4" s="22" t="n">
        <f aca="false">Ingresos!J6</f>
        <v>10700000</v>
      </c>
      <c r="K4" s="22" t="n">
        <f aca="false">Ingresos!K6</f>
        <v>10700000</v>
      </c>
      <c r="L4" s="22" t="n">
        <f aca="false">Ingresos!L6</f>
        <v>10700000</v>
      </c>
      <c r="M4" s="22" t="n">
        <f aca="false">Ingresos!M6</f>
        <v>10700000</v>
      </c>
      <c r="N4" s="22" t="n">
        <f aca="false">Ingresos!N6</f>
        <v>11449000</v>
      </c>
      <c r="O4" s="22" t="n">
        <f aca="false">Ingresos!O6</f>
        <v>11449000</v>
      </c>
      <c r="P4" s="22" t="n">
        <f aca="false">Ingresos!P6</f>
        <v>11449000</v>
      </c>
      <c r="Q4" s="22" t="n">
        <f aca="false">Ingresos!Q6</f>
        <v>11449000</v>
      </c>
      <c r="R4" s="22" t="n">
        <f aca="false">Ingresos!R6</f>
        <v>11449000</v>
      </c>
      <c r="S4" s="22" t="n">
        <f aca="false">Ingresos!S6</f>
        <v>11449000</v>
      </c>
      <c r="T4" s="22" t="n">
        <f aca="false">Ingresos!T6</f>
        <v>11449000</v>
      </c>
      <c r="U4" s="22" t="n">
        <f aca="false">Ingresos!U6</f>
        <v>11449000</v>
      </c>
      <c r="V4" s="22" t="n">
        <f aca="false">Ingresos!V6</f>
        <v>11449000</v>
      </c>
      <c r="W4" s="22" t="n">
        <f aca="false">Ingresos!W6</f>
        <v>11449000</v>
      </c>
      <c r="X4" s="22" t="n">
        <f aca="false">Ingresos!X6</f>
        <v>11449000</v>
      </c>
      <c r="Y4" s="22" t="n">
        <f aca="false">Ingresos!Y6</f>
        <v>11449000</v>
      </c>
      <c r="Z4" s="22" t="n">
        <f aca="false">Ingresos!Z6</f>
        <v>12250430</v>
      </c>
      <c r="AA4" s="22" t="n">
        <f aca="false">Ingresos!AA6</f>
        <v>12250430</v>
      </c>
      <c r="AB4" s="22" t="n">
        <f aca="false">Ingresos!AB6</f>
        <v>12250430</v>
      </c>
      <c r="AC4" s="22" t="n">
        <f aca="false">Ingresos!AC6</f>
        <v>12250430</v>
      </c>
      <c r="AD4" s="22" t="n">
        <f aca="false">Ingresos!AD6</f>
        <v>12250430</v>
      </c>
      <c r="AE4" s="22" t="n">
        <f aca="false">Ingresos!AE6</f>
        <v>12250430</v>
      </c>
      <c r="AF4" s="22" t="n">
        <f aca="false">Ingresos!AF6</f>
        <v>12250430</v>
      </c>
      <c r="AG4" s="22" t="n">
        <f aca="false">Ingresos!AG6</f>
        <v>12250430</v>
      </c>
      <c r="AH4" s="22" t="n">
        <f aca="false">Ingresos!AH6</f>
        <v>12250430</v>
      </c>
      <c r="AI4" s="22" t="n">
        <f aca="false">Ingresos!AI6</f>
        <v>12250430</v>
      </c>
      <c r="AJ4" s="22" t="n">
        <f aca="false">Ingresos!AJ6</f>
        <v>12250430</v>
      </c>
      <c r="AK4" s="22" t="n">
        <f aca="false">Ingresos!AK6</f>
        <v>12250430</v>
      </c>
      <c r="AL4" s="22" t="n">
        <f aca="false">Ingresos!AL6</f>
        <v>13107960.1</v>
      </c>
      <c r="AM4" s="22" t="n">
        <f aca="false">Ingresos!AM6</f>
        <v>13107960.1</v>
      </c>
      <c r="AN4" s="22" t="n">
        <f aca="false">Ingresos!AN6</f>
        <v>13107960.1</v>
      </c>
      <c r="AO4" s="22" t="n">
        <f aca="false">Ingresos!AO6</f>
        <v>13107960.1</v>
      </c>
      <c r="AP4" s="22" t="n">
        <f aca="false">Ingresos!AP6</f>
        <v>13107960.1</v>
      </c>
      <c r="AQ4" s="22" t="n">
        <f aca="false">Ingresos!AQ6</f>
        <v>13107960.1</v>
      </c>
      <c r="AR4" s="22" t="n">
        <f aca="false">Ingresos!AR6</f>
        <v>13107960.1</v>
      </c>
      <c r="AS4" s="22" t="n">
        <f aca="false">Ingresos!AS6</f>
        <v>13107960.1</v>
      </c>
      <c r="AT4" s="22" t="n">
        <f aca="false">Ingresos!AT6</f>
        <v>13107960.1</v>
      </c>
      <c r="AU4" s="22" t="n">
        <f aca="false">Ingresos!AU6</f>
        <v>13107960.1</v>
      </c>
      <c r="AV4" s="22" t="n">
        <f aca="false">Ingresos!AV6</f>
        <v>13107960.1</v>
      </c>
      <c r="AW4" s="22" t="n">
        <f aca="false">Ingresos!AW6</f>
        <v>13107960.1</v>
      </c>
      <c r="AX4" s="22" t="n">
        <f aca="false">Ingresos!AX6</f>
        <v>14025517.307</v>
      </c>
      <c r="AY4" s="22" t="n">
        <f aca="false">Ingresos!AY6</f>
        <v>14025517.307</v>
      </c>
      <c r="AZ4" s="22" t="n">
        <f aca="false">Ingresos!AZ6</f>
        <v>14025517.307</v>
      </c>
      <c r="BA4" s="22" t="n">
        <f aca="false">Ingresos!BA6</f>
        <v>14025517.307</v>
      </c>
      <c r="BB4" s="22" t="n">
        <f aca="false">Ingresos!BB6</f>
        <v>14025517.307</v>
      </c>
      <c r="BC4" s="22" t="n">
        <f aca="false">Ingresos!BC6</f>
        <v>14025517.307</v>
      </c>
      <c r="BD4" s="22" t="n">
        <f aca="false">Ingresos!BD6</f>
        <v>14025517.307</v>
      </c>
      <c r="BE4" s="22" t="n">
        <f aca="false">Ingresos!BE6</f>
        <v>14025517.307</v>
      </c>
      <c r="BF4" s="22" t="n">
        <f aca="false">Ingresos!BF6</f>
        <v>14025517.307</v>
      </c>
      <c r="BG4" s="22" t="n">
        <f aca="false">Ingresos!BG6</f>
        <v>14025517.307</v>
      </c>
      <c r="BH4" s="22" t="n">
        <f aca="false">Ingresos!BH6</f>
        <v>14025517.307</v>
      </c>
      <c r="BI4" s="22" t="n">
        <f aca="false">Ingresos!BI6</f>
        <v>14025517.307</v>
      </c>
      <c r="BJ4" s="22" t="n">
        <f aca="false">Ingresos!BJ6</f>
        <v>15007303.51849</v>
      </c>
      <c r="BK4" s="22" t="n">
        <f aca="false">Ingresos!BK6</f>
        <v>15007303.51849</v>
      </c>
      <c r="BL4" s="22" t="n">
        <f aca="false">Ingresos!BL6</f>
        <v>15007303.51849</v>
      </c>
      <c r="BM4" s="22" t="n">
        <f aca="false">Ingresos!BM6</f>
        <v>15007303.51849</v>
      </c>
      <c r="BN4" s="22" t="n">
        <f aca="false">Ingresos!BN6</f>
        <v>15007303.51849</v>
      </c>
      <c r="BO4" s="22" t="n">
        <f aca="false">Ingresos!BO6</f>
        <v>15007303.51849</v>
      </c>
      <c r="BP4" s="22" t="n">
        <f aca="false">Ingresos!BP6</f>
        <v>15007303.51849</v>
      </c>
      <c r="BQ4" s="22" t="n">
        <f aca="false">Ingresos!BQ6</f>
        <v>15007303.51849</v>
      </c>
      <c r="BR4" s="22" t="n">
        <f aca="false">Ingresos!BR6</f>
        <v>15007303.51849</v>
      </c>
      <c r="BS4" s="22" t="n">
        <f aca="false">Ingresos!BS6</f>
        <v>15007303.51849</v>
      </c>
      <c r="BT4" s="22" t="n">
        <f aca="false">Ingresos!BT6</f>
        <v>15007303.51849</v>
      </c>
      <c r="BU4" s="22" t="n">
        <f aca="false">Ingresos!BU6</f>
        <v>15007303.51849</v>
      </c>
      <c r="BV4" s="22" t="n">
        <f aca="false">Ingresos!BV6</f>
        <v>16057814.7647843</v>
      </c>
      <c r="BW4" s="22" t="n">
        <f aca="false">Ingresos!BW6</f>
        <v>16057814.7647843</v>
      </c>
      <c r="BX4" s="22" t="n">
        <f aca="false">Ingresos!BX6</f>
        <v>16057814.7647843</v>
      </c>
      <c r="BY4" s="22" t="n">
        <f aca="false">Ingresos!BY6</f>
        <v>16057814.7647843</v>
      </c>
      <c r="BZ4" s="22" t="n">
        <f aca="false">Ingresos!BZ6</f>
        <v>16057814.7647843</v>
      </c>
      <c r="CA4" s="22" t="n">
        <f aca="false">Ingresos!CA6</f>
        <v>16057814.7647843</v>
      </c>
      <c r="CB4" s="22" t="n">
        <f aca="false">Ingresos!CB6</f>
        <v>16057814.7647843</v>
      </c>
      <c r="CC4" s="22" t="n">
        <f aca="false">Ingresos!CC6</f>
        <v>16057814.7647843</v>
      </c>
      <c r="CD4" s="22" t="n">
        <f aca="false">Ingresos!CD6</f>
        <v>16057814.7647843</v>
      </c>
      <c r="CE4" s="22" t="n">
        <f aca="false">Ingresos!CE6</f>
        <v>16057814.7647843</v>
      </c>
      <c r="CF4" s="22" t="n">
        <f aca="false">Ingresos!CF6</f>
        <v>16057814.7647843</v>
      </c>
      <c r="CG4" s="22" t="n">
        <f aca="false">Ingresos!CG6</f>
        <v>16057814.7647843</v>
      </c>
      <c r="CH4" s="22" t="n">
        <f aca="false">Ingresos!CH6</f>
        <v>17181861.7983192</v>
      </c>
      <c r="CI4" s="22" t="n">
        <f aca="false">Ingresos!CI6</f>
        <v>17181861.7983192</v>
      </c>
      <c r="CJ4" s="22" t="n">
        <f aca="false">Ingresos!CJ6</f>
        <v>17181861.7983192</v>
      </c>
      <c r="CK4" s="22" t="n">
        <f aca="false">Ingresos!CK6</f>
        <v>17181861.7983192</v>
      </c>
      <c r="CL4" s="22" t="n">
        <f aca="false">Ingresos!CL6</f>
        <v>17181861.7983192</v>
      </c>
      <c r="CM4" s="22" t="n">
        <f aca="false">Ingresos!CM6</f>
        <v>17181861.7983192</v>
      </c>
      <c r="CN4" s="22" t="n">
        <f aca="false">Ingresos!CN6</f>
        <v>17181861.7983192</v>
      </c>
      <c r="CO4" s="22" t="n">
        <f aca="false">Ingresos!CO6</f>
        <v>17181861.7983192</v>
      </c>
      <c r="CP4" s="22" t="n">
        <f aca="false">Ingresos!CP6</f>
        <v>17181861.7983192</v>
      </c>
      <c r="CQ4" s="22" t="n">
        <f aca="false">Ingresos!CQ6</f>
        <v>17181861.7983192</v>
      </c>
      <c r="CR4" s="22" t="n">
        <f aca="false">Ingresos!CR6</f>
        <v>17181861.7983192</v>
      </c>
      <c r="CS4" s="22" t="n">
        <f aca="false">Ingresos!CS6</f>
        <v>17181861.7983192</v>
      </c>
      <c r="CT4" s="22" t="n">
        <f aca="false">Ingresos!CT6</f>
        <v>18384592.1242016</v>
      </c>
      <c r="CU4" s="22" t="n">
        <f aca="false">Ingresos!CU6</f>
        <v>18384592.1242016</v>
      </c>
      <c r="CV4" s="22" t="n">
        <f aca="false">Ingresos!CV6</f>
        <v>18384592.1242016</v>
      </c>
      <c r="CW4" s="22" t="n">
        <f aca="false">Ingresos!CW6</f>
        <v>18384592.1242016</v>
      </c>
      <c r="CX4" s="22" t="n">
        <f aca="false">Ingresos!CX6</f>
        <v>18384592.1242016</v>
      </c>
      <c r="CY4" s="22" t="n">
        <f aca="false">Ingresos!CY6</f>
        <v>18384592.1242016</v>
      </c>
      <c r="CZ4" s="22" t="n">
        <f aca="false">Ingresos!CZ6</f>
        <v>18384592.1242016</v>
      </c>
      <c r="DA4" s="22" t="n">
        <f aca="false">Ingresos!DA6</f>
        <v>18384592.1242016</v>
      </c>
      <c r="DB4" s="22" t="n">
        <f aca="false">Ingresos!DB6</f>
        <v>18384592.1242016</v>
      </c>
      <c r="DC4" s="22" t="n">
        <f aca="false">Ingresos!DC6</f>
        <v>18384592.1242016</v>
      </c>
      <c r="DD4" s="22" t="n">
        <f aca="false">Ingresos!DD6</f>
        <v>18384592.1242016</v>
      </c>
      <c r="DE4" s="22" t="n">
        <f aca="false">Ingresos!DE6</f>
        <v>18384592.1242016</v>
      </c>
      <c r="DF4" s="22" t="n">
        <f aca="false">Ingresos!DF6</f>
        <v>19671513.5728957</v>
      </c>
      <c r="DG4" s="22" t="n">
        <f aca="false">Ingresos!DG6</f>
        <v>19671513.5728957</v>
      </c>
      <c r="DH4" s="22" t="n">
        <f aca="false">Ingresos!DH6</f>
        <v>19671513.5728957</v>
      </c>
      <c r="DI4" s="22" t="n">
        <f aca="false">Ingresos!DI6</f>
        <v>19671513.5728957</v>
      </c>
      <c r="DJ4" s="22" t="n">
        <f aca="false">Ingresos!DJ6</f>
        <v>19671513.5728957</v>
      </c>
      <c r="DK4" s="22" t="n">
        <f aca="false">Ingresos!DK6</f>
        <v>19671513.5728957</v>
      </c>
      <c r="DL4" s="22" t="n">
        <f aca="false">Ingresos!DL6</f>
        <v>19671513.5728957</v>
      </c>
      <c r="DM4" s="22" t="n">
        <f aca="false">Ingresos!DM6</f>
        <v>19671513.5728957</v>
      </c>
      <c r="DN4" s="22" t="n">
        <f aca="false">Ingresos!DN6</f>
        <v>19671513.5728957</v>
      </c>
      <c r="DO4" s="22" t="n">
        <f aca="false">Ingresos!DO6</f>
        <v>19671513.5728957</v>
      </c>
      <c r="DP4" s="22" t="n">
        <f aca="false">Ingresos!DP6</f>
        <v>19671513.5728957</v>
      </c>
      <c r="DQ4" s="22" t="n">
        <f aca="false">Ingresos!DQ6</f>
        <v>19671513.5728957</v>
      </c>
      <c r="DR4" s="22" t="n">
        <f aca="false">Ingresos!DR6</f>
        <v>21048519.5229984</v>
      </c>
      <c r="DS4" s="22" t="n">
        <f aca="false">Ingresos!DS6</f>
        <v>21048519.5229984</v>
      </c>
      <c r="DT4" s="22" t="n">
        <f aca="false">Ingresos!DT6</f>
        <v>21048519.5229984</v>
      </c>
      <c r="DU4" s="22" t="n">
        <f aca="false">Ingresos!DU6</f>
        <v>21048519.5229984</v>
      </c>
      <c r="DV4" s="22" t="n">
        <f aca="false">Ingresos!DV6</f>
        <v>21048519.5229984</v>
      </c>
      <c r="DW4" s="22" t="n">
        <f aca="false">Ingresos!DW6</f>
        <v>21048519.5229984</v>
      </c>
      <c r="DX4" s="22" t="n">
        <f aca="false">Ingresos!DX6</f>
        <v>21048519.5229984</v>
      </c>
      <c r="DY4" s="22" t="n">
        <f aca="false">Ingresos!DY6</f>
        <v>21048519.5229984</v>
      </c>
      <c r="DZ4" s="22" t="n">
        <f aca="false">Ingresos!DZ6</f>
        <v>21048519.5229984</v>
      </c>
      <c r="EA4" s="22" t="n">
        <f aca="false">Ingresos!EA6</f>
        <v>21048519.5229984</v>
      </c>
      <c r="EB4" s="22" t="n">
        <f aca="false">Ingresos!EB6</f>
        <v>21048519.5229984</v>
      </c>
      <c r="EC4" s="22" t="n">
        <f aca="false">Ingresos!EC6</f>
        <v>21048519.5229984</v>
      </c>
      <c r="ED4" s="22" t="n">
        <f aca="false">Ingresos!ED6</f>
        <v>22521915.8896083</v>
      </c>
      <c r="EE4" s="22" t="n">
        <f aca="false">Ingresos!EE6</f>
        <v>22521915.8896083</v>
      </c>
      <c r="EF4" s="22" t="n">
        <f aca="false">Ingresos!EF6</f>
        <v>22521915.8896083</v>
      </c>
      <c r="EG4" s="22" t="n">
        <f aca="false">Ingresos!EG6</f>
        <v>22521915.8896083</v>
      </c>
      <c r="EH4" s="22" t="n">
        <f aca="false">Ingresos!EH6</f>
        <v>22521915.8896083</v>
      </c>
      <c r="EI4" s="22" t="n">
        <f aca="false">Ingresos!EI6</f>
        <v>22521915.8896083</v>
      </c>
      <c r="EJ4" s="22" t="n">
        <f aca="false">Ingresos!EJ6</f>
        <v>22521915.8896083</v>
      </c>
      <c r="EK4" s="22" t="n">
        <f aca="false">Ingresos!EK6</f>
        <v>22521915.8896083</v>
      </c>
      <c r="EL4" s="22" t="n">
        <f aca="false">Ingresos!EL6</f>
        <v>22521915.8896083</v>
      </c>
      <c r="EM4" s="22" t="n">
        <f aca="false">Ingresos!EM6</f>
        <v>22521915.8896083</v>
      </c>
      <c r="EN4" s="22" t="n">
        <f aca="false">Ingresos!EN6</f>
        <v>22521915.8896083</v>
      </c>
      <c r="EO4" s="22" t="n">
        <f aca="false">Ingresos!EO6</f>
        <v>22521915.8896083</v>
      </c>
      <c r="EP4" s="22" t="n">
        <f aca="false">Ingresos!EP6</f>
        <v>24098450.0018808</v>
      </c>
      <c r="EQ4" s="22" t="n">
        <f aca="false">Ingresos!EQ6</f>
        <v>24098450.0018808</v>
      </c>
      <c r="ER4" s="22" t="n">
        <f aca="false">Ingresos!ER6</f>
        <v>24098450.0018808</v>
      </c>
      <c r="ES4" s="22" t="n">
        <f aca="false">Ingresos!ES6</f>
        <v>24098450.0018808</v>
      </c>
      <c r="ET4" s="22" t="n">
        <f aca="false">Ingresos!ET6</f>
        <v>24098450.0018808</v>
      </c>
      <c r="EU4" s="22" t="n">
        <f aca="false">Ingresos!EU6</f>
        <v>24098450.0018808</v>
      </c>
      <c r="EV4" s="22" t="n">
        <f aca="false">Ingresos!EV6</f>
        <v>24098450.0018808</v>
      </c>
      <c r="EW4" s="22" t="n">
        <f aca="false">Ingresos!EW6</f>
        <v>24098450.0018808</v>
      </c>
      <c r="EX4" s="22" t="n">
        <f aca="false">Ingresos!EX6</f>
        <v>24098450.0018808</v>
      </c>
      <c r="EY4" s="22" t="n">
        <f aca="false">Ingresos!EY6</f>
        <v>24098450.0018808</v>
      </c>
      <c r="EZ4" s="22" t="n">
        <f aca="false">Ingresos!EZ6</f>
        <v>24098450.0018808</v>
      </c>
      <c r="FA4" s="22" t="n">
        <f aca="false">Ingresos!FA6</f>
        <v>24098450.0018808</v>
      </c>
      <c r="FB4" s="22" t="n">
        <f aca="false">Ingresos!FB6</f>
        <v>25785341.5020125</v>
      </c>
      <c r="FC4" s="22" t="n">
        <f aca="false">Ingresos!FC6</f>
        <v>25785341.5020125</v>
      </c>
      <c r="FD4" s="22" t="n">
        <f aca="false">Ingresos!FD6</f>
        <v>25785341.5020125</v>
      </c>
      <c r="FE4" s="22" t="n">
        <f aca="false">Ingresos!FE6</f>
        <v>25785341.5020125</v>
      </c>
      <c r="FF4" s="22" t="n">
        <f aca="false">Ingresos!FF6</f>
        <v>25785341.5020125</v>
      </c>
      <c r="FG4" s="22" t="n">
        <f aca="false">Ingresos!FG6</f>
        <v>25785341.5020125</v>
      </c>
      <c r="FH4" s="22" t="n">
        <f aca="false">Ingresos!FH6</f>
        <v>25785341.5020125</v>
      </c>
      <c r="FI4" s="22" t="n">
        <f aca="false">Ingresos!FI6</f>
        <v>25785341.5020125</v>
      </c>
      <c r="FJ4" s="22" t="n">
        <f aca="false">Ingresos!FJ6</f>
        <v>25785341.5020125</v>
      </c>
      <c r="FK4" s="22" t="n">
        <f aca="false">Ingresos!FK6</f>
        <v>25785341.5020125</v>
      </c>
      <c r="FL4" s="22" t="n">
        <f aca="false">Ingresos!FL6</f>
        <v>25785341.5020125</v>
      </c>
      <c r="FM4" s="22" t="n">
        <f aca="false">Ingresos!FM6</f>
        <v>25785341.5020125</v>
      </c>
      <c r="FN4" s="22" t="n">
        <f aca="false">Ingresos!FN6</f>
        <v>27590315.4071534</v>
      </c>
      <c r="FO4" s="22" t="n">
        <f aca="false">Ingresos!FO6</f>
        <v>27590315.4071534</v>
      </c>
      <c r="FP4" s="22" t="n">
        <f aca="false">Ingresos!FP6</f>
        <v>27590315.4071534</v>
      </c>
      <c r="FQ4" s="22" t="n">
        <f aca="false">Ingresos!FQ6</f>
        <v>27590315.4071534</v>
      </c>
      <c r="FR4" s="22" t="n">
        <f aca="false">Ingresos!FR6</f>
        <v>27590315.4071534</v>
      </c>
      <c r="FS4" s="22" t="n">
        <f aca="false">Ingresos!FS6</f>
        <v>27590315.4071534</v>
      </c>
      <c r="FT4" s="22" t="n">
        <f aca="false">Ingresos!FT6</f>
        <v>27590315.4071534</v>
      </c>
      <c r="FU4" s="22" t="n">
        <f aca="false">Ingresos!FU6</f>
        <v>27590315.4071534</v>
      </c>
      <c r="FV4" s="22" t="n">
        <f aca="false">Ingresos!FV6</f>
        <v>27590315.4071534</v>
      </c>
      <c r="FW4" s="22" t="n">
        <f aca="false">Ingresos!FW6</f>
        <v>27590315.4071534</v>
      </c>
      <c r="FX4" s="22" t="n">
        <f aca="false">Ingresos!FX6</f>
        <v>27590315.4071534</v>
      </c>
      <c r="FY4" s="22" t="n">
        <f aca="false">Ingresos!FY6</f>
        <v>27590315.4071534</v>
      </c>
      <c r="FZ4" s="22" t="n">
        <f aca="false">Ingresos!FZ6</f>
        <v>29521637.4856541</v>
      </c>
      <c r="GA4" s="22" t="n">
        <f aca="false">Ingresos!GA6</f>
        <v>29521637.4856541</v>
      </c>
      <c r="GB4" s="22" t="n">
        <f aca="false">Ingresos!GB6</f>
        <v>29521637.4856541</v>
      </c>
      <c r="GC4" s="22" t="n">
        <f aca="false">Ingresos!GC6</f>
        <v>29521637.4856541</v>
      </c>
      <c r="GD4" s="22" t="n">
        <f aca="false">Ingresos!GD6</f>
        <v>29521637.4856541</v>
      </c>
      <c r="GE4" s="22" t="n">
        <f aca="false">Ingresos!GE6</f>
        <v>29521637.4856541</v>
      </c>
      <c r="GF4" s="22" t="n">
        <f aca="false">Ingresos!GF6</f>
        <v>29521637.4856541</v>
      </c>
      <c r="GG4" s="22" t="n">
        <f aca="false">Ingresos!GG6</f>
        <v>29521637.4856541</v>
      </c>
      <c r="GH4" s="22" t="n">
        <f aca="false">Ingresos!GH6</f>
        <v>29521637.4856541</v>
      </c>
      <c r="GI4" s="22" t="n">
        <f aca="false">Ingresos!GI6</f>
        <v>29521637.4856541</v>
      </c>
      <c r="GJ4" s="22" t="n">
        <f aca="false">Ingresos!GJ6</f>
        <v>29521637.4856541</v>
      </c>
      <c r="GK4" s="22" t="n">
        <f aca="false">Ingresos!GK6</f>
        <v>29521637.4856541</v>
      </c>
      <c r="GL4" s="22" t="n">
        <f aca="false">Ingresos!GL6</f>
        <v>31588152.1096499</v>
      </c>
      <c r="GM4" s="22" t="n">
        <f aca="false">Ingresos!GM6</f>
        <v>31588152.1096499</v>
      </c>
      <c r="GN4" s="22" t="n">
        <f aca="false">Ingresos!GN6</f>
        <v>31588152.1096499</v>
      </c>
      <c r="GO4" s="22" t="n">
        <f aca="false">Ingresos!GO6</f>
        <v>31588152.1096499</v>
      </c>
      <c r="GP4" s="22" t="n">
        <f aca="false">Ingresos!GP6</f>
        <v>31588152.1096499</v>
      </c>
      <c r="GQ4" s="22" t="n">
        <f aca="false">Ingresos!GQ6</f>
        <v>31588152.1096499</v>
      </c>
      <c r="GR4" s="22" t="n">
        <f aca="false">Ingresos!GR6</f>
        <v>31588152.1096499</v>
      </c>
      <c r="GS4" s="22" t="n">
        <f aca="false">Ingresos!GS6</f>
        <v>31588152.1096499</v>
      </c>
      <c r="GT4" s="22" t="n">
        <f aca="false">Ingresos!GT6</f>
        <v>31588152.1096499</v>
      </c>
      <c r="GU4" s="22" t="n">
        <f aca="false">Ingresos!GU6</f>
        <v>31588152.1096499</v>
      </c>
      <c r="GV4" s="22" t="n">
        <f aca="false">Ingresos!GV6</f>
        <v>31588152.1096499</v>
      </c>
      <c r="GW4" s="22" t="n">
        <f aca="false">Ingresos!GW6</f>
        <v>31588152.1096499</v>
      </c>
      <c r="GX4" s="22" t="n">
        <f aca="false">Ingresos!GX6</f>
        <v>33799322.7573254</v>
      </c>
      <c r="GY4" s="22" t="n">
        <f aca="false">Ingresos!GY6</f>
        <v>33799322.7573254</v>
      </c>
      <c r="GZ4" s="22" t="n">
        <f aca="false">Ingresos!GZ6</f>
        <v>33799322.7573254</v>
      </c>
      <c r="HA4" s="22" t="n">
        <f aca="false">Ingresos!HA6</f>
        <v>33799322.7573254</v>
      </c>
      <c r="HB4" s="22" t="n">
        <f aca="false">Ingresos!HB6</f>
        <v>33799322.7573254</v>
      </c>
      <c r="HC4" s="22" t="n">
        <f aca="false">Ingresos!HC6</f>
        <v>33799322.7573254</v>
      </c>
      <c r="HD4" s="22" t="n">
        <f aca="false">Ingresos!HD6</f>
        <v>33799322.7573254</v>
      </c>
      <c r="HE4" s="22" t="n">
        <f aca="false">Ingresos!HE6</f>
        <v>33799322.7573254</v>
      </c>
      <c r="HF4" s="22" t="n">
        <f aca="false">Ingresos!HF6</f>
        <v>33799322.7573254</v>
      </c>
      <c r="HG4" s="22" t="n">
        <f aca="false">Ingresos!HG6</f>
        <v>33799322.7573254</v>
      </c>
      <c r="HH4" s="22" t="n">
        <f aca="false">Ingresos!HH6</f>
        <v>33799322.7573254</v>
      </c>
      <c r="HI4" s="22" t="n">
        <f aca="false">Ingresos!HI6</f>
        <v>33799322.7573254</v>
      </c>
      <c r="HJ4" s="22" t="n">
        <f aca="false">Ingresos!HJ6</f>
        <v>36165275.3503382</v>
      </c>
      <c r="HK4" s="22" t="n">
        <f aca="false">Ingresos!HK6</f>
        <v>36165275.3503382</v>
      </c>
      <c r="HL4" s="22" t="n">
        <f aca="false">Ingresos!HL6</f>
        <v>36165275.3503382</v>
      </c>
      <c r="HM4" s="22" t="n">
        <f aca="false">Ingresos!HM6</f>
        <v>36165275.3503382</v>
      </c>
      <c r="HN4" s="22" t="n">
        <f aca="false">Ingresos!HN6</f>
        <v>36165275.3503382</v>
      </c>
      <c r="HO4" s="22" t="n">
        <f aca="false">Ingresos!HO6</f>
        <v>36165275.3503382</v>
      </c>
      <c r="HP4" s="22" t="n">
        <f aca="false">Ingresos!HP6</f>
        <v>36165275.3503382</v>
      </c>
      <c r="HQ4" s="22" t="n">
        <f aca="false">Ingresos!HQ6</f>
        <v>36165275.3503382</v>
      </c>
      <c r="HR4" s="22" t="n">
        <f aca="false">Ingresos!HR6</f>
        <v>36165275.3503382</v>
      </c>
      <c r="HS4" s="22" t="n">
        <f aca="false">Ingresos!HS6</f>
        <v>36165275.3503382</v>
      </c>
      <c r="HT4" s="22" t="n">
        <f aca="false">Ingresos!HT6</f>
        <v>36165275.3503382</v>
      </c>
      <c r="HU4" s="22" t="n">
        <f aca="false">Ingresos!HU6</f>
        <v>36165275.3503382</v>
      </c>
      <c r="HV4" s="22" t="n">
        <f aca="false">Ingresos!HV6</f>
        <v>38696844.6248618</v>
      </c>
      <c r="HW4" s="22" t="n">
        <f aca="false">Ingresos!HW6</f>
        <v>38696844.6248618</v>
      </c>
      <c r="HX4" s="22" t="n">
        <f aca="false">Ingresos!HX6</f>
        <v>38696844.6248618</v>
      </c>
      <c r="HY4" s="22" t="n">
        <f aca="false">Ingresos!HY6</f>
        <v>38696844.6248618</v>
      </c>
      <c r="HZ4" s="22" t="n">
        <f aca="false">Ingresos!HZ6</f>
        <v>38696844.6248618</v>
      </c>
      <c r="IA4" s="22" t="n">
        <f aca="false">Ingresos!IA6</f>
        <v>38696844.6248618</v>
      </c>
      <c r="IB4" s="22" t="n">
        <f aca="false">Ingresos!IB6</f>
        <v>38696844.6248618</v>
      </c>
      <c r="IC4" s="22" t="n">
        <f aca="false">Ingresos!IC6</f>
        <v>38696844.6248618</v>
      </c>
      <c r="ID4" s="22" t="n">
        <f aca="false">Ingresos!ID6</f>
        <v>38696844.6248618</v>
      </c>
      <c r="IE4" s="22" t="n">
        <f aca="false">Ingresos!IE6</f>
        <v>38696844.6248618</v>
      </c>
      <c r="IF4" s="22" t="n">
        <f aca="false">Ingresos!IF6</f>
        <v>38696844.6248618</v>
      </c>
      <c r="IG4" s="22" t="n">
        <f aca="false">Ingresos!IG6</f>
        <v>38696844.6248618</v>
      </c>
      <c r="IH4" s="22" t="n">
        <f aca="false">Ingresos!IH6</f>
        <v>41405623.7486022</v>
      </c>
      <c r="II4" s="22" t="n">
        <f aca="false">Ingresos!II6</f>
        <v>41405623.7486022</v>
      </c>
      <c r="IJ4" s="22" t="n">
        <f aca="false">Ingresos!IJ6</f>
        <v>41405623.7486022</v>
      </c>
      <c r="IK4" s="22" t="n">
        <f aca="false">Ingresos!IK6</f>
        <v>41405623.7486022</v>
      </c>
      <c r="IL4" s="22" t="n">
        <f aca="false">Ingresos!IL6</f>
        <v>41405623.7486022</v>
      </c>
      <c r="IM4" s="22" t="n">
        <f aca="false">Ingresos!IM6</f>
        <v>41405623.7486022</v>
      </c>
      <c r="IN4" s="22" t="n">
        <f aca="false">Ingresos!IN6</f>
        <v>41405623.7486022</v>
      </c>
      <c r="IO4" s="22" t="n">
        <f aca="false">Ingresos!IO6</f>
        <v>41405623.7486022</v>
      </c>
      <c r="IP4" s="22" t="n">
        <f aca="false">Ingresos!IP6</f>
        <v>41405623.7486022</v>
      </c>
      <c r="IQ4" s="22" t="n">
        <f aca="false">Ingresos!IQ6</f>
        <v>41405623.7486022</v>
      </c>
      <c r="IR4" s="22" t="n">
        <f aca="false">Ingresos!IR6</f>
        <v>41405623.7486022</v>
      </c>
      <c r="IS4" s="22" t="n">
        <f aca="false">Ingresos!IS6</f>
        <v>41405623.7486022</v>
      </c>
      <c r="IT4" s="22" t="n">
        <f aca="false">Ingresos!IT6</f>
        <v>44304017.4110043</v>
      </c>
      <c r="IU4" s="22" t="n">
        <f aca="false">Ingresos!IU6</f>
        <v>44304017.4110043</v>
      </c>
      <c r="IV4" s="22" t="n">
        <f aca="false">Ingresos!IV6</f>
        <v>44304017.4110043</v>
      </c>
      <c r="IW4" s="22" t="n">
        <f aca="false">Ingresos!IW6</f>
        <v>44304017.4110043</v>
      </c>
      <c r="IX4" s="22" t="n">
        <f aca="false">Ingresos!IX6</f>
        <v>44304017.4110043</v>
      </c>
      <c r="IY4" s="22" t="n">
        <f aca="false">Ingresos!IY6</f>
        <v>44304017.4110043</v>
      </c>
      <c r="IZ4" s="22" t="n">
        <f aca="false">Ingresos!IZ6</f>
        <v>44304017.4110043</v>
      </c>
      <c r="JA4" s="22" t="n">
        <f aca="false">Ingresos!JA6</f>
        <v>44304017.4110043</v>
      </c>
      <c r="JB4" s="22" t="n">
        <f aca="false">Ingresos!JB6</f>
        <v>44304017.4110043</v>
      </c>
      <c r="JC4" s="22" t="n">
        <f aca="false">Ingresos!JC6</f>
        <v>44304017.4110043</v>
      </c>
      <c r="JD4" s="22" t="n">
        <f aca="false">Ingresos!JD6</f>
        <v>44304017.4110043</v>
      </c>
      <c r="JE4" s="22" t="n">
        <f aca="false">Ingresos!JE6</f>
        <v>44304017.4110043</v>
      </c>
      <c r="JF4" s="22" t="n">
        <f aca="false">Ingresos!JF6</f>
        <v>47405298.6297746</v>
      </c>
      <c r="JG4" s="22" t="n">
        <f aca="false">Ingresos!JG6</f>
        <v>47405298.6297746</v>
      </c>
      <c r="JH4" s="22" t="n">
        <f aca="false">Ingresos!JH6</f>
        <v>47405298.6297746</v>
      </c>
      <c r="JI4" s="22" t="n">
        <f aca="false">Ingresos!JI6</f>
        <v>47405298.6297746</v>
      </c>
      <c r="JJ4" s="22" t="n">
        <f aca="false">Ingresos!JJ6</f>
        <v>47405298.6297746</v>
      </c>
      <c r="JK4" s="22" t="n">
        <f aca="false">Ingresos!JK6</f>
        <v>47405298.6297746</v>
      </c>
      <c r="JL4" s="22" t="n">
        <f aca="false">Ingresos!JL6</f>
        <v>47405298.6297746</v>
      </c>
      <c r="JM4" s="22" t="n">
        <f aca="false">Ingresos!JM6</f>
        <v>47405298.6297746</v>
      </c>
      <c r="JN4" s="22" t="n">
        <f aca="false">Ingresos!JN6</f>
        <v>47405298.6297746</v>
      </c>
      <c r="JO4" s="22" t="n">
        <f aca="false">Ingresos!JO6</f>
        <v>47405298.6297746</v>
      </c>
      <c r="JP4" s="22" t="n">
        <f aca="false">Ingresos!JP6</f>
        <v>47405298.6297746</v>
      </c>
      <c r="JQ4" s="22" t="n">
        <f aca="false">Ingresos!JQ6</f>
        <v>47405298.6297746</v>
      </c>
      <c r="JR4" s="22" t="n">
        <f aca="false">Ingresos!JR6</f>
        <v>50723669.5338589</v>
      </c>
      <c r="JS4" s="22" t="n">
        <f aca="false">Ingresos!JS6</f>
        <v>50723669.5338589</v>
      </c>
      <c r="JT4" s="22" t="n">
        <f aca="false">Ingresos!JT6</f>
        <v>50723669.5338589</v>
      </c>
      <c r="JU4" s="22" t="n">
        <f aca="false">Ingresos!JU6</f>
        <v>50723669.5338589</v>
      </c>
      <c r="JV4" s="22" t="n">
        <f aca="false">Ingresos!JV6</f>
        <v>50723669.5338589</v>
      </c>
      <c r="JW4" s="22" t="n">
        <f aca="false">Ingresos!JW6</f>
        <v>50723669.5338589</v>
      </c>
      <c r="JX4" s="22" t="n">
        <f aca="false">Ingresos!JX6</f>
        <v>50723669.5338589</v>
      </c>
      <c r="JY4" s="22" t="n">
        <f aca="false">Ingresos!JY6</f>
        <v>50723669.5338589</v>
      </c>
      <c r="JZ4" s="22" t="n">
        <f aca="false">Ingresos!JZ6</f>
        <v>50723669.5338589</v>
      </c>
      <c r="KA4" s="22" t="n">
        <f aca="false">Ingresos!KA6</f>
        <v>50723669.5338589</v>
      </c>
      <c r="KB4" s="22" t="n">
        <f aca="false">Ingresos!KB6</f>
        <v>50723669.5338589</v>
      </c>
      <c r="KC4" s="22" t="n">
        <f aca="false">Ingresos!KC6</f>
        <v>50723669.5338589</v>
      </c>
      <c r="KD4" s="22" t="n">
        <f aca="false">Ingresos!KD6</f>
        <v>54274326.401229</v>
      </c>
      <c r="KE4" s="22" t="n">
        <f aca="false">Ingresos!KE6</f>
        <v>54274326.401229</v>
      </c>
      <c r="KF4" s="22" t="n">
        <f aca="false">Ingresos!KF6</f>
        <v>54274326.401229</v>
      </c>
      <c r="KG4" s="22" t="n">
        <f aca="false">Ingresos!KG6</f>
        <v>54274326.401229</v>
      </c>
      <c r="KH4" s="22" t="n">
        <f aca="false">Ingresos!KH6</f>
        <v>54274326.401229</v>
      </c>
      <c r="KI4" s="22" t="n">
        <f aca="false">Ingresos!KI6</f>
        <v>54274326.401229</v>
      </c>
      <c r="KJ4" s="22" t="n">
        <f aca="false">Ingresos!KJ6</f>
        <v>54274326.401229</v>
      </c>
      <c r="KK4" s="22" t="n">
        <f aca="false">Ingresos!KK6</f>
        <v>54274326.401229</v>
      </c>
      <c r="KL4" s="22" t="n">
        <f aca="false">Ingresos!KL6</f>
        <v>54274326.401229</v>
      </c>
      <c r="KM4" s="22" t="n">
        <f aca="false">Ingresos!KM6</f>
        <v>54274326.401229</v>
      </c>
      <c r="KN4" s="22" t="n">
        <f aca="false">Ingresos!KN6</f>
        <v>54274326.401229</v>
      </c>
      <c r="KO4" s="22" t="n">
        <f aca="false">Ingresos!KO6</f>
        <v>54274326.401229</v>
      </c>
    </row>
    <row r="5" customFormat="false" ht="14.25" hidden="false" customHeight="false" outlineLevel="0" collapsed="false">
      <c r="A5" s="0" t="s">
        <v>395</v>
      </c>
      <c r="B5" s="22" t="n">
        <f aca="false">Costos!B6</f>
        <v>3959000</v>
      </c>
      <c r="C5" s="22" t="n">
        <f aca="false">Costos!C6</f>
        <v>3959000</v>
      </c>
      <c r="D5" s="22" t="n">
        <f aca="false">Costos!D6</f>
        <v>3959000</v>
      </c>
      <c r="E5" s="22" t="n">
        <f aca="false">Costos!E6</f>
        <v>3959000</v>
      </c>
      <c r="F5" s="22" t="n">
        <f aca="false">Costos!F6</f>
        <v>3959000</v>
      </c>
      <c r="G5" s="22" t="n">
        <f aca="false">Costos!G6</f>
        <v>3959000</v>
      </c>
      <c r="H5" s="22" t="n">
        <f aca="false">Costos!H6</f>
        <v>3959000</v>
      </c>
      <c r="I5" s="22" t="n">
        <f aca="false">Costos!I6</f>
        <v>3959000</v>
      </c>
      <c r="J5" s="22" t="n">
        <f aca="false">Costos!J6</f>
        <v>3959000</v>
      </c>
      <c r="K5" s="22" t="n">
        <f aca="false">Costos!K6</f>
        <v>3959000</v>
      </c>
      <c r="L5" s="22" t="n">
        <f aca="false">Costos!L6</f>
        <v>3959000</v>
      </c>
      <c r="M5" s="22" t="n">
        <f aca="false">Costos!M6</f>
        <v>3959000</v>
      </c>
      <c r="N5" s="22" t="n">
        <f aca="false">Costos!N6</f>
        <v>4236130</v>
      </c>
      <c r="O5" s="22" t="n">
        <f aca="false">Costos!O6</f>
        <v>4236130</v>
      </c>
      <c r="P5" s="22" t="n">
        <f aca="false">Costos!P6</f>
        <v>4236130</v>
      </c>
      <c r="Q5" s="22" t="n">
        <f aca="false">Costos!Q6</f>
        <v>4236130</v>
      </c>
      <c r="R5" s="22" t="n">
        <f aca="false">Costos!R6</f>
        <v>4236130</v>
      </c>
      <c r="S5" s="22" t="n">
        <f aca="false">Costos!S6</f>
        <v>4236130</v>
      </c>
      <c r="T5" s="22" t="n">
        <f aca="false">Costos!T6</f>
        <v>4236130</v>
      </c>
      <c r="U5" s="22" t="n">
        <f aca="false">Costos!U6</f>
        <v>4236130</v>
      </c>
      <c r="V5" s="22" t="n">
        <f aca="false">Costos!V6</f>
        <v>4236130</v>
      </c>
      <c r="W5" s="22" t="n">
        <f aca="false">Costos!W6</f>
        <v>4236130</v>
      </c>
      <c r="X5" s="22" t="n">
        <f aca="false">Costos!X6</f>
        <v>4236130</v>
      </c>
      <c r="Y5" s="22" t="n">
        <f aca="false">Costos!Y6</f>
        <v>4236130</v>
      </c>
      <c r="Z5" s="22" t="n">
        <f aca="false">Costos!Z6</f>
        <v>4532659.1</v>
      </c>
      <c r="AA5" s="22" t="n">
        <f aca="false">Costos!AA6</f>
        <v>4532659.1</v>
      </c>
      <c r="AB5" s="22" t="n">
        <f aca="false">Costos!AB6</f>
        <v>4532659.1</v>
      </c>
      <c r="AC5" s="22" t="n">
        <f aca="false">Costos!AC6</f>
        <v>4532659.1</v>
      </c>
      <c r="AD5" s="22" t="n">
        <f aca="false">Costos!AD6</f>
        <v>4532659.1</v>
      </c>
      <c r="AE5" s="22" t="n">
        <f aca="false">Costos!AE6</f>
        <v>4532659.1</v>
      </c>
      <c r="AF5" s="22" t="n">
        <f aca="false">Costos!AF6</f>
        <v>4532659.1</v>
      </c>
      <c r="AG5" s="22" t="n">
        <f aca="false">Costos!AG6</f>
        <v>4532659.1</v>
      </c>
      <c r="AH5" s="22" t="n">
        <f aca="false">Costos!AH6</f>
        <v>4532659.1</v>
      </c>
      <c r="AI5" s="22" t="n">
        <f aca="false">Costos!AI6</f>
        <v>4532659.1</v>
      </c>
      <c r="AJ5" s="22" t="n">
        <f aca="false">Costos!AJ6</f>
        <v>4532659.1</v>
      </c>
      <c r="AK5" s="22" t="n">
        <f aca="false">Costos!AK6</f>
        <v>4532659.1</v>
      </c>
      <c r="AL5" s="22" t="n">
        <f aca="false">Costos!AL6</f>
        <v>4849945.237</v>
      </c>
      <c r="AM5" s="22" t="n">
        <f aca="false">Costos!AM6</f>
        <v>4849945.237</v>
      </c>
      <c r="AN5" s="22" t="n">
        <f aca="false">Costos!AN6</f>
        <v>4849945.237</v>
      </c>
      <c r="AO5" s="22" t="n">
        <f aca="false">Costos!AO6</f>
        <v>4849945.237</v>
      </c>
      <c r="AP5" s="22" t="n">
        <f aca="false">Costos!AP6</f>
        <v>4849945.237</v>
      </c>
      <c r="AQ5" s="22" t="n">
        <f aca="false">Costos!AQ6</f>
        <v>4849945.237</v>
      </c>
      <c r="AR5" s="22" t="n">
        <f aca="false">Costos!AR6</f>
        <v>4849945.237</v>
      </c>
      <c r="AS5" s="22" t="n">
        <f aca="false">Costos!AS6</f>
        <v>4849945.237</v>
      </c>
      <c r="AT5" s="22" t="n">
        <f aca="false">Costos!AT6</f>
        <v>4849945.237</v>
      </c>
      <c r="AU5" s="22" t="n">
        <f aca="false">Costos!AU6</f>
        <v>4849945.237</v>
      </c>
      <c r="AV5" s="22" t="n">
        <f aca="false">Costos!AV6</f>
        <v>4849945.237</v>
      </c>
      <c r="AW5" s="22" t="n">
        <f aca="false">Costos!AW6</f>
        <v>4849945.237</v>
      </c>
      <c r="AX5" s="22" t="n">
        <f aca="false">Costos!AX6</f>
        <v>5189441.40359</v>
      </c>
      <c r="AY5" s="22" t="n">
        <f aca="false">Costos!AY6</f>
        <v>5189441.40359</v>
      </c>
      <c r="AZ5" s="22" t="n">
        <f aca="false">Costos!AZ6</f>
        <v>5189441.40359</v>
      </c>
      <c r="BA5" s="22" t="n">
        <f aca="false">Costos!BA6</f>
        <v>5189441.40359</v>
      </c>
      <c r="BB5" s="22" t="n">
        <f aca="false">Costos!BB6</f>
        <v>5189441.40359</v>
      </c>
      <c r="BC5" s="22" t="n">
        <f aca="false">Costos!BC6</f>
        <v>5189441.40359</v>
      </c>
      <c r="BD5" s="22" t="n">
        <f aca="false">Costos!BD6</f>
        <v>5189441.40359</v>
      </c>
      <c r="BE5" s="22" t="n">
        <f aca="false">Costos!BE6</f>
        <v>5189441.40359</v>
      </c>
      <c r="BF5" s="22" t="n">
        <f aca="false">Costos!BF6</f>
        <v>5189441.40359</v>
      </c>
      <c r="BG5" s="22" t="n">
        <f aca="false">Costos!BG6</f>
        <v>5189441.40359</v>
      </c>
      <c r="BH5" s="22" t="n">
        <f aca="false">Costos!BH6</f>
        <v>5189441.40359</v>
      </c>
      <c r="BI5" s="22" t="n">
        <f aca="false">Costos!BI6</f>
        <v>5189441.40359</v>
      </c>
      <c r="BJ5" s="22" t="n">
        <f aca="false">Costos!BJ6</f>
        <v>5552702.3018413</v>
      </c>
      <c r="BK5" s="22" t="n">
        <f aca="false">Costos!BK6</f>
        <v>5552702.3018413</v>
      </c>
      <c r="BL5" s="22" t="n">
        <f aca="false">Costos!BL6</f>
        <v>5552702.3018413</v>
      </c>
      <c r="BM5" s="22" t="n">
        <f aca="false">Costos!BM6</f>
        <v>5552702.3018413</v>
      </c>
      <c r="BN5" s="22" t="n">
        <f aca="false">Costos!BN6</f>
        <v>5552702.3018413</v>
      </c>
      <c r="BO5" s="22" t="n">
        <f aca="false">Costos!BO6</f>
        <v>5552702.3018413</v>
      </c>
      <c r="BP5" s="22" t="n">
        <f aca="false">Costos!BP6</f>
        <v>5552702.3018413</v>
      </c>
      <c r="BQ5" s="22" t="n">
        <f aca="false">Costos!BQ6</f>
        <v>5552702.3018413</v>
      </c>
      <c r="BR5" s="22" t="n">
        <f aca="false">Costos!BR6</f>
        <v>5552702.3018413</v>
      </c>
      <c r="BS5" s="22" t="n">
        <f aca="false">Costos!BS6</f>
        <v>5552702.3018413</v>
      </c>
      <c r="BT5" s="22" t="n">
        <f aca="false">Costos!BT6</f>
        <v>5552702.3018413</v>
      </c>
      <c r="BU5" s="22" t="n">
        <f aca="false">Costos!BU6</f>
        <v>5552702.3018413</v>
      </c>
      <c r="BV5" s="22" t="n">
        <f aca="false">Costos!BV6</f>
        <v>5941391.46297019</v>
      </c>
      <c r="BW5" s="22" t="n">
        <f aca="false">Costos!BW6</f>
        <v>5941391.46297019</v>
      </c>
      <c r="BX5" s="22" t="n">
        <f aca="false">Costos!BX6</f>
        <v>5941391.46297019</v>
      </c>
      <c r="BY5" s="22" t="n">
        <f aca="false">Costos!BY6</f>
        <v>5941391.46297019</v>
      </c>
      <c r="BZ5" s="22" t="n">
        <f aca="false">Costos!BZ6</f>
        <v>5941391.46297019</v>
      </c>
      <c r="CA5" s="22" t="n">
        <f aca="false">Costos!CA6</f>
        <v>5941391.46297019</v>
      </c>
      <c r="CB5" s="22" t="n">
        <f aca="false">Costos!CB6</f>
        <v>5941391.46297019</v>
      </c>
      <c r="CC5" s="22" t="n">
        <f aca="false">Costos!CC6</f>
        <v>5941391.46297019</v>
      </c>
      <c r="CD5" s="22" t="n">
        <f aca="false">Costos!CD6</f>
        <v>5941391.46297019</v>
      </c>
      <c r="CE5" s="22" t="n">
        <f aca="false">Costos!CE6</f>
        <v>5941391.46297019</v>
      </c>
      <c r="CF5" s="22" t="n">
        <f aca="false">Costos!CF6</f>
        <v>5941391.46297019</v>
      </c>
      <c r="CG5" s="22" t="n">
        <f aca="false">Costos!CG6</f>
        <v>5941391.46297019</v>
      </c>
      <c r="CH5" s="22" t="n">
        <f aca="false">Costos!CH6</f>
        <v>6357288.86537811</v>
      </c>
      <c r="CI5" s="22" t="n">
        <f aca="false">Costos!CI6</f>
        <v>6357288.86537811</v>
      </c>
      <c r="CJ5" s="22" t="n">
        <f aca="false">Costos!CJ6</f>
        <v>6357288.86537811</v>
      </c>
      <c r="CK5" s="22" t="n">
        <f aca="false">Costos!CK6</f>
        <v>6357288.86537811</v>
      </c>
      <c r="CL5" s="22" t="n">
        <f aca="false">Costos!CL6</f>
        <v>6357288.86537811</v>
      </c>
      <c r="CM5" s="22" t="n">
        <f aca="false">Costos!CM6</f>
        <v>6357288.86537811</v>
      </c>
      <c r="CN5" s="22" t="n">
        <f aca="false">Costos!CN6</f>
        <v>6357288.86537811</v>
      </c>
      <c r="CO5" s="22" t="n">
        <f aca="false">Costos!CO6</f>
        <v>6357288.86537811</v>
      </c>
      <c r="CP5" s="22" t="n">
        <f aca="false">Costos!CP6</f>
        <v>6357288.86537811</v>
      </c>
      <c r="CQ5" s="22" t="n">
        <f aca="false">Costos!CQ6</f>
        <v>6357288.86537811</v>
      </c>
      <c r="CR5" s="22" t="n">
        <f aca="false">Costos!CR6</f>
        <v>6357288.86537811</v>
      </c>
      <c r="CS5" s="22" t="n">
        <f aca="false">Costos!CS6</f>
        <v>6357288.86537811</v>
      </c>
      <c r="CT5" s="22" t="n">
        <f aca="false">Costos!CT6</f>
        <v>6802299.08595458</v>
      </c>
      <c r="CU5" s="22" t="n">
        <f aca="false">Costos!CU6</f>
        <v>6802299.08595458</v>
      </c>
      <c r="CV5" s="22" t="n">
        <f aca="false">Costos!CV6</f>
        <v>6802299.08595458</v>
      </c>
      <c r="CW5" s="22" t="n">
        <f aca="false">Costos!CW6</f>
        <v>6802299.08595458</v>
      </c>
      <c r="CX5" s="22" t="n">
        <f aca="false">Costos!CX6</f>
        <v>6802299.08595458</v>
      </c>
      <c r="CY5" s="22" t="n">
        <f aca="false">Costos!CY6</f>
        <v>6802299.08595458</v>
      </c>
      <c r="CZ5" s="22" t="n">
        <f aca="false">Costos!CZ6</f>
        <v>6802299.08595458</v>
      </c>
      <c r="DA5" s="22" t="n">
        <f aca="false">Costos!DA6</f>
        <v>6802299.08595458</v>
      </c>
      <c r="DB5" s="22" t="n">
        <f aca="false">Costos!DB6</f>
        <v>6802299.08595458</v>
      </c>
      <c r="DC5" s="22" t="n">
        <f aca="false">Costos!DC6</f>
        <v>6802299.08595458</v>
      </c>
      <c r="DD5" s="22" t="n">
        <f aca="false">Costos!DD6</f>
        <v>6802299.08595458</v>
      </c>
      <c r="DE5" s="22" t="n">
        <f aca="false">Costos!DE6</f>
        <v>6802299.08595458</v>
      </c>
      <c r="DF5" s="22" t="n">
        <f aca="false">Costos!DF6</f>
        <v>7278460.0219714</v>
      </c>
      <c r="DG5" s="22" t="n">
        <f aca="false">Costos!DG6</f>
        <v>7278460.0219714</v>
      </c>
      <c r="DH5" s="22" t="n">
        <f aca="false">Costos!DH6</f>
        <v>7278460.0219714</v>
      </c>
      <c r="DI5" s="22" t="n">
        <f aca="false">Costos!DI6</f>
        <v>7278460.0219714</v>
      </c>
      <c r="DJ5" s="22" t="n">
        <f aca="false">Costos!DJ6</f>
        <v>7278460.0219714</v>
      </c>
      <c r="DK5" s="22" t="n">
        <f aca="false">Costos!DK6</f>
        <v>7278460.0219714</v>
      </c>
      <c r="DL5" s="22" t="n">
        <f aca="false">Costos!DL6</f>
        <v>7278460.0219714</v>
      </c>
      <c r="DM5" s="22" t="n">
        <f aca="false">Costos!DM6</f>
        <v>7278460.0219714</v>
      </c>
      <c r="DN5" s="22" t="n">
        <f aca="false">Costos!DN6</f>
        <v>7278460.0219714</v>
      </c>
      <c r="DO5" s="22" t="n">
        <f aca="false">Costos!DO6</f>
        <v>7278460.0219714</v>
      </c>
      <c r="DP5" s="22" t="n">
        <f aca="false">Costos!DP6</f>
        <v>7278460.0219714</v>
      </c>
      <c r="DQ5" s="22" t="n">
        <f aca="false">Costos!DQ6</f>
        <v>7278460.0219714</v>
      </c>
      <c r="DR5" s="22" t="n">
        <f aca="false">Costos!DR6</f>
        <v>7787952.2235094</v>
      </c>
      <c r="DS5" s="22" t="n">
        <f aca="false">Costos!DS6</f>
        <v>7787952.2235094</v>
      </c>
      <c r="DT5" s="22" t="n">
        <f aca="false">Costos!DT6</f>
        <v>7787952.2235094</v>
      </c>
      <c r="DU5" s="22" t="n">
        <f aca="false">Costos!DU6</f>
        <v>7787952.2235094</v>
      </c>
      <c r="DV5" s="22" t="n">
        <f aca="false">Costos!DV6</f>
        <v>7787952.2235094</v>
      </c>
      <c r="DW5" s="22" t="n">
        <f aca="false">Costos!DW6</f>
        <v>7787952.2235094</v>
      </c>
      <c r="DX5" s="22" t="n">
        <f aca="false">Costos!DX6</f>
        <v>7787952.2235094</v>
      </c>
      <c r="DY5" s="22" t="n">
        <f aca="false">Costos!DY6</f>
        <v>7787952.2235094</v>
      </c>
      <c r="DZ5" s="22" t="n">
        <f aca="false">Costos!DZ6</f>
        <v>7787952.2235094</v>
      </c>
      <c r="EA5" s="22" t="n">
        <f aca="false">Costos!EA6</f>
        <v>7787952.2235094</v>
      </c>
      <c r="EB5" s="22" t="n">
        <f aca="false">Costos!EB6</f>
        <v>7787952.2235094</v>
      </c>
      <c r="EC5" s="22" t="n">
        <f aca="false">Costos!EC6</f>
        <v>7787952.2235094</v>
      </c>
      <c r="ED5" s="22" t="n">
        <f aca="false">Costos!ED6</f>
        <v>8333108.87915505</v>
      </c>
      <c r="EE5" s="22" t="n">
        <f aca="false">Costos!EE6</f>
        <v>8333108.87915505</v>
      </c>
      <c r="EF5" s="22" t="n">
        <f aca="false">Costos!EF6</f>
        <v>8333108.87915505</v>
      </c>
      <c r="EG5" s="22" t="n">
        <f aca="false">Costos!EG6</f>
        <v>8333108.87915505</v>
      </c>
      <c r="EH5" s="22" t="n">
        <f aca="false">Costos!EH6</f>
        <v>8333108.87915505</v>
      </c>
      <c r="EI5" s="22" t="n">
        <f aca="false">Costos!EI6</f>
        <v>8333108.87915505</v>
      </c>
      <c r="EJ5" s="22" t="n">
        <f aca="false">Costos!EJ6</f>
        <v>8333108.87915505</v>
      </c>
      <c r="EK5" s="22" t="n">
        <f aca="false">Costos!EK6</f>
        <v>8333108.87915505</v>
      </c>
      <c r="EL5" s="22" t="n">
        <f aca="false">Costos!EL6</f>
        <v>8333108.87915505</v>
      </c>
      <c r="EM5" s="22" t="n">
        <f aca="false">Costos!EM6</f>
        <v>8333108.87915505</v>
      </c>
      <c r="EN5" s="22" t="n">
        <f aca="false">Costos!EN6</f>
        <v>8333108.87915505</v>
      </c>
      <c r="EO5" s="22" t="n">
        <f aca="false">Costos!EO6</f>
        <v>8333108.87915505</v>
      </c>
      <c r="EP5" s="22" t="n">
        <f aca="false">Costos!EP6</f>
        <v>8916426.50069591</v>
      </c>
      <c r="EQ5" s="22" t="n">
        <f aca="false">Costos!EQ6</f>
        <v>8916426.50069591</v>
      </c>
      <c r="ER5" s="22" t="n">
        <f aca="false">Costos!ER6</f>
        <v>8916426.50069591</v>
      </c>
      <c r="ES5" s="22" t="n">
        <f aca="false">Costos!ES6</f>
        <v>8916426.50069591</v>
      </c>
      <c r="ET5" s="22" t="n">
        <f aca="false">Costos!ET6</f>
        <v>8916426.50069591</v>
      </c>
      <c r="EU5" s="22" t="n">
        <f aca="false">Costos!EU6</f>
        <v>8916426.50069591</v>
      </c>
      <c r="EV5" s="22" t="n">
        <f aca="false">Costos!EV6</f>
        <v>8916426.50069591</v>
      </c>
      <c r="EW5" s="22" t="n">
        <f aca="false">Costos!EW6</f>
        <v>8916426.50069591</v>
      </c>
      <c r="EX5" s="22" t="n">
        <f aca="false">Costos!EX6</f>
        <v>8916426.50069591</v>
      </c>
      <c r="EY5" s="22" t="n">
        <f aca="false">Costos!EY6</f>
        <v>8916426.50069591</v>
      </c>
      <c r="EZ5" s="22" t="n">
        <f aca="false">Costos!EZ6</f>
        <v>8916426.50069591</v>
      </c>
      <c r="FA5" s="22" t="n">
        <f aca="false">Costos!FA6</f>
        <v>8916426.50069591</v>
      </c>
      <c r="FB5" s="22" t="n">
        <f aca="false">Costos!FB6</f>
        <v>9540576.35574462</v>
      </c>
      <c r="FC5" s="22" t="n">
        <f aca="false">Costos!FC6</f>
        <v>9540576.35574462</v>
      </c>
      <c r="FD5" s="22" t="n">
        <f aca="false">Costos!FD6</f>
        <v>9540576.35574462</v>
      </c>
      <c r="FE5" s="22" t="n">
        <f aca="false">Costos!FE6</f>
        <v>9540576.35574462</v>
      </c>
      <c r="FF5" s="22" t="n">
        <f aca="false">Costos!FF6</f>
        <v>9540576.35574462</v>
      </c>
      <c r="FG5" s="22" t="n">
        <f aca="false">Costos!FG6</f>
        <v>9540576.35574462</v>
      </c>
      <c r="FH5" s="22" t="n">
        <f aca="false">Costos!FH6</f>
        <v>9540576.35574462</v>
      </c>
      <c r="FI5" s="22" t="n">
        <f aca="false">Costos!FI6</f>
        <v>9540576.35574462</v>
      </c>
      <c r="FJ5" s="22" t="n">
        <f aca="false">Costos!FJ6</f>
        <v>9540576.35574462</v>
      </c>
      <c r="FK5" s="22" t="n">
        <f aca="false">Costos!FK6</f>
        <v>9540576.35574462</v>
      </c>
      <c r="FL5" s="22" t="n">
        <f aca="false">Costos!FL6</f>
        <v>9540576.35574462</v>
      </c>
      <c r="FM5" s="22" t="n">
        <f aca="false">Costos!FM6</f>
        <v>9540576.35574462</v>
      </c>
      <c r="FN5" s="22" t="n">
        <f aca="false">Costos!FN6</f>
        <v>10208416.7006467</v>
      </c>
      <c r="FO5" s="22" t="n">
        <f aca="false">Costos!FO6</f>
        <v>10208416.7006467</v>
      </c>
      <c r="FP5" s="22" t="n">
        <f aca="false">Costos!FP6</f>
        <v>10208416.7006467</v>
      </c>
      <c r="FQ5" s="22" t="n">
        <f aca="false">Costos!FQ6</f>
        <v>10208416.7006467</v>
      </c>
      <c r="FR5" s="22" t="n">
        <f aca="false">Costos!FR6</f>
        <v>10208416.7006467</v>
      </c>
      <c r="FS5" s="22" t="n">
        <f aca="false">Costos!FS6</f>
        <v>10208416.7006467</v>
      </c>
      <c r="FT5" s="22" t="n">
        <f aca="false">Costos!FT6</f>
        <v>10208416.7006467</v>
      </c>
      <c r="FU5" s="22" t="n">
        <f aca="false">Costos!FU6</f>
        <v>10208416.7006467</v>
      </c>
      <c r="FV5" s="22" t="n">
        <f aca="false">Costos!FV6</f>
        <v>10208416.7006467</v>
      </c>
      <c r="FW5" s="22" t="n">
        <f aca="false">Costos!FW6</f>
        <v>10208416.7006467</v>
      </c>
      <c r="FX5" s="22" t="n">
        <f aca="false">Costos!FX6</f>
        <v>10208416.7006467</v>
      </c>
      <c r="FY5" s="22" t="n">
        <f aca="false">Costos!FY6</f>
        <v>10208416.7006467</v>
      </c>
      <c r="FZ5" s="22" t="n">
        <f aca="false">Costos!FZ6</f>
        <v>10923005.869692</v>
      </c>
      <c r="GA5" s="22" t="n">
        <f aca="false">Costos!GA6</f>
        <v>10923005.869692</v>
      </c>
      <c r="GB5" s="22" t="n">
        <f aca="false">Costos!GB6</f>
        <v>10923005.869692</v>
      </c>
      <c r="GC5" s="22" t="n">
        <f aca="false">Costos!GC6</f>
        <v>10923005.869692</v>
      </c>
      <c r="GD5" s="22" t="n">
        <f aca="false">Costos!GD6</f>
        <v>10923005.869692</v>
      </c>
      <c r="GE5" s="22" t="n">
        <f aca="false">Costos!GE6</f>
        <v>10923005.869692</v>
      </c>
      <c r="GF5" s="22" t="n">
        <f aca="false">Costos!GF6</f>
        <v>10923005.869692</v>
      </c>
      <c r="GG5" s="22" t="n">
        <f aca="false">Costos!GG6</f>
        <v>10923005.869692</v>
      </c>
      <c r="GH5" s="22" t="n">
        <f aca="false">Costos!GH6</f>
        <v>10923005.869692</v>
      </c>
      <c r="GI5" s="22" t="n">
        <f aca="false">Costos!GI6</f>
        <v>10923005.869692</v>
      </c>
      <c r="GJ5" s="22" t="n">
        <f aca="false">Costos!GJ6</f>
        <v>10923005.869692</v>
      </c>
      <c r="GK5" s="22" t="n">
        <f aca="false">Costos!GK6</f>
        <v>10923005.869692</v>
      </c>
      <c r="GL5" s="22" t="n">
        <f aca="false">Costos!GL6</f>
        <v>11687616.2805705</v>
      </c>
      <c r="GM5" s="22" t="n">
        <f aca="false">Costos!GM6</f>
        <v>11687616.2805705</v>
      </c>
      <c r="GN5" s="22" t="n">
        <f aca="false">Costos!GN6</f>
        <v>11687616.2805705</v>
      </c>
      <c r="GO5" s="22" t="n">
        <f aca="false">Costos!GO6</f>
        <v>11687616.2805705</v>
      </c>
      <c r="GP5" s="22" t="n">
        <f aca="false">Costos!GP6</f>
        <v>11687616.2805705</v>
      </c>
      <c r="GQ5" s="22" t="n">
        <f aca="false">Costos!GQ6</f>
        <v>11687616.2805705</v>
      </c>
      <c r="GR5" s="22" t="n">
        <f aca="false">Costos!GR6</f>
        <v>11687616.2805705</v>
      </c>
      <c r="GS5" s="22" t="n">
        <f aca="false">Costos!GS6</f>
        <v>11687616.2805705</v>
      </c>
      <c r="GT5" s="22" t="n">
        <f aca="false">Costos!GT6</f>
        <v>11687616.2805705</v>
      </c>
      <c r="GU5" s="22" t="n">
        <f aca="false">Costos!GU6</f>
        <v>11687616.2805705</v>
      </c>
      <c r="GV5" s="22" t="n">
        <f aca="false">Costos!GV6</f>
        <v>11687616.2805705</v>
      </c>
      <c r="GW5" s="22" t="n">
        <f aca="false">Costos!GW6</f>
        <v>11687616.2805705</v>
      </c>
      <c r="GX5" s="22" t="n">
        <f aca="false">Costos!GX6</f>
        <v>12505749.4202104</v>
      </c>
      <c r="GY5" s="22" t="n">
        <f aca="false">Costos!GY6</f>
        <v>12505749.4202104</v>
      </c>
      <c r="GZ5" s="22" t="n">
        <f aca="false">Costos!GZ6</f>
        <v>12505749.4202104</v>
      </c>
      <c r="HA5" s="22" t="n">
        <f aca="false">Costos!HA6</f>
        <v>12505749.4202104</v>
      </c>
      <c r="HB5" s="22" t="n">
        <f aca="false">Costos!HB6</f>
        <v>12505749.4202104</v>
      </c>
      <c r="HC5" s="22" t="n">
        <f aca="false">Costos!HC6</f>
        <v>12505749.4202104</v>
      </c>
      <c r="HD5" s="22" t="n">
        <f aca="false">Costos!HD6</f>
        <v>12505749.4202104</v>
      </c>
      <c r="HE5" s="22" t="n">
        <f aca="false">Costos!HE6</f>
        <v>12505749.4202104</v>
      </c>
      <c r="HF5" s="22" t="n">
        <f aca="false">Costos!HF6</f>
        <v>12505749.4202104</v>
      </c>
      <c r="HG5" s="22" t="n">
        <f aca="false">Costos!HG6</f>
        <v>12505749.4202104</v>
      </c>
      <c r="HH5" s="22" t="n">
        <f aca="false">Costos!HH6</f>
        <v>12505749.4202104</v>
      </c>
      <c r="HI5" s="22" t="n">
        <f aca="false">Costos!HI6</f>
        <v>12505749.4202104</v>
      </c>
      <c r="HJ5" s="22" t="n">
        <f aca="false">Costos!HJ6</f>
        <v>13381151.8796251</v>
      </c>
      <c r="HK5" s="22" t="n">
        <f aca="false">Costos!HK6</f>
        <v>13381151.8796251</v>
      </c>
      <c r="HL5" s="22" t="n">
        <f aca="false">Costos!HL6</f>
        <v>13381151.8796251</v>
      </c>
      <c r="HM5" s="22" t="n">
        <f aca="false">Costos!HM6</f>
        <v>13381151.8796251</v>
      </c>
      <c r="HN5" s="22" t="n">
        <f aca="false">Costos!HN6</f>
        <v>13381151.8796251</v>
      </c>
      <c r="HO5" s="22" t="n">
        <f aca="false">Costos!HO6</f>
        <v>13381151.8796251</v>
      </c>
      <c r="HP5" s="22" t="n">
        <f aca="false">Costos!HP6</f>
        <v>13381151.8796251</v>
      </c>
      <c r="HQ5" s="22" t="n">
        <f aca="false">Costos!HQ6</f>
        <v>13381151.8796251</v>
      </c>
      <c r="HR5" s="22" t="n">
        <f aca="false">Costos!HR6</f>
        <v>13381151.8796251</v>
      </c>
      <c r="HS5" s="22" t="n">
        <f aca="false">Costos!HS6</f>
        <v>13381151.8796251</v>
      </c>
      <c r="HT5" s="22" t="n">
        <f aca="false">Costos!HT6</f>
        <v>13381151.8796251</v>
      </c>
      <c r="HU5" s="22" t="n">
        <f aca="false">Costos!HU6</f>
        <v>13381151.8796251</v>
      </c>
      <c r="HV5" s="22" t="n">
        <f aca="false">Costos!HV6</f>
        <v>14317832.5111989</v>
      </c>
      <c r="HW5" s="22" t="n">
        <f aca="false">Costos!HW6</f>
        <v>14317832.5111989</v>
      </c>
      <c r="HX5" s="22" t="n">
        <f aca="false">Costos!HX6</f>
        <v>14317832.5111989</v>
      </c>
      <c r="HY5" s="22" t="n">
        <f aca="false">Costos!HY6</f>
        <v>14317832.5111989</v>
      </c>
      <c r="HZ5" s="22" t="n">
        <f aca="false">Costos!HZ6</f>
        <v>14317832.5111989</v>
      </c>
      <c r="IA5" s="22" t="n">
        <f aca="false">Costos!IA6</f>
        <v>14317832.5111989</v>
      </c>
      <c r="IB5" s="22" t="n">
        <f aca="false">Costos!IB6</f>
        <v>14317832.5111989</v>
      </c>
      <c r="IC5" s="22" t="n">
        <f aca="false">Costos!IC6</f>
        <v>14317832.5111989</v>
      </c>
      <c r="ID5" s="22" t="n">
        <f aca="false">Costos!ID6</f>
        <v>14317832.5111989</v>
      </c>
      <c r="IE5" s="22" t="n">
        <f aca="false">Costos!IE6</f>
        <v>14317832.5111989</v>
      </c>
      <c r="IF5" s="22" t="n">
        <f aca="false">Costos!IF6</f>
        <v>14317832.5111989</v>
      </c>
      <c r="IG5" s="22" t="n">
        <f aca="false">Costos!IG6</f>
        <v>14317832.5111989</v>
      </c>
      <c r="IH5" s="22" t="n">
        <f aca="false">Costos!IH6</f>
        <v>15320080.7869828</v>
      </c>
      <c r="II5" s="22" t="n">
        <f aca="false">Costos!II6</f>
        <v>15320080.7869828</v>
      </c>
      <c r="IJ5" s="22" t="n">
        <f aca="false">Costos!IJ6</f>
        <v>15320080.7869828</v>
      </c>
      <c r="IK5" s="22" t="n">
        <f aca="false">Costos!IK6</f>
        <v>15320080.7869828</v>
      </c>
      <c r="IL5" s="22" t="n">
        <f aca="false">Costos!IL6</f>
        <v>15320080.7869828</v>
      </c>
      <c r="IM5" s="22" t="n">
        <f aca="false">Costos!IM6</f>
        <v>15320080.7869828</v>
      </c>
      <c r="IN5" s="22" t="n">
        <f aca="false">Costos!IN6</f>
        <v>15320080.7869828</v>
      </c>
      <c r="IO5" s="22" t="n">
        <f aca="false">Costos!IO6</f>
        <v>15320080.7869828</v>
      </c>
      <c r="IP5" s="22" t="n">
        <f aca="false">Costos!IP6</f>
        <v>15320080.7869828</v>
      </c>
      <c r="IQ5" s="22" t="n">
        <f aca="false">Costos!IQ6</f>
        <v>15320080.7869828</v>
      </c>
      <c r="IR5" s="22" t="n">
        <f aca="false">Costos!IR6</f>
        <v>15320080.7869828</v>
      </c>
      <c r="IS5" s="22" t="n">
        <f aca="false">Costos!IS6</f>
        <v>15320080.7869828</v>
      </c>
      <c r="IT5" s="22" t="n">
        <f aca="false">Costos!IT6</f>
        <v>16392486.4420716</v>
      </c>
      <c r="IU5" s="22" t="n">
        <f aca="false">Costos!IU6</f>
        <v>16392486.4420716</v>
      </c>
      <c r="IV5" s="22" t="n">
        <f aca="false">Costos!IV6</f>
        <v>16392486.4420716</v>
      </c>
      <c r="IW5" s="22" t="n">
        <f aca="false">Costos!IW6</f>
        <v>16392486.4420716</v>
      </c>
      <c r="IX5" s="22" t="n">
        <f aca="false">Costos!IX6</f>
        <v>16392486.4420716</v>
      </c>
      <c r="IY5" s="22" t="n">
        <f aca="false">Costos!IY6</f>
        <v>16392486.4420716</v>
      </c>
      <c r="IZ5" s="22" t="n">
        <f aca="false">Costos!IZ6</f>
        <v>16392486.4420716</v>
      </c>
      <c r="JA5" s="22" t="n">
        <f aca="false">Costos!JA6</f>
        <v>16392486.4420716</v>
      </c>
      <c r="JB5" s="22" t="n">
        <f aca="false">Costos!JB6</f>
        <v>16392486.4420716</v>
      </c>
      <c r="JC5" s="22" t="n">
        <f aca="false">Costos!JC6</f>
        <v>16392486.4420716</v>
      </c>
      <c r="JD5" s="22" t="n">
        <f aca="false">Costos!JD6</f>
        <v>16392486.4420716</v>
      </c>
      <c r="JE5" s="22" t="n">
        <f aca="false">Costos!JE6</f>
        <v>16392486.4420716</v>
      </c>
      <c r="JF5" s="22" t="n">
        <f aca="false">Costos!JF6</f>
        <v>17539960.4930166</v>
      </c>
      <c r="JG5" s="22" t="n">
        <f aca="false">Costos!JG6</f>
        <v>17539960.4930166</v>
      </c>
      <c r="JH5" s="22" t="n">
        <f aca="false">Costos!JH6</f>
        <v>17539960.4930166</v>
      </c>
      <c r="JI5" s="22" t="n">
        <f aca="false">Costos!JI6</f>
        <v>17539960.4930166</v>
      </c>
      <c r="JJ5" s="22" t="n">
        <f aca="false">Costos!JJ6</f>
        <v>17539960.4930166</v>
      </c>
      <c r="JK5" s="22" t="n">
        <f aca="false">Costos!JK6</f>
        <v>17539960.4930166</v>
      </c>
      <c r="JL5" s="22" t="n">
        <f aca="false">Costos!JL6</f>
        <v>17539960.4930166</v>
      </c>
      <c r="JM5" s="22" t="n">
        <f aca="false">Costos!JM6</f>
        <v>17539960.4930166</v>
      </c>
      <c r="JN5" s="22" t="n">
        <f aca="false">Costos!JN6</f>
        <v>17539960.4930166</v>
      </c>
      <c r="JO5" s="22" t="n">
        <f aca="false">Costos!JO6</f>
        <v>17539960.4930166</v>
      </c>
      <c r="JP5" s="22" t="n">
        <f aca="false">Costos!JP6</f>
        <v>17539960.4930166</v>
      </c>
      <c r="JQ5" s="22" t="n">
        <f aca="false">Costos!JQ6</f>
        <v>17539960.4930166</v>
      </c>
      <c r="JR5" s="22" t="n">
        <f aca="false">Costos!JR6</f>
        <v>18767757.7275278</v>
      </c>
      <c r="JS5" s="22" t="n">
        <f aca="false">Costos!JS6</f>
        <v>18767757.7275278</v>
      </c>
      <c r="JT5" s="22" t="n">
        <f aca="false">Costos!JT6</f>
        <v>18767757.7275278</v>
      </c>
      <c r="JU5" s="22" t="n">
        <f aca="false">Costos!JU6</f>
        <v>18767757.7275278</v>
      </c>
      <c r="JV5" s="22" t="n">
        <f aca="false">Costos!JV6</f>
        <v>18767757.7275278</v>
      </c>
      <c r="JW5" s="22" t="n">
        <f aca="false">Costos!JW6</f>
        <v>18767757.7275278</v>
      </c>
      <c r="JX5" s="22" t="n">
        <f aca="false">Costos!JX6</f>
        <v>18767757.7275278</v>
      </c>
      <c r="JY5" s="22" t="n">
        <f aca="false">Costos!JY6</f>
        <v>18767757.7275278</v>
      </c>
      <c r="JZ5" s="22" t="n">
        <f aca="false">Costos!JZ6</f>
        <v>18767757.7275278</v>
      </c>
      <c r="KA5" s="22" t="n">
        <f aca="false">Costos!KA6</f>
        <v>18767757.7275278</v>
      </c>
      <c r="KB5" s="22" t="n">
        <f aca="false">Costos!KB6</f>
        <v>18767757.7275278</v>
      </c>
      <c r="KC5" s="22" t="n">
        <f aca="false">Costos!KC6</f>
        <v>18767757.7275278</v>
      </c>
      <c r="KD5" s="22" t="n">
        <f aca="false">Costos!KD6</f>
        <v>20081500.7684547</v>
      </c>
      <c r="KE5" s="22" t="n">
        <f aca="false">Costos!KE6</f>
        <v>20081500.7684547</v>
      </c>
      <c r="KF5" s="22" t="n">
        <f aca="false">Costos!KF6</f>
        <v>20081500.7684547</v>
      </c>
      <c r="KG5" s="22" t="n">
        <f aca="false">Costos!KG6</f>
        <v>20081500.7684547</v>
      </c>
      <c r="KH5" s="22" t="n">
        <f aca="false">Costos!KH6</f>
        <v>20081500.7684547</v>
      </c>
      <c r="KI5" s="22" t="n">
        <f aca="false">Costos!KI6</f>
        <v>20081500.7684547</v>
      </c>
      <c r="KJ5" s="22" t="n">
        <f aca="false">Costos!KJ6</f>
        <v>20081500.7684547</v>
      </c>
      <c r="KK5" s="22" t="n">
        <f aca="false">Costos!KK6</f>
        <v>20081500.7684547</v>
      </c>
      <c r="KL5" s="22" t="n">
        <f aca="false">Costos!KL6</f>
        <v>20081500.7684547</v>
      </c>
      <c r="KM5" s="22" t="n">
        <f aca="false">Costos!KM6</f>
        <v>20081500.7684547</v>
      </c>
      <c r="KN5" s="22" t="n">
        <f aca="false">Costos!KN6</f>
        <v>20081500.7684547</v>
      </c>
      <c r="KO5" s="22" t="n">
        <f aca="false">Costos!KO6</f>
        <v>20081500.7684547</v>
      </c>
    </row>
    <row r="6" customFormat="false" ht="14.25" hidden="false" customHeight="false" outlineLevel="0" collapsed="false">
      <c r="A6" s="14" t="s">
        <v>396</v>
      </c>
      <c r="B6" s="18" t="n">
        <f aca="false">B4-B5</f>
        <v>6741000</v>
      </c>
      <c r="C6" s="18" t="n">
        <f aca="false">C4-C5</f>
        <v>6741000</v>
      </c>
      <c r="D6" s="18" t="n">
        <f aca="false">D4-D5</f>
        <v>6741000</v>
      </c>
      <c r="E6" s="18" t="n">
        <f aca="false">E4-E5</f>
        <v>6741000</v>
      </c>
      <c r="F6" s="18" t="n">
        <f aca="false">F4-F5</f>
        <v>6741000</v>
      </c>
      <c r="G6" s="18" t="n">
        <f aca="false">G4-G5</f>
        <v>6741000</v>
      </c>
      <c r="H6" s="18" t="n">
        <f aca="false">H4-H5</f>
        <v>6741000</v>
      </c>
      <c r="I6" s="18" t="n">
        <f aca="false">I4-I5</f>
        <v>6741000</v>
      </c>
      <c r="J6" s="18" t="n">
        <f aca="false">J4-J5</f>
        <v>6741000</v>
      </c>
      <c r="K6" s="18" t="n">
        <f aca="false">K4-K5</f>
        <v>6741000</v>
      </c>
      <c r="L6" s="18" t="n">
        <f aca="false">L4-L5</f>
        <v>6741000</v>
      </c>
      <c r="M6" s="18" t="n">
        <f aca="false">M4-M5</f>
        <v>6741000</v>
      </c>
      <c r="N6" s="18" t="n">
        <f aca="false">N4-N5</f>
        <v>7212870</v>
      </c>
      <c r="O6" s="18" t="n">
        <f aca="false">O4-O5</f>
        <v>7212870</v>
      </c>
      <c r="P6" s="18" t="n">
        <f aca="false">P4-P5</f>
        <v>7212870</v>
      </c>
      <c r="Q6" s="18" t="n">
        <f aca="false">Q4-Q5</f>
        <v>7212870</v>
      </c>
      <c r="R6" s="18" t="n">
        <f aca="false">R4-R5</f>
        <v>7212870</v>
      </c>
      <c r="S6" s="18" t="n">
        <f aca="false">S4-S5</f>
        <v>7212870</v>
      </c>
      <c r="T6" s="18" t="n">
        <f aca="false">T4-T5</f>
        <v>7212870</v>
      </c>
      <c r="U6" s="18" t="n">
        <f aca="false">U4-U5</f>
        <v>7212870</v>
      </c>
      <c r="V6" s="18" t="n">
        <f aca="false">V4-V5</f>
        <v>7212870</v>
      </c>
      <c r="W6" s="18" t="n">
        <f aca="false">W4-W5</f>
        <v>7212870</v>
      </c>
      <c r="X6" s="18" t="n">
        <f aca="false">X4-X5</f>
        <v>7212870</v>
      </c>
      <c r="Y6" s="18" t="n">
        <f aca="false">Y4-Y5</f>
        <v>7212870</v>
      </c>
      <c r="Z6" s="18" t="n">
        <f aca="false">Z4-Z5</f>
        <v>7717770.9</v>
      </c>
      <c r="AA6" s="18" t="n">
        <f aca="false">AA4-AA5</f>
        <v>7717770.9</v>
      </c>
      <c r="AB6" s="18" t="n">
        <f aca="false">AB4-AB5</f>
        <v>7717770.9</v>
      </c>
      <c r="AC6" s="18" t="n">
        <f aca="false">AC4-AC5</f>
        <v>7717770.9</v>
      </c>
      <c r="AD6" s="18" t="n">
        <f aca="false">AD4-AD5</f>
        <v>7717770.9</v>
      </c>
      <c r="AE6" s="18" t="n">
        <f aca="false">AE4-AE5</f>
        <v>7717770.9</v>
      </c>
      <c r="AF6" s="18" t="n">
        <f aca="false">AF4-AF5</f>
        <v>7717770.9</v>
      </c>
      <c r="AG6" s="18" t="n">
        <f aca="false">AG4-AG5</f>
        <v>7717770.9</v>
      </c>
      <c r="AH6" s="18" t="n">
        <f aca="false">AH4-AH5</f>
        <v>7717770.9</v>
      </c>
      <c r="AI6" s="18" t="n">
        <f aca="false">AI4-AI5</f>
        <v>7717770.9</v>
      </c>
      <c r="AJ6" s="18" t="n">
        <f aca="false">AJ4-AJ5</f>
        <v>7717770.9</v>
      </c>
      <c r="AK6" s="18" t="n">
        <f aca="false">AK4-AK5</f>
        <v>7717770.9</v>
      </c>
      <c r="AL6" s="18" t="n">
        <f aca="false">AL4-AL5</f>
        <v>8258014.863</v>
      </c>
      <c r="AM6" s="18" t="n">
        <f aca="false">AM4-AM5</f>
        <v>8258014.863</v>
      </c>
      <c r="AN6" s="18" t="n">
        <f aca="false">AN4-AN5</f>
        <v>8258014.863</v>
      </c>
      <c r="AO6" s="18" t="n">
        <f aca="false">AO4-AO5</f>
        <v>8258014.863</v>
      </c>
      <c r="AP6" s="18" t="n">
        <f aca="false">AP4-AP5</f>
        <v>8258014.863</v>
      </c>
      <c r="AQ6" s="18" t="n">
        <f aca="false">AQ4-AQ5</f>
        <v>8258014.863</v>
      </c>
      <c r="AR6" s="18" t="n">
        <f aca="false">AR4-AR5</f>
        <v>8258014.863</v>
      </c>
      <c r="AS6" s="18" t="n">
        <f aca="false">AS4-AS5</f>
        <v>8258014.863</v>
      </c>
      <c r="AT6" s="18" t="n">
        <f aca="false">AT4-AT5</f>
        <v>8258014.863</v>
      </c>
      <c r="AU6" s="18" t="n">
        <f aca="false">AU4-AU5</f>
        <v>8258014.863</v>
      </c>
      <c r="AV6" s="18" t="n">
        <f aca="false">AV4-AV5</f>
        <v>8258014.863</v>
      </c>
      <c r="AW6" s="18" t="n">
        <f aca="false">AW4-AW5</f>
        <v>8258014.863</v>
      </c>
      <c r="AX6" s="18" t="n">
        <f aca="false">AX4-AX5</f>
        <v>8836075.90341</v>
      </c>
      <c r="AY6" s="18" t="n">
        <f aca="false">AY4-AY5</f>
        <v>8836075.90341</v>
      </c>
      <c r="AZ6" s="18" t="n">
        <f aca="false">AZ4-AZ5</f>
        <v>8836075.90341</v>
      </c>
      <c r="BA6" s="18" t="n">
        <f aca="false">BA4-BA5</f>
        <v>8836075.90341</v>
      </c>
      <c r="BB6" s="18" t="n">
        <f aca="false">BB4-BB5</f>
        <v>8836075.90341</v>
      </c>
      <c r="BC6" s="18" t="n">
        <f aca="false">BC4-BC5</f>
        <v>8836075.90341</v>
      </c>
      <c r="BD6" s="18" t="n">
        <f aca="false">BD4-BD5</f>
        <v>8836075.90341</v>
      </c>
      <c r="BE6" s="18" t="n">
        <f aca="false">BE4-BE5</f>
        <v>8836075.90341</v>
      </c>
      <c r="BF6" s="18" t="n">
        <f aca="false">BF4-BF5</f>
        <v>8836075.90341</v>
      </c>
      <c r="BG6" s="18" t="n">
        <f aca="false">BG4-BG5</f>
        <v>8836075.90341</v>
      </c>
      <c r="BH6" s="18" t="n">
        <f aca="false">BH4-BH5</f>
        <v>8836075.90341</v>
      </c>
      <c r="BI6" s="18" t="n">
        <f aca="false">BI4-BI5</f>
        <v>8836075.90341</v>
      </c>
      <c r="BJ6" s="18" t="n">
        <f aca="false">BJ4-BJ5</f>
        <v>9454601.2166487</v>
      </c>
      <c r="BK6" s="18" t="n">
        <f aca="false">BK4-BK5</f>
        <v>9454601.2166487</v>
      </c>
      <c r="BL6" s="18" t="n">
        <f aca="false">BL4-BL5</f>
        <v>9454601.2166487</v>
      </c>
      <c r="BM6" s="18" t="n">
        <f aca="false">BM4-BM5</f>
        <v>9454601.2166487</v>
      </c>
      <c r="BN6" s="18" t="n">
        <f aca="false">BN4-BN5</f>
        <v>9454601.2166487</v>
      </c>
      <c r="BO6" s="18" t="n">
        <f aca="false">BO4-BO5</f>
        <v>9454601.2166487</v>
      </c>
      <c r="BP6" s="18" t="n">
        <f aca="false">BP4-BP5</f>
        <v>9454601.2166487</v>
      </c>
      <c r="BQ6" s="18" t="n">
        <f aca="false">BQ4-BQ5</f>
        <v>9454601.2166487</v>
      </c>
      <c r="BR6" s="18" t="n">
        <f aca="false">BR4-BR5</f>
        <v>9454601.2166487</v>
      </c>
      <c r="BS6" s="18" t="n">
        <f aca="false">BS4-BS5</f>
        <v>9454601.2166487</v>
      </c>
      <c r="BT6" s="18" t="n">
        <f aca="false">BT4-BT5</f>
        <v>9454601.2166487</v>
      </c>
      <c r="BU6" s="18" t="n">
        <f aca="false">BU4-BU5</f>
        <v>9454601.2166487</v>
      </c>
      <c r="BV6" s="18" t="n">
        <f aca="false">BV4-BV5</f>
        <v>10116423.3018141</v>
      </c>
      <c r="BW6" s="18" t="n">
        <f aca="false">BW4-BW5</f>
        <v>10116423.3018141</v>
      </c>
      <c r="BX6" s="18" t="n">
        <f aca="false">BX4-BX5</f>
        <v>10116423.3018141</v>
      </c>
      <c r="BY6" s="18" t="n">
        <f aca="false">BY4-BY5</f>
        <v>10116423.3018141</v>
      </c>
      <c r="BZ6" s="18" t="n">
        <f aca="false">BZ4-BZ5</f>
        <v>10116423.3018141</v>
      </c>
      <c r="CA6" s="18" t="n">
        <f aca="false">CA4-CA5</f>
        <v>10116423.3018141</v>
      </c>
      <c r="CB6" s="18" t="n">
        <f aca="false">CB4-CB5</f>
        <v>10116423.3018141</v>
      </c>
      <c r="CC6" s="18" t="n">
        <f aca="false">CC4-CC5</f>
        <v>10116423.3018141</v>
      </c>
      <c r="CD6" s="18" t="n">
        <f aca="false">CD4-CD5</f>
        <v>10116423.3018141</v>
      </c>
      <c r="CE6" s="18" t="n">
        <f aca="false">CE4-CE5</f>
        <v>10116423.3018141</v>
      </c>
      <c r="CF6" s="18" t="n">
        <f aca="false">CF4-CF5</f>
        <v>10116423.3018141</v>
      </c>
      <c r="CG6" s="18" t="n">
        <f aca="false">CG4-CG5</f>
        <v>10116423.3018141</v>
      </c>
      <c r="CH6" s="18" t="n">
        <f aca="false">CH4-CH5</f>
        <v>10824572.9329411</v>
      </c>
      <c r="CI6" s="18" t="n">
        <f aca="false">CI4-CI5</f>
        <v>10824572.9329411</v>
      </c>
      <c r="CJ6" s="18" t="n">
        <f aca="false">CJ4-CJ5</f>
        <v>10824572.9329411</v>
      </c>
      <c r="CK6" s="18" t="n">
        <f aca="false">CK4-CK5</f>
        <v>10824572.9329411</v>
      </c>
      <c r="CL6" s="18" t="n">
        <f aca="false">CL4-CL5</f>
        <v>10824572.9329411</v>
      </c>
      <c r="CM6" s="18" t="n">
        <f aca="false">CM4-CM5</f>
        <v>10824572.9329411</v>
      </c>
      <c r="CN6" s="18" t="n">
        <f aca="false">CN4-CN5</f>
        <v>10824572.9329411</v>
      </c>
      <c r="CO6" s="18" t="n">
        <f aca="false">CO4-CO5</f>
        <v>10824572.9329411</v>
      </c>
      <c r="CP6" s="18" t="n">
        <f aca="false">CP4-CP5</f>
        <v>10824572.9329411</v>
      </c>
      <c r="CQ6" s="18" t="n">
        <f aca="false">CQ4-CQ5</f>
        <v>10824572.9329411</v>
      </c>
      <c r="CR6" s="18" t="n">
        <f aca="false">CR4-CR5</f>
        <v>10824572.9329411</v>
      </c>
      <c r="CS6" s="18" t="n">
        <f aca="false">CS4-CS5</f>
        <v>10824572.9329411</v>
      </c>
      <c r="CT6" s="18" t="n">
        <f aca="false">CT4-CT5</f>
        <v>11582293.038247</v>
      </c>
      <c r="CU6" s="18" t="n">
        <f aca="false">CU4-CU5</f>
        <v>11582293.038247</v>
      </c>
      <c r="CV6" s="18" t="n">
        <f aca="false">CV4-CV5</f>
        <v>11582293.038247</v>
      </c>
      <c r="CW6" s="18" t="n">
        <f aca="false">CW4-CW5</f>
        <v>11582293.038247</v>
      </c>
      <c r="CX6" s="18" t="n">
        <f aca="false">CX4-CX5</f>
        <v>11582293.038247</v>
      </c>
      <c r="CY6" s="18" t="n">
        <f aca="false">CY4-CY5</f>
        <v>11582293.038247</v>
      </c>
      <c r="CZ6" s="18" t="n">
        <f aca="false">CZ4-CZ5</f>
        <v>11582293.038247</v>
      </c>
      <c r="DA6" s="18" t="n">
        <f aca="false">DA4-DA5</f>
        <v>11582293.038247</v>
      </c>
      <c r="DB6" s="18" t="n">
        <f aca="false">DB4-DB5</f>
        <v>11582293.038247</v>
      </c>
      <c r="DC6" s="18" t="n">
        <f aca="false">DC4-DC5</f>
        <v>11582293.038247</v>
      </c>
      <c r="DD6" s="18" t="n">
        <f aca="false">DD4-DD5</f>
        <v>11582293.038247</v>
      </c>
      <c r="DE6" s="18" t="n">
        <f aca="false">DE4-DE5</f>
        <v>11582293.038247</v>
      </c>
      <c r="DF6" s="18" t="n">
        <f aca="false">DF4-DF5</f>
        <v>12393053.5509243</v>
      </c>
      <c r="DG6" s="18" t="n">
        <f aca="false">DG4-DG5</f>
        <v>12393053.5509243</v>
      </c>
      <c r="DH6" s="18" t="n">
        <f aca="false">DH4-DH5</f>
        <v>12393053.5509243</v>
      </c>
      <c r="DI6" s="18" t="n">
        <f aca="false">DI4-DI5</f>
        <v>12393053.5509243</v>
      </c>
      <c r="DJ6" s="18" t="n">
        <f aca="false">DJ4-DJ5</f>
        <v>12393053.5509243</v>
      </c>
      <c r="DK6" s="18" t="n">
        <f aca="false">DK4-DK5</f>
        <v>12393053.5509243</v>
      </c>
      <c r="DL6" s="18" t="n">
        <f aca="false">DL4-DL5</f>
        <v>12393053.5509243</v>
      </c>
      <c r="DM6" s="18" t="n">
        <f aca="false">DM4-DM5</f>
        <v>12393053.5509243</v>
      </c>
      <c r="DN6" s="18" t="n">
        <f aca="false">DN4-DN5</f>
        <v>12393053.5509243</v>
      </c>
      <c r="DO6" s="18" t="n">
        <f aca="false">DO4-DO5</f>
        <v>12393053.5509243</v>
      </c>
      <c r="DP6" s="18" t="n">
        <f aca="false">DP4-DP5</f>
        <v>12393053.5509243</v>
      </c>
      <c r="DQ6" s="18" t="n">
        <f aca="false">DQ4-DQ5</f>
        <v>12393053.5509243</v>
      </c>
      <c r="DR6" s="18" t="n">
        <f aca="false">DR4-DR5</f>
        <v>13260567.299489</v>
      </c>
      <c r="DS6" s="18" t="n">
        <f aca="false">DS4-DS5</f>
        <v>13260567.299489</v>
      </c>
      <c r="DT6" s="18" t="n">
        <f aca="false">DT4-DT5</f>
        <v>13260567.299489</v>
      </c>
      <c r="DU6" s="18" t="n">
        <f aca="false">DU4-DU5</f>
        <v>13260567.299489</v>
      </c>
      <c r="DV6" s="18" t="n">
        <f aca="false">DV4-DV5</f>
        <v>13260567.299489</v>
      </c>
      <c r="DW6" s="18" t="n">
        <f aca="false">DW4-DW5</f>
        <v>13260567.299489</v>
      </c>
      <c r="DX6" s="18" t="n">
        <f aca="false">DX4-DX5</f>
        <v>13260567.299489</v>
      </c>
      <c r="DY6" s="18" t="n">
        <f aca="false">DY4-DY5</f>
        <v>13260567.299489</v>
      </c>
      <c r="DZ6" s="18" t="n">
        <f aca="false">DZ4-DZ5</f>
        <v>13260567.299489</v>
      </c>
      <c r="EA6" s="18" t="n">
        <f aca="false">EA4-EA5</f>
        <v>13260567.299489</v>
      </c>
      <c r="EB6" s="18" t="n">
        <f aca="false">EB4-EB5</f>
        <v>13260567.299489</v>
      </c>
      <c r="EC6" s="18" t="n">
        <f aca="false">EC4-EC5</f>
        <v>13260567.299489</v>
      </c>
      <c r="ED6" s="18" t="n">
        <f aca="false">ED4-ED5</f>
        <v>14188807.0104532</v>
      </c>
      <c r="EE6" s="18" t="n">
        <f aca="false">EE4-EE5</f>
        <v>14188807.0104532</v>
      </c>
      <c r="EF6" s="18" t="n">
        <f aca="false">EF4-EF5</f>
        <v>14188807.0104532</v>
      </c>
      <c r="EG6" s="18" t="n">
        <f aca="false">EG4-EG5</f>
        <v>14188807.0104532</v>
      </c>
      <c r="EH6" s="18" t="n">
        <f aca="false">EH4-EH5</f>
        <v>14188807.0104532</v>
      </c>
      <c r="EI6" s="18" t="n">
        <f aca="false">EI4-EI5</f>
        <v>14188807.0104532</v>
      </c>
      <c r="EJ6" s="18" t="n">
        <f aca="false">EJ4-EJ5</f>
        <v>14188807.0104532</v>
      </c>
      <c r="EK6" s="18" t="n">
        <f aca="false">EK4-EK5</f>
        <v>14188807.0104532</v>
      </c>
      <c r="EL6" s="18" t="n">
        <f aca="false">EL4-EL5</f>
        <v>14188807.0104532</v>
      </c>
      <c r="EM6" s="18" t="n">
        <f aca="false">EM4-EM5</f>
        <v>14188807.0104532</v>
      </c>
      <c r="EN6" s="18" t="n">
        <f aca="false">EN4-EN5</f>
        <v>14188807.0104532</v>
      </c>
      <c r="EO6" s="18" t="n">
        <f aca="false">EO4-EO5</f>
        <v>14188807.0104532</v>
      </c>
      <c r="EP6" s="18" t="n">
        <f aca="false">EP4-EP5</f>
        <v>15182023.5011849</v>
      </c>
      <c r="EQ6" s="18" t="n">
        <f aca="false">EQ4-EQ5</f>
        <v>15182023.5011849</v>
      </c>
      <c r="ER6" s="18" t="n">
        <f aca="false">ER4-ER5</f>
        <v>15182023.5011849</v>
      </c>
      <c r="ES6" s="18" t="n">
        <f aca="false">ES4-ES5</f>
        <v>15182023.5011849</v>
      </c>
      <c r="ET6" s="18" t="n">
        <f aca="false">ET4-ET5</f>
        <v>15182023.5011849</v>
      </c>
      <c r="EU6" s="18" t="n">
        <f aca="false">EU4-EU5</f>
        <v>15182023.5011849</v>
      </c>
      <c r="EV6" s="18" t="n">
        <f aca="false">EV4-EV5</f>
        <v>15182023.5011849</v>
      </c>
      <c r="EW6" s="18" t="n">
        <f aca="false">EW4-EW5</f>
        <v>15182023.5011849</v>
      </c>
      <c r="EX6" s="18" t="n">
        <f aca="false">EX4-EX5</f>
        <v>15182023.5011849</v>
      </c>
      <c r="EY6" s="18" t="n">
        <f aca="false">EY4-EY5</f>
        <v>15182023.5011849</v>
      </c>
      <c r="EZ6" s="18" t="n">
        <f aca="false">EZ4-EZ5</f>
        <v>15182023.5011849</v>
      </c>
      <c r="FA6" s="18" t="n">
        <f aca="false">FA4-FA5</f>
        <v>15182023.5011849</v>
      </c>
      <c r="FB6" s="18" t="n">
        <f aca="false">FB4-FB5</f>
        <v>16244765.1462679</v>
      </c>
      <c r="FC6" s="18" t="n">
        <f aca="false">FC4-FC5</f>
        <v>16244765.1462679</v>
      </c>
      <c r="FD6" s="18" t="n">
        <f aca="false">FD4-FD5</f>
        <v>16244765.1462679</v>
      </c>
      <c r="FE6" s="18" t="n">
        <f aca="false">FE4-FE5</f>
        <v>16244765.1462679</v>
      </c>
      <c r="FF6" s="18" t="n">
        <f aca="false">FF4-FF5</f>
        <v>16244765.1462679</v>
      </c>
      <c r="FG6" s="18" t="n">
        <f aca="false">FG4-FG5</f>
        <v>16244765.1462679</v>
      </c>
      <c r="FH6" s="18" t="n">
        <f aca="false">FH4-FH5</f>
        <v>16244765.1462679</v>
      </c>
      <c r="FI6" s="18" t="n">
        <f aca="false">FI4-FI5</f>
        <v>16244765.1462679</v>
      </c>
      <c r="FJ6" s="18" t="n">
        <f aca="false">FJ4-FJ5</f>
        <v>16244765.1462679</v>
      </c>
      <c r="FK6" s="18" t="n">
        <f aca="false">FK4-FK5</f>
        <v>16244765.1462679</v>
      </c>
      <c r="FL6" s="18" t="n">
        <f aca="false">FL4-FL5</f>
        <v>16244765.1462679</v>
      </c>
      <c r="FM6" s="18" t="n">
        <f aca="false">FM4-FM5</f>
        <v>16244765.1462679</v>
      </c>
      <c r="FN6" s="18" t="n">
        <f aca="false">FN4-FN5</f>
        <v>17381898.7065066</v>
      </c>
      <c r="FO6" s="18" t="n">
        <f aca="false">FO4-FO5</f>
        <v>17381898.7065066</v>
      </c>
      <c r="FP6" s="18" t="n">
        <f aca="false">FP4-FP5</f>
        <v>17381898.7065066</v>
      </c>
      <c r="FQ6" s="18" t="n">
        <f aca="false">FQ4-FQ5</f>
        <v>17381898.7065066</v>
      </c>
      <c r="FR6" s="18" t="n">
        <f aca="false">FR4-FR5</f>
        <v>17381898.7065066</v>
      </c>
      <c r="FS6" s="18" t="n">
        <f aca="false">FS4-FS5</f>
        <v>17381898.7065066</v>
      </c>
      <c r="FT6" s="18" t="n">
        <f aca="false">FT4-FT5</f>
        <v>17381898.7065066</v>
      </c>
      <c r="FU6" s="18" t="n">
        <f aca="false">FU4-FU5</f>
        <v>17381898.7065066</v>
      </c>
      <c r="FV6" s="18" t="n">
        <f aca="false">FV4-FV5</f>
        <v>17381898.7065066</v>
      </c>
      <c r="FW6" s="18" t="n">
        <f aca="false">FW4-FW5</f>
        <v>17381898.7065066</v>
      </c>
      <c r="FX6" s="18" t="n">
        <f aca="false">FX4-FX5</f>
        <v>17381898.7065066</v>
      </c>
      <c r="FY6" s="18" t="n">
        <f aca="false">FY4-FY5</f>
        <v>17381898.7065066</v>
      </c>
      <c r="FZ6" s="18" t="n">
        <f aca="false">FZ4-FZ5</f>
        <v>18598631.6159621</v>
      </c>
      <c r="GA6" s="18" t="n">
        <f aca="false">GA4-GA5</f>
        <v>18598631.6159621</v>
      </c>
      <c r="GB6" s="18" t="n">
        <f aca="false">GB4-GB5</f>
        <v>18598631.6159621</v>
      </c>
      <c r="GC6" s="18" t="n">
        <f aca="false">GC4-GC5</f>
        <v>18598631.6159621</v>
      </c>
      <c r="GD6" s="18" t="n">
        <f aca="false">GD4-GD5</f>
        <v>18598631.6159621</v>
      </c>
      <c r="GE6" s="18" t="n">
        <f aca="false">GE4-GE5</f>
        <v>18598631.6159621</v>
      </c>
      <c r="GF6" s="18" t="n">
        <f aca="false">GF4-GF5</f>
        <v>18598631.6159621</v>
      </c>
      <c r="GG6" s="18" t="n">
        <f aca="false">GG4-GG5</f>
        <v>18598631.6159621</v>
      </c>
      <c r="GH6" s="18" t="n">
        <f aca="false">GH4-GH5</f>
        <v>18598631.6159621</v>
      </c>
      <c r="GI6" s="18" t="n">
        <f aca="false">GI4-GI5</f>
        <v>18598631.6159621</v>
      </c>
      <c r="GJ6" s="18" t="n">
        <f aca="false">GJ4-GJ5</f>
        <v>18598631.6159621</v>
      </c>
      <c r="GK6" s="18" t="n">
        <f aca="false">GK4-GK5</f>
        <v>18598631.6159621</v>
      </c>
      <c r="GL6" s="18" t="n">
        <f aca="false">GL4-GL5</f>
        <v>19900535.8290794</v>
      </c>
      <c r="GM6" s="18" t="n">
        <f aca="false">GM4-GM5</f>
        <v>19900535.8290794</v>
      </c>
      <c r="GN6" s="18" t="n">
        <f aca="false">GN4-GN5</f>
        <v>19900535.8290794</v>
      </c>
      <c r="GO6" s="18" t="n">
        <f aca="false">GO4-GO5</f>
        <v>19900535.8290794</v>
      </c>
      <c r="GP6" s="18" t="n">
        <f aca="false">GP4-GP5</f>
        <v>19900535.8290794</v>
      </c>
      <c r="GQ6" s="18" t="n">
        <f aca="false">GQ4-GQ5</f>
        <v>19900535.8290794</v>
      </c>
      <c r="GR6" s="18" t="n">
        <f aca="false">GR4-GR5</f>
        <v>19900535.8290794</v>
      </c>
      <c r="GS6" s="18" t="n">
        <f aca="false">GS4-GS5</f>
        <v>19900535.8290794</v>
      </c>
      <c r="GT6" s="18" t="n">
        <f aca="false">GT4-GT5</f>
        <v>19900535.8290794</v>
      </c>
      <c r="GU6" s="18" t="n">
        <f aca="false">GU4-GU5</f>
        <v>19900535.8290794</v>
      </c>
      <c r="GV6" s="18" t="n">
        <f aca="false">GV4-GV5</f>
        <v>19900535.8290794</v>
      </c>
      <c r="GW6" s="18" t="n">
        <f aca="false">GW4-GW5</f>
        <v>19900535.8290794</v>
      </c>
      <c r="GX6" s="18" t="n">
        <f aca="false">GX4-GX5</f>
        <v>21293573.337115</v>
      </c>
      <c r="GY6" s="18" t="n">
        <f aca="false">GY4-GY5</f>
        <v>21293573.337115</v>
      </c>
      <c r="GZ6" s="18" t="n">
        <f aca="false">GZ4-GZ5</f>
        <v>21293573.337115</v>
      </c>
      <c r="HA6" s="18" t="n">
        <f aca="false">HA4-HA5</f>
        <v>21293573.337115</v>
      </c>
      <c r="HB6" s="18" t="n">
        <f aca="false">HB4-HB5</f>
        <v>21293573.337115</v>
      </c>
      <c r="HC6" s="18" t="n">
        <f aca="false">HC4-HC5</f>
        <v>21293573.337115</v>
      </c>
      <c r="HD6" s="18" t="n">
        <f aca="false">HD4-HD5</f>
        <v>21293573.337115</v>
      </c>
      <c r="HE6" s="18" t="n">
        <f aca="false">HE4-HE5</f>
        <v>21293573.337115</v>
      </c>
      <c r="HF6" s="18" t="n">
        <f aca="false">HF4-HF5</f>
        <v>21293573.337115</v>
      </c>
      <c r="HG6" s="18" t="n">
        <f aca="false">HG4-HG5</f>
        <v>21293573.337115</v>
      </c>
      <c r="HH6" s="18" t="n">
        <f aca="false">HH4-HH5</f>
        <v>21293573.337115</v>
      </c>
      <c r="HI6" s="18" t="n">
        <f aca="false">HI4-HI5</f>
        <v>21293573.337115</v>
      </c>
      <c r="HJ6" s="18" t="n">
        <f aca="false">HJ4-HJ5</f>
        <v>22784123.470713</v>
      </c>
      <c r="HK6" s="18" t="n">
        <f aca="false">HK4-HK5</f>
        <v>22784123.470713</v>
      </c>
      <c r="HL6" s="18" t="n">
        <f aca="false">HL4-HL5</f>
        <v>22784123.470713</v>
      </c>
      <c r="HM6" s="18" t="n">
        <f aca="false">HM4-HM5</f>
        <v>22784123.470713</v>
      </c>
      <c r="HN6" s="18" t="n">
        <f aca="false">HN4-HN5</f>
        <v>22784123.470713</v>
      </c>
      <c r="HO6" s="18" t="n">
        <f aca="false">HO4-HO5</f>
        <v>22784123.470713</v>
      </c>
      <c r="HP6" s="18" t="n">
        <f aca="false">HP4-HP5</f>
        <v>22784123.470713</v>
      </c>
      <c r="HQ6" s="18" t="n">
        <f aca="false">HQ4-HQ5</f>
        <v>22784123.470713</v>
      </c>
      <c r="HR6" s="18" t="n">
        <f aca="false">HR4-HR5</f>
        <v>22784123.470713</v>
      </c>
      <c r="HS6" s="18" t="n">
        <f aca="false">HS4-HS5</f>
        <v>22784123.470713</v>
      </c>
      <c r="HT6" s="18" t="n">
        <f aca="false">HT4-HT5</f>
        <v>22784123.470713</v>
      </c>
      <c r="HU6" s="18" t="n">
        <f aca="false">HU4-HU5</f>
        <v>22784123.470713</v>
      </c>
      <c r="HV6" s="18" t="n">
        <f aca="false">HV4-HV5</f>
        <v>24379012.113663</v>
      </c>
      <c r="HW6" s="18" t="n">
        <f aca="false">HW4-HW5</f>
        <v>24379012.113663</v>
      </c>
      <c r="HX6" s="18" t="n">
        <f aca="false">HX4-HX5</f>
        <v>24379012.113663</v>
      </c>
      <c r="HY6" s="18" t="n">
        <f aca="false">HY4-HY5</f>
        <v>24379012.113663</v>
      </c>
      <c r="HZ6" s="18" t="n">
        <f aca="false">HZ4-HZ5</f>
        <v>24379012.113663</v>
      </c>
      <c r="IA6" s="18" t="n">
        <f aca="false">IA4-IA5</f>
        <v>24379012.113663</v>
      </c>
      <c r="IB6" s="18" t="n">
        <f aca="false">IB4-IB5</f>
        <v>24379012.113663</v>
      </c>
      <c r="IC6" s="18" t="n">
        <f aca="false">IC4-IC5</f>
        <v>24379012.113663</v>
      </c>
      <c r="ID6" s="18" t="n">
        <f aca="false">ID4-ID5</f>
        <v>24379012.113663</v>
      </c>
      <c r="IE6" s="18" t="n">
        <f aca="false">IE4-IE5</f>
        <v>24379012.113663</v>
      </c>
      <c r="IF6" s="18" t="n">
        <f aca="false">IF4-IF5</f>
        <v>24379012.113663</v>
      </c>
      <c r="IG6" s="18" t="n">
        <f aca="false">IG4-IG5</f>
        <v>24379012.113663</v>
      </c>
      <c r="IH6" s="18" t="n">
        <f aca="false">IH4-IH5</f>
        <v>26085542.9616194</v>
      </c>
      <c r="II6" s="18" t="n">
        <f aca="false">II4-II5</f>
        <v>26085542.9616194</v>
      </c>
      <c r="IJ6" s="18" t="n">
        <f aca="false">IJ4-IJ5</f>
        <v>26085542.9616194</v>
      </c>
      <c r="IK6" s="18" t="n">
        <f aca="false">IK4-IK5</f>
        <v>26085542.9616194</v>
      </c>
      <c r="IL6" s="18" t="n">
        <f aca="false">IL4-IL5</f>
        <v>26085542.9616194</v>
      </c>
      <c r="IM6" s="18" t="n">
        <f aca="false">IM4-IM5</f>
        <v>26085542.9616194</v>
      </c>
      <c r="IN6" s="18" t="n">
        <f aca="false">IN4-IN5</f>
        <v>26085542.9616194</v>
      </c>
      <c r="IO6" s="18" t="n">
        <f aca="false">IO4-IO5</f>
        <v>26085542.9616194</v>
      </c>
      <c r="IP6" s="18" t="n">
        <f aca="false">IP4-IP5</f>
        <v>26085542.9616194</v>
      </c>
      <c r="IQ6" s="18" t="n">
        <f aca="false">IQ4-IQ5</f>
        <v>26085542.9616194</v>
      </c>
      <c r="IR6" s="18" t="n">
        <f aca="false">IR4-IR5</f>
        <v>26085542.9616194</v>
      </c>
      <c r="IS6" s="18" t="n">
        <f aca="false">IS4-IS5</f>
        <v>26085542.9616194</v>
      </c>
      <c r="IT6" s="18" t="n">
        <f aca="false">IT4-IT5</f>
        <v>27911530.9689327</v>
      </c>
      <c r="IU6" s="18" t="n">
        <f aca="false">IU4-IU5</f>
        <v>27911530.9689327</v>
      </c>
      <c r="IV6" s="18" t="n">
        <f aca="false">IV4-IV5</f>
        <v>27911530.9689327</v>
      </c>
      <c r="IW6" s="18" t="n">
        <f aca="false">IW4-IW5</f>
        <v>27911530.9689327</v>
      </c>
      <c r="IX6" s="18" t="n">
        <f aca="false">IX4-IX5</f>
        <v>27911530.9689327</v>
      </c>
      <c r="IY6" s="18" t="n">
        <f aca="false">IY4-IY5</f>
        <v>27911530.9689327</v>
      </c>
      <c r="IZ6" s="18" t="n">
        <f aca="false">IZ4-IZ5</f>
        <v>27911530.9689327</v>
      </c>
      <c r="JA6" s="18" t="n">
        <f aca="false">JA4-JA5</f>
        <v>27911530.9689327</v>
      </c>
      <c r="JB6" s="18" t="n">
        <f aca="false">JB4-JB5</f>
        <v>27911530.9689327</v>
      </c>
      <c r="JC6" s="18" t="n">
        <f aca="false">JC4-JC5</f>
        <v>27911530.9689327</v>
      </c>
      <c r="JD6" s="18" t="n">
        <f aca="false">JD4-JD5</f>
        <v>27911530.9689327</v>
      </c>
      <c r="JE6" s="18" t="n">
        <f aca="false">JE4-JE5</f>
        <v>27911530.9689327</v>
      </c>
      <c r="JF6" s="18" t="n">
        <f aca="false">JF4-JF5</f>
        <v>29865338.136758</v>
      </c>
      <c r="JG6" s="18" t="n">
        <f aca="false">JG4-JG5</f>
        <v>29865338.136758</v>
      </c>
      <c r="JH6" s="18" t="n">
        <f aca="false">JH4-JH5</f>
        <v>29865338.136758</v>
      </c>
      <c r="JI6" s="18" t="n">
        <f aca="false">JI4-JI5</f>
        <v>29865338.136758</v>
      </c>
      <c r="JJ6" s="18" t="n">
        <f aca="false">JJ4-JJ5</f>
        <v>29865338.136758</v>
      </c>
      <c r="JK6" s="18" t="n">
        <f aca="false">JK4-JK5</f>
        <v>29865338.136758</v>
      </c>
      <c r="JL6" s="18" t="n">
        <f aca="false">JL4-JL5</f>
        <v>29865338.136758</v>
      </c>
      <c r="JM6" s="18" t="n">
        <f aca="false">JM4-JM5</f>
        <v>29865338.136758</v>
      </c>
      <c r="JN6" s="18" t="n">
        <f aca="false">JN4-JN5</f>
        <v>29865338.136758</v>
      </c>
      <c r="JO6" s="18" t="n">
        <f aca="false">JO4-JO5</f>
        <v>29865338.136758</v>
      </c>
      <c r="JP6" s="18" t="n">
        <f aca="false">JP4-JP5</f>
        <v>29865338.136758</v>
      </c>
      <c r="JQ6" s="18" t="n">
        <f aca="false">JQ4-JQ5</f>
        <v>29865338.136758</v>
      </c>
      <c r="JR6" s="18" t="n">
        <f aca="false">JR4-JR5</f>
        <v>31955911.8063311</v>
      </c>
      <c r="JS6" s="18" t="n">
        <f aca="false">JS4-JS5</f>
        <v>31955911.8063311</v>
      </c>
      <c r="JT6" s="18" t="n">
        <f aca="false">JT4-JT5</f>
        <v>31955911.8063311</v>
      </c>
      <c r="JU6" s="18" t="n">
        <f aca="false">JU4-JU5</f>
        <v>31955911.8063311</v>
      </c>
      <c r="JV6" s="18" t="n">
        <f aca="false">JV4-JV5</f>
        <v>31955911.8063311</v>
      </c>
      <c r="JW6" s="18" t="n">
        <f aca="false">JW4-JW5</f>
        <v>31955911.8063311</v>
      </c>
      <c r="JX6" s="18" t="n">
        <f aca="false">JX4-JX5</f>
        <v>31955911.8063311</v>
      </c>
      <c r="JY6" s="18" t="n">
        <f aca="false">JY4-JY5</f>
        <v>31955911.8063311</v>
      </c>
      <c r="JZ6" s="18" t="n">
        <f aca="false">JZ4-JZ5</f>
        <v>31955911.8063311</v>
      </c>
      <c r="KA6" s="18" t="n">
        <f aca="false">KA4-KA5</f>
        <v>31955911.8063311</v>
      </c>
      <c r="KB6" s="18" t="n">
        <f aca="false">KB4-KB5</f>
        <v>31955911.8063311</v>
      </c>
      <c r="KC6" s="18" t="n">
        <f aca="false">KC4-KC5</f>
        <v>31955911.8063311</v>
      </c>
      <c r="KD6" s="18" t="n">
        <f aca="false">KD4-KD5</f>
        <v>34192825.6327743</v>
      </c>
      <c r="KE6" s="18" t="n">
        <f aca="false">KE4-KE5</f>
        <v>34192825.6327743</v>
      </c>
      <c r="KF6" s="18" t="n">
        <f aca="false">KF4-KF5</f>
        <v>34192825.6327743</v>
      </c>
      <c r="KG6" s="18" t="n">
        <f aca="false">KG4-KG5</f>
        <v>34192825.6327743</v>
      </c>
      <c r="KH6" s="18" t="n">
        <f aca="false">KH4-KH5</f>
        <v>34192825.6327743</v>
      </c>
      <c r="KI6" s="18" t="n">
        <f aca="false">KI4-KI5</f>
        <v>34192825.6327743</v>
      </c>
      <c r="KJ6" s="18" t="n">
        <f aca="false">KJ4-KJ5</f>
        <v>34192825.6327743</v>
      </c>
      <c r="KK6" s="18" t="n">
        <f aca="false">KK4-KK5</f>
        <v>34192825.6327743</v>
      </c>
      <c r="KL6" s="18" t="n">
        <f aca="false">KL4-KL5</f>
        <v>34192825.6327743</v>
      </c>
      <c r="KM6" s="18" t="n">
        <f aca="false">KM4-KM5</f>
        <v>34192825.6327743</v>
      </c>
      <c r="KN6" s="18" t="n">
        <f aca="false">KN4-KN5</f>
        <v>34192825.6327743</v>
      </c>
      <c r="KO6" s="18" t="n">
        <f aca="false">KO4-KO5</f>
        <v>34192825.6327743</v>
      </c>
    </row>
    <row r="7" customFormat="false" ht="14.25" hidden="false" customHeight="false" outlineLevel="0" collapsed="false"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  <c r="IY7" s="21"/>
      <c r="IZ7" s="21"/>
      <c r="JA7" s="21"/>
      <c r="JB7" s="21"/>
      <c r="JC7" s="21"/>
      <c r="JD7" s="21"/>
      <c r="JE7" s="21"/>
      <c r="JF7" s="21"/>
      <c r="JG7" s="21"/>
      <c r="JH7" s="21"/>
      <c r="JI7" s="21"/>
      <c r="JJ7" s="21"/>
      <c r="JK7" s="21"/>
      <c r="JL7" s="21"/>
      <c r="JM7" s="21"/>
      <c r="JN7" s="21"/>
      <c r="JO7" s="21"/>
      <c r="JP7" s="21"/>
      <c r="JQ7" s="21"/>
      <c r="JR7" s="21"/>
      <c r="JS7" s="21"/>
      <c r="JT7" s="21"/>
      <c r="JU7" s="21"/>
      <c r="JV7" s="21"/>
      <c r="JW7" s="21"/>
      <c r="JX7" s="21"/>
      <c r="JY7" s="21"/>
      <c r="JZ7" s="21"/>
      <c r="KA7" s="21"/>
      <c r="KB7" s="21"/>
      <c r="KC7" s="21"/>
      <c r="KD7" s="21"/>
      <c r="KE7" s="21"/>
      <c r="KF7" s="21"/>
      <c r="KG7" s="21"/>
      <c r="KH7" s="21"/>
      <c r="KI7" s="21"/>
      <c r="KJ7" s="21"/>
      <c r="KK7" s="21"/>
      <c r="KL7" s="21"/>
      <c r="KM7" s="21"/>
      <c r="KN7" s="21"/>
      <c r="KO7" s="21"/>
    </row>
    <row r="8" customFormat="false" ht="14.25" hidden="false" customHeight="false" outlineLevel="0" collapsed="false">
      <c r="A8" s="0" t="s">
        <v>397</v>
      </c>
      <c r="B8" s="22" t="n">
        <f aca="false">Costos!B14</f>
        <v>6900000</v>
      </c>
      <c r="C8" s="22" t="n">
        <f aca="false">Costos!C14</f>
        <v>6900000</v>
      </c>
      <c r="D8" s="22" t="n">
        <f aca="false">Costos!D14</f>
        <v>6900000</v>
      </c>
      <c r="E8" s="22" t="n">
        <f aca="false">Costos!E14</f>
        <v>6900000</v>
      </c>
      <c r="F8" s="22" t="n">
        <f aca="false">Costos!F14</f>
        <v>6900000</v>
      </c>
      <c r="G8" s="22" t="n">
        <f aca="false">Costos!G14</f>
        <v>6900000</v>
      </c>
      <c r="H8" s="22" t="n">
        <f aca="false">Costos!H14</f>
        <v>6900000</v>
      </c>
      <c r="I8" s="22" t="n">
        <f aca="false">Costos!I14</f>
        <v>6900000</v>
      </c>
      <c r="J8" s="22" t="n">
        <f aca="false">Costos!J14</f>
        <v>6900000</v>
      </c>
      <c r="K8" s="22" t="n">
        <f aca="false">Costos!K14</f>
        <v>6900000</v>
      </c>
      <c r="L8" s="22" t="n">
        <f aca="false">Costos!L14</f>
        <v>6900000</v>
      </c>
      <c r="M8" s="22" t="n">
        <f aca="false">Costos!M14</f>
        <v>6900000</v>
      </c>
      <c r="N8" s="22" t="n">
        <f aca="false">Costos!N14</f>
        <v>6900000</v>
      </c>
      <c r="O8" s="22" t="n">
        <f aca="false">Costos!O14</f>
        <v>6900000</v>
      </c>
      <c r="P8" s="22" t="n">
        <f aca="false">Costos!P14</f>
        <v>6900000</v>
      </c>
      <c r="Q8" s="22" t="n">
        <f aca="false">Costos!Q14</f>
        <v>6900000</v>
      </c>
      <c r="R8" s="22" t="n">
        <f aca="false">Costos!R14</f>
        <v>6900000</v>
      </c>
      <c r="S8" s="22" t="n">
        <f aca="false">Costos!S14</f>
        <v>6900000</v>
      </c>
      <c r="T8" s="22" t="n">
        <f aca="false">Costos!T14</f>
        <v>6900000</v>
      </c>
      <c r="U8" s="22" t="n">
        <f aca="false">Costos!U14</f>
        <v>6900000</v>
      </c>
      <c r="V8" s="22" t="n">
        <f aca="false">Costos!V14</f>
        <v>6900000</v>
      </c>
      <c r="W8" s="22" t="n">
        <f aca="false">Costos!W14</f>
        <v>6900000</v>
      </c>
      <c r="X8" s="22" t="n">
        <f aca="false">Costos!X14</f>
        <v>6900000</v>
      </c>
      <c r="Y8" s="22" t="n">
        <f aca="false">Costos!Y14</f>
        <v>6900000</v>
      </c>
      <c r="Z8" s="22" t="n">
        <f aca="false">Costos!Z14</f>
        <v>6900000</v>
      </c>
      <c r="AA8" s="22" t="n">
        <f aca="false">Costos!AA14</f>
        <v>6900000</v>
      </c>
      <c r="AB8" s="22" t="n">
        <f aca="false">Costos!AB14</f>
        <v>6900000</v>
      </c>
      <c r="AC8" s="22" t="n">
        <f aca="false">Costos!AC14</f>
        <v>6900000</v>
      </c>
      <c r="AD8" s="22" t="n">
        <f aca="false">Costos!AD14</f>
        <v>6900000</v>
      </c>
      <c r="AE8" s="22" t="n">
        <f aca="false">Costos!AE14</f>
        <v>6900000</v>
      </c>
      <c r="AF8" s="22" t="n">
        <f aca="false">Costos!AF14</f>
        <v>6900000</v>
      </c>
      <c r="AG8" s="22" t="n">
        <f aca="false">Costos!AG14</f>
        <v>6900000</v>
      </c>
      <c r="AH8" s="22" t="n">
        <f aca="false">Costos!AH14</f>
        <v>6900000</v>
      </c>
      <c r="AI8" s="22" t="n">
        <f aca="false">Costos!AI14</f>
        <v>6900000</v>
      </c>
      <c r="AJ8" s="22" t="n">
        <f aca="false">Costos!AJ14</f>
        <v>6900000</v>
      </c>
      <c r="AK8" s="22" t="n">
        <f aca="false">Costos!AK14</f>
        <v>6900000</v>
      </c>
      <c r="AL8" s="22" t="n">
        <f aca="false">Costos!AL14</f>
        <v>6900000</v>
      </c>
      <c r="AM8" s="22" t="n">
        <f aca="false">Costos!AM14</f>
        <v>6900000</v>
      </c>
      <c r="AN8" s="22" t="n">
        <f aca="false">Costos!AN14</f>
        <v>6900000</v>
      </c>
      <c r="AO8" s="22" t="n">
        <f aca="false">Costos!AO14</f>
        <v>6900000</v>
      </c>
      <c r="AP8" s="22" t="n">
        <f aca="false">Costos!AP14</f>
        <v>6900000</v>
      </c>
      <c r="AQ8" s="22" t="n">
        <f aca="false">Costos!AQ14</f>
        <v>6900000</v>
      </c>
      <c r="AR8" s="22" t="n">
        <f aca="false">Costos!AR14</f>
        <v>6900000</v>
      </c>
      <c r="AS8" s="22" t="n">
        <f aca="false">Costos!AS14</f>
        <v>6900000</v>
      </c>
      <c r="AT8" s="22" t="n">
        <f aca="false">Costos!AT14</f>
        <v>6900000</v>
      </c>
      <c r="AU8" s="22" t="n">
        <f aca="false">Costos!AU14</f>
        <v>6900000</v>
      </c>
      <c r="AV8" s="22" t="n">
        <f aca="false">Costos!AV14</f>
        <v>6900000</v>
      </c>
      <c r="AW8" s="22" t="n">
        <f aca="false">Costos!AW14</f>
        <v>6900000</v>
      </c>
      <c r="AX8" s="22" t="n">
        <f aca="false">Costos!AX14</f>
        <v>6900000</v>
      </c>
      <c r="AY8" s="22" t="n">
        <f aca="false">Costos!AY14</f>
        <v>6900000</v>
      </c>
      <c r="AZ8" s="22" t="n">
        <f aca="false">Costos!AZ14</f>
        <v>6900000</v>
      </c>
      <c r="BA8" s="22" t="n">
        <f aca="false">Costos!BA14</f>
        <v>6900000</v>
      </c>
      <c r="BB8" s="22" t="n">
        <f aca="false">Costos!BB14</f>
        <v>6900000</v>
      </c>
      <c r="BC8" s="22" t="n">
        <f aca="false">Costos!BC14</f>
        <v>6900000</v>
      </c>
      <c r="BD8" s="22" t="n">
        <f aca="false">Costos!BD14</f>
        <v>6900000</v>
      </c>
      <c r="BE8" s="22" t="n">
        <f aca="false">Costos!BE14</f>
        <v>6900000</v>
      </c>
      <c r="BF8" s="22" t="n">
        <f aca="false">Costos!BF14</f>
        <v>6900000</v>
      </c>
      <c r="BG8" s="22" t="n">
        <f aca="false">Costos!BG14</f>
        <v>6900000</v>
      </c>
      <c r="BH8" s="22" t="n">
        <f aca="false">Costos!BH14</f>
        <v>6900000</v>
      </c>
      <c r="BI8" s="22" t="n">
        <f aca="false">Costos!BI14</f>
        <v>6900000</v>
      </c>
      <c r="BJ8" s="22" t="n">
        <f aca="false">Costos!BJ14</f>
        <v>6900000</v>
      </c>
      <c r="BK8" s="22" t="n">
        <f aca="false">Costos!BK14</f>
        <v>6900000</v>
      </c>
      <c r="BL8" s="22" t="n">
        <f aca="false">Costos!BL14</f>
        <v>6900000</v>
      </c>
      <c r="BM8" s="22" t="n">
        <f aca="false">Costos!BM14</f>
        <v>6900000</v>
      </c>
      <c r="BN8" s="22" t="n">
        <f aca="false">Costos!BN14</f>
        <v>6900000</v>
      </c>
      <c r="BO8" s="22" t="n">
        <f aca="false">Costos!BO14</f>
        <v>6900000</v>
      </c>
      <c r="BP8" s="22" t="n">
        <f aca="false">Costos!BP14</f>
        <v>6900000</v>
      </c>
      <c r="BQ8" s="22" t="n">
        <f aca="false">Costos!BQ14</f>
        <v>6900000</v>
      </c>
      <c r="BR8" s="22" t="n">
        <f aca="false">Costos!BR14</f>
        <v>6900000</v>
      </c>
      <c r="BS8" s="22" t="n">
        <f aca="false">Costos!BS14</f>
        <v>6900000</v>
      </c>
      <c r="BT8" s="22" t="n">
        <f aca="false">Costos!BT14</f>
        <v>6900000</v>
      </c>
      <c r="BU8" s="22" t="n">
        <f aca="false">Costos!BU14</f>
        <v>6900000</v>
      </c>
      <c r="BV8" s="22" t="n">
        <f aca="false">Costos!BV14</f>
        <v>6900000</v>
      </c>
      <c r="BW8" s="22" t="n">
        <f aca="false">Costos!BW14</f>
        <v>6900000</v>
      </c>
      <c r="BX8" s="22" t="n">
        <f aca="false">Costos!BX14</f>
        <v>6900000</v>
      </c>
      <c r="BY8" s="22" t="n">
        <f aca="false">Costos!BY14</f>
        <v>6900000</v>
      </c>
      <c r="BZ8" s="22" t="n">
        <f aca="false">Costos!BZ14</f>
        <v>6900000</v>
      </c>
      <c r="CA8" s="22" t="n">
        <f aca="false">Costos!CA14</f>
        <v>6900000</v>
      </c>
      <c r="CB8" s="22" t="n">
        <f aca="false">Costos!CB14</f>
        <v>6900000</v>
      </c>
      <c r="CC8" s="22" t="n">
        <f aca="false">Costos!CC14</f>
        <v>6900000</v>
      </c>
      <c r="CD8" s="22" t="n">
        <f aca="false">Costos!CD14</f>
        <v>6900000</v>
      </c>
      <c r="CE8" s="22" t="n">
        <f aca="false">Costos!CE14</f>
        <v>6900000</v>
      </c>
      <c r="CF8" s="22" t="n">
        <f aca="false">Costos!CF14</f>
        <v>6900000</v>
      </c>
      <c r="CG8" s="22" t="n">
        <f aca="false">Costos!CG14</f>
        <v>6900000</v>
      </c>
      <c r="CH8" s="22" t="n">
        <f aca="false">Costos!CH14</f>
        <v>6900000</v>
      </c>
      <c r="CI8" s="22" t="n">
        <f aca="false">Costos!CI14</f>
        <v>6900000</v>
      </c>
      <c r="CJ8" s="22" t="n">
        <f aca="false">Costos!CJ14</f>
        <v>6900000</v>
      </c>
      <c r="CK8" s="22" t="n">
        <f aca="false">Costos!CK14</f>
        <v>6900000</v>
      </c>
      <c r="CL8" s="22" t="n">
        <f aca="false">Costos!CL14</f>
        <v>6900000</v>
      </c>
      <c r="CM8" s="22" t="n">
        <f aca="false">Costos!CM14</f>
        <v>6900000</v>
      </c>
      <c r="CN8" s="22" t="n">
        <f aca="false">Costos!CN14</f>
        <v>6900000</v>
      </c>
      <c r="CO8" s="22" t="n">
        <f aca="false">Costos!CO14</f>
        <v>6900000</v>
      </c>
      <c r="CP8" s="22" t="n">
        <f aca="false">Costos!CP14</f>
        <v>6900000</v>
      </c>
      <c r="CQ8" s="22" t="n">
        <f aca="false">Costos!CQ14</f>
        <v>6900000</v>
      </c>
      <c r="CR8" s="22" t="n">
        <f aca="false">Costos!CR14</f>
        <v>6900000</v>
      </c>
      <c r="CS8" s="22" t="n">
        <f aca="false">Costos!CS14</f>
        <v>6900000</v>
      </c>
      <c r="CT8" s="22" t="n">
        <f aca="false">Costos!CT14</f>
        <v>6900000</v>
      </c>
      <c r="CU8" s="22" t="n">
        <f aca="false">Costos!CU14</f>
        <v>6900000</v>
      </c>
      <c r="CV8" s="22" t="n">
        <f aca="false">Costos!CV14</f>
        <v>6900000</v>
      </c>
      <c r="CW8" s="22" t="n">
        <f aca="false">Costos!CW14</f>
        <v>6900000</v>
      </c>
      <c r="CX8" s="22" t="n">
        <f aca="false">Costos!CX14</f>
        <v>6900000</v>
      </c>
      <c r="CY8" s="22" t="n">
        <f aca="false">Costos!CY14</f>
        <v>6900000</v>
      </c>
      <c r="CZ8" s="22" t="n">
        <f aca="false">Costos!CZ14</f>
        <v>6900000</v>
      </c>
      <c r="DA8" s="22" t="n">
        <f aca="false">Costos!DA14</f>
        <v>6900000</v>
      </c>
      <c r="DB8" s="22" t="n">
        <f aca="false">Costos!DB14</f>
        <v>6900000</v>
      </c>
      <c r="DC8" s="22" t="n">
        <f aca="false">Costos!DC14</f>
        <v>6900000</v>
      </c>
      <c r="DD8" s="22" t="n">
        <f aca="false">Costos!DD14</f>
        <v>6900000</v>
      </c>
      <c r="DE8" s="22" t="n">
        <f aca="false">Costos!DE14</f>
        <v>6900000</v>
      </c>
      <c r="DF8" s="22" t="n">
        <f aca="false">Costos!DF14</f>
        <v>6900000</v>
      </c>
      <c r="DG8" s="22" t="n">
        <f aca="false">Costos!DG14</f>
        <v>6900000</v>
      </c>
      <c r="DH8" s="22" t="n">
        <f aca="false">Costos!DH14</f>
        <v>6900000</v>
      </c>
      <c r="DI8" s="22" t="n">
        <f aca="false">Costos!DI14</f>
        <v>6900000</v>
      </c>
      <c r="DJ8" s="22" t="n">
        <f aca="false">Costos!DJ14</f>
        <v>6900000</v>
      </c>
      <c r="DK8" s="22" t="n">
        <f aca="false">Costos!DK14</f>
        <v>6900000</v>
      </c>
      <c r="DL8" s="22" t="n">
        <f aca="false">Costos!DL14</f>
        <v>6900000</v>
      </c>
      <c r="DM8" s="22" t="n">
        <f aca="false">Costos!DM14</f>
        <v>6900000</v>
      </c>
      <c r="DN8" s="22" t="n">
        <f aca="false">Costos!DN14</f>
        <v>6900000</v>
      </c>
      <c r="DO8" s="22" t="n">
        <f aca="false">Costos!DO14</f>
        <v>6900000</v>
      </c>
      <c r="DP8" s="22" t="n">
        <f aca="false">Costos!DP14</f>
        <v>6900000</v>
      </c>
      <c r="DQ8" s="22" t="n">
        <f aca="false">Costos!DQ14</f>
        <v>6900000</v>
      </c>
      <c r="DR8" s="22" t="n">
        <f aca="false">Costos!DR14</f>
        <v>6900000</v>
      </c>
      <c r="DS8" s="22" t="n">
        <f aca="false">Costos!DS14</f>
        <v>6900000</v>
      </c>
      <c r="DT8" s="22" t="n">
        <f aca="false">Costos!DT14</f>
        <v>6900000</v>
      </c>
      <c r="DU8" s="22" t="n">
        <f aca="false">Costos!DU14</f>
        <v>6900000</v>
      </c>
      <c r="DV8" s="22" t="n">
        <f aca="false">Costos!DV14</f>
        <v>6900000</v>
      </c>
      <c r="DW8" s="22" t="n">
        <f aca="false">Costos!DW14</f>
        <v>6900000</v>
      </c>
      <c r="DX8" s="22" t="n">
        <f aca="false">Costos!DX14</f>
        <v>6900000</v>
      </c>
      <c r="DY8" s="22" t="n">
        <f aca="false">Costos!DY14</f>
        <v>6900000</v>
      </c>
      <c r="DZ8" s="22" t="n">
        <f aca="false">Costos!DZ14</f>
        <v>6900000</v>
      </c>
      <c r="EA8" s="22" t="n">
        <f aca="false">Costos!EA14</f>
        <v>6900000</v>
      </c>
      <c r="EB8" s="22" t="n">
        <f aca="false">Costos!EB14</f>
        <v>6900000</v>
      </c>
      <c r="EC8" s="22" t="n">
        <f aca="false">Costos!EC14</f>
        <v>6900000</v>
      </c>
      <c r="ED8" s="22" t="n">
        <f aca="false">Costos!ED14</f>
        <v>6900000</v>
      </c>
      <c r="EE8" s="22" t="n">
        <f aca="false">Costos!EE14</f>
        <v>6900000</v>
      </c>
      <c r="EF8" s="22" t="n">
        <f aca="false">Costos!EF14</f>
        <v>6900000</v>
      </c>
      <c r="EG8" s="22" t="n">
        <f aca="false">Costos!EG14</f>
        <v>6900000</v>
      </c>
      <c r="EH8" s="22" t="n">
        <f aca="false">Costos!EH14</f>
        <v>6900000</v>
      </c>
      <c r="EI8" s="22" t="n">
        <f aca="false">Costos!EI14</f>
        <v>6900000</v>
      </c>
      <c r="EJ8" s="22" t="n">
        <f aca="false">Costos!EJ14</f>
        <v>6900000</v>
      </c>
      <c r="EK8" s="22" t="n">
        <f aca="false">Costos!EK14</f>
        <v>6900000</v>
      </c>
      <c r="EL8" s="22" t="n">
        <f aca="false">Costos!EL14</f>
        <v>6900000</v>
      </c>
      <c r="EM8" s="22" t="n">
        <f aca="false">Costos!EM14</f>
        <v>6900000</v>
      </c>
      <c r="EN8" s="22" t="n">
        <f aca="false">Costos!EN14</f>
        <v>6900000</v>
      </c>
      <c r="EO8" s="22" t="n">
        <f aca="false">Costos!EO14</f>
        <v>6900000</v>
      </c>
      <c r="EP8" s="22" t="n">
        <f aca="false">Costos!EP14</f>
        <v>6900000</v>
      </c>
      <c r="EQ8" s="22" t="n">
        <f aca="false">Costos!EQ14</f>
        <v>6900000</v>
      </c>
      <c r="ER8" s="22" t="n">
        <f aca="false">Costos!ER14</f>
        <v>6900000</v>
      </c>
      <c r="ES8" s="22" t="n">
        <f aca="false">Costos!ES14</f>
        <v>6900000</v>
      </c>
      <c r="ET8" s="22" t="n">
        <f aca="false">Costos!ET14</f>
        <v>6900000</v>
      </c>
      <c r="EU8" s="22" t="n">
        <f aca="false">Costos!EU14</f>
        <v>6900000</v>
      </c>
      <c r="EV8" s="22" t="n">
        <f aca="false">Costos!EV14</f>
        <v>6900000</v>
      </c>
      <c r="EW8" s="22" t="n">
        <f aca="false">Costos!EW14</f>
        <v>6900000</v>
      </c>
      <c r="EX8" s="22" t="n">
        <f aca="false">Costos!EX14</f>
        <v>6900000</v>
      </c>
      <c r="EY8" s="22" t="n">
        <f aca="false">Costos!EY14</f>
        <v>6900000</v>
      </c>
      <c r="EZ8" s="22" t="n">
        <f aca="false">Costos!EZ14</f>
        <v>6900000</v>
      </c>
      <c r="FA8" s="22" t="n">
        <f aca="false">Costos!FA14</f>
        <v>6900000</v>
      </c>
      <c r="FB8" s="22" t="n">
        <f aca="false">Costos!FB14</f>
        <v>6900000</v>
      </c>
      <c r="FC8" s="22" t="n">
        <f aca="false">Costos!FC14</f>
        <v>6900000</v>
      </c>
      <c r="FD8" s="22" t="n">
        <f aca="false">Costos!FD14</f>
        <v>6900000</v>
      </c>
      <c r="FE8" s="22" t="n">
        <f aca="false">Costos!FE14</f>
        <v>6900000</v>
      </c>
      <c r="FF8" s="22" t="n">
        <f aca="false">Costos!FF14</f>
        <v>6900000</v>
      </c>
      <c r="FG8" s="22" t="n">
        <f aca="false">Costos!FG14</f>
        <v>6900000</v>
      </c>
      <c r="FH8" s="22" t="n">
        <f aca="false">Costos!FH14</f>
        <v>6900000</v>
      </c>
      <c r="FI8" s="22" t="n">
        <f aca="false">Costos!FI14</f>
        <v>6900000</v>
      </c>
      <c r="FJ8" s="22" t="n">
        <f aca="false">Costos!FJ14</f>
        <v>6900000</v>
      </c>
      <c r="FK8" s="22" t="n">
        <f aca="false">Costos!FK14</f>
        <v>6900000</v>
      </c>
      <c r="FL8" s="22" t="n">
        <f aca="false">Costos!FL14</f>
        <v>6900000</v>
      </c>
      <c r="FM8" s="22" t="n">
        <f aca="false">Costos!FM14</f>
        <v>6900000</v>
      </c>
      <c r="FN8" s="22" t="n">
        <f aca="false">Costos!FN14</f>
        <v>6900000</v>
      </c>
      <c r="FO8" s="22" t="n">
        <f aca="false">Costos!FO14</f>
        <v>6900000</v>
      </c>
      <c r="FP8" s="22" t="n">
        <f aca="false">Costos!FP14</f>
        <v>6900000</v>
      </c>
      <c r="FQ8" s="22" t="n">
        <f aca="false">Costos!FQ14</f>
        <v>6900000</v>
      </c>
      <c r="FR8" s="22" t="n">
        <f aca="false">Costos!FR14</f>
        <v>6900000</v>
      </c>
      <c r="FS8" s="22" t="n">
        <f aca="false">Costos!FS14</f>
        <v>6900000</v>
      </c>
      <c r="FT8" s="22" t="n">
        <f aca="false">Costos!FT14</f>
        <v>6900000</v>
      </c>
      <c r="FU8" s="22" t="n">
        <f aca="false">Costos!FU14</f>
        <v>6900000</v>
      </c>
      <c r="FV8" s="22" t="n">
        <f aca="false">Costos!FV14</f>
        <v>6900000</v>
      </c>
      <c r="FW8" s="22" t="n">
        <f aca="false">Costos!FW14</f>
        <v>6900000</v>
      </c>
      <c r="FX8" s="22" t="n">
        <f aca="false">Costos!FX14</f>
        <v>6900000</v>
      </c>
      <c r="FY8" s="22" t="n">
        <f aca="false">Costos!FY14</f>
        <v>6900000</v>
      </c>
      <c r="FZ8" s="22" t="n">
        <f aca="false">Costos!FZ14</f>
        <v>6900000</v>
      </c>
      <c r="GA8" s="22" t="n">
        <f aca="false">Costos!GA14</f>
        <v>6900000</v>
      </c>
      <c r="GB8" s="22" t="n">
        <f aca="false">Costos!GB14</f>
        <v>6900000</v>
      </c>
      <c r="GC8" s="22" t="n">
        <f aca="false">Costos!GC14</f>
        <v>6900000</v>
      </c>
      <c r="GD8" s="22" t="n">
        <f aca="false">Costos!GD14</f>
        <v>6900000</v>
      </c>
      <c r="GE8" s="22" t="n">
        <f aca="false">Costos!GE14</f>
        <v>6900000</v>
      </c>
      <c r="GF8" s="22" t="n">
        <f aca="false">Costos!GF14</f>
        <v>6900000</v>
      </c>
      <c r="GG8" s="22" t="n">
        <f aca="false">Costos!GG14</f>
        <v>6900000</v>
      </c>
      <c r="GH8" s="22" t="n">
        <f aca="false">Costos!GH14</f>
        <v>6900000</v>
      </c>
      <c r="GI8" s="22" t="n">
        <f aca="false">Costos!GI14</f>
        <v>6900000</v>
      </c>
      <c r="GJ8" s="22" t="n">
        <f aca="false">Costos!GJ14</f>
        <v>6900000</v>
      </c>
      <c r="GK8" s="22" t="n">
        <f aca="false">Costos!GK14</f>
        <v>6900000</v>
      </c>
      <c r="GL8" s="22" t="n">
        <f aca="false">Costos!GL14</f>
        <v>6900000</v>
      </c>
      <c r="GM8" s="22" t="n">
        <f aca="false">Costos!GM14</f>
        <v>6900000</v>
      </c>
      <c r="GN8" s="22" t="n">
        <f aca="false">Costos!GN14</f>
        <v>6900000</v>
      </c>
      <c r="GO8" s="22" t="n">
        <f aca="false">Costos!GO14</f>
        <v>6900000</v>
      </c>
      <c r="GP8" s="22" t="n">
        <f aca="false">Costos!GP14</f>
        <v>6900000</v>
      </c>
      <c r="GQ8" s="22" t="n">
        <f aca="false">Costos!GQ14</f>
        <v>6900000</v>
      </c>
      <c r="GR8" s="22" t="n">
        <f aca="false">Costos!GR14</f>
        <v>6900000</v>
      </c>
      <c r="GS8" s="22" t="n">
        <f aca="false">Costos!GS14</f>
        <v>6900000</v>
      </c>
      <c r="GT8" s="22" t="n">
        <f aca="false">Costos!GT14</f>
        <v>6900000</v>
      </c>
      <c r="GU8" s="22" t="n">
        <f aca="false">Costos!GU14</f>
        <v>6900000</v>
      </c>
      <c r="GV8" s="22" t="n">
        <f aca="false">Costos!GV14</f>
        <v>6900000</v>
      </c>
      <c r="GW8" s="22" t="n">
        <f aca="false">Costos!GW14</f>
        <v>6900000</v>
      </c>
      <c r="GX8" s="22" t="n">
        <f aca="false">Costos!GX14</f>
        <v>6900000</v>
      </c>
      <c r="GY8" s="22" t="n">
        <f aca="false">Costos!GY14</f>
        <v>6900000</v>
      </c>
      <c r="GZ8" s="22" t="n">
        <f aca="false">Costos!GZ14</f>
        <v>6900000</v>
      </c>
      <c r="HA8" s="22" t="n">
        <f aca="false">Costos!HA14</f>
        <v>6900000</v>
      </c>
      <c r="HB8" s="22" t="n">
        <f aca="false">Costos!HB14</f>
        <v>6900000</v>
      </c>
      <c r="HC8" s="22" t="n">
        <f aca="false">Costos!HC14</f>
        <v>6900000</v>
      </c>
      <c r="HD8" s="22" t="n">
        <f aca="false">Costos!HD14</f>
        <v>6900000</v>
      </c>
      <c r="HE8" s="22" t="n">
        <f aca="false">Costos!HE14</f>
        <v>6900000</v>
      </c>
      <c r="HF8" s="22" t="n">
        <f aca="false">Costos!HF14</f>
        <v>6900000</v>
      </c>
      <c r="HG8" s="22" t="n">
        <f aca="false">Costos!HG14</f>
        <v>6900000</v>
      </c>
      <c r="HH8" s="22" t="n">
        <f aca="false">Costos!HH14</f>
        <v>6900000</v>
      </c>
      <c r="HI8" s="22" t="n">
        <f aca="false">Costos!HI14</f>
        <v>6900000</v>
      </c>
      <c r="HJ8" s="22" t="n">
        <f aca="false">Costos!HJ14</f>
        <v>6900000</v>
      </c>
      <c r="HK8" s="22" t="n">
        <f aca="false">Costos!HK14</f>
        <v>6900000</v>
      </c>
      <c r="HL8" s="22" t="n">
        <f aca="false">Costos!HL14</f>
        <v>6900000</v>
      </c>
      <c r="HM8" s="22" t="n">
        <f aca="false">Costos!HM14</f>
        <v>6900000</v>
      </c>
      <c r="HN8" s="22" t="n">
        <f aca="false">Costos!HN14</f>
        <v>6900000</v>
      </c>
      <c r="HO8" s="22" t="n">
        <f aca="false">Costos!HO14</f>
        <v>6900000</v>
      </c>
      <c r="HP8" s="22" t="n">
        <f aca="false">Costos!HP14</f>
        <v>6900000</v>
      </c>
      <c r="HQ8" s="22" t="n">
        <f aca="false">Costos!HQ14</f>
        <v>6900000</v>
      </c>
      <c r="HR8" s="22" t="n">
        <f aca="false">Costos!HR14</f>
        <v>6900000</v>
      </c>
      <c r="HS8" s="22" t="n">
        <f aca="false">Costos!HS14</f>
        <v>6900000</v>
      </c>
      <c r="HT8" s="22" t="n">
        <f aca="false">Costos!HT14</f>
        <v>6900000</v>
      </c>
      <c r="HU8" s="22" t="n">
        <f aca="false">Costos!HU14</f>
        <v>6900000</v>
      </c>
      <c r="HV8" s="22" t="n">
        <f aca="false">Costos!HV14</f>
        <v>6900000</v>
      </c>
      <c r="HW8" s="22" t="n">
        <f aca="false">Costos!HW14</f>
        <v>6900000</v>
      </c>
      <c r="HX8" s="22" t="n">
        <f aca="false">Costos!HX14</f>
        <v>6900000</v>
      </c>
      <c r="HY8" s="22" t="n">
        <f aca="false">Costos!HY14</f>
        <v>6900000</v>
      </c>
      <c r="HZ8" s="22" t="n">
        <f aca="false">Costos!HZ14</f>
        <v>6900000</v>
      </c>
      <c r="IA8" s="22" t="n">
        <f aca="false">Costos!IA14</f>
        <v>6900000</v>
      </c>
      <c r="IB8" s="22" t="n">
        <f aca="false">Costos!IB14</f>
        <v>6900000</v>
      </c>
      <c r="IC8" s="22" t="n">
        <f aca="false">Costos!IC14</f>
        <v>6900000</v>
      </c>
      <c r="ID8" s="22" t="n">
        <f aca="false">Costos!ID14</f>
        <v>6900000</v>
      </c>
      <c r="IE8" s="22" t="n">
        <f aca="false">Costos!IE14</f>
        <v>6900000</v>
      </c>
      <c r="IF8" s="22" t="n">
        <f aca="false">Costos!IF14</f>
        <v>6900000</v>
      </c>
      <c r="IG8" s="22" t="n">
        <f aca="false">Costos!IG14</f>
        <v>6900000</v>
      </c>
      <c r="IH8" s="22" t="n">
        <f aca="false">Costos!IH14</f>
        <v>6900000</v>
      </c>
      <c r="II8" s="22" t="n">
        <f aca="false">Costos!II14</f>
        <v>6900000</v>
      </c>
      <c r="IJ8" s="22" t="n">
        <f aca="false">Costos!IJ14</f>
        <v>6900000</v>
      </c>
      <c r="IK8" s="22" t="n">
        <f aca="false">Costos!IK14</f>
        <v>6900000</v>
      </c>
      <c r="IL8" s="22" t="n">
        <f aca="false">Costos!IL14</f>
        <v>6900000</v>
      </c>
      <c r="IM8" s="22" t="n">
        <f aca="false">Costos!IM14</f>
        <v>6900000</v>
      </c>
      <c r="IN8" s="22" t="n">
        <f aca="false">Costos!IN14</f>
        <v>6900000</v>
      </c>
      <c r="IO8" s="22" t="n">
        <f aca="false">Costos!IO14</f>
        <v>6900000</v>
      </c>
      <c r="IP8" s="22" t="n">
        <f aca="false">Costos!IP14</f>
        <v>6900000</v>
      </c>
      <c r="IQ8" s="22" t="n">
        <f aca="false">Costos!IQ14</f>
        <v>6900000</v>
      </c>
      <c r="IR8" s="22" t="n">
        <f aca="false">Costos!IR14</f>
        <v>6900000</v>
      </c>
      <c r="IS8" s="22" t="n">
        <f aca="false">Costos!IS14</f>
        <v>6900000</v>
      </c>
      <c r="IT8" s="22" t="n">
        <f aca="false">Costos!IT14</f>
        <v>6900000</v>
      </c>
      <c r="IU8" s="22" t="n">
        <f aca="false">Costos!IU14</f>
        <v>6900000</v>
      </c>
      <c r="IV8" s="22" t="n">
        <f aca="false">Costos!IV14</f>
        <v>6900000</v>
      </c>
      <c r="IW8" s="22" t="n">
        <f aca="false">Costos!IW14</f>
        <v>6900000</v>
      </c>
      <c r="IX8" s="22" t="n">
        <f aca="false">Costos!IX14</f>
        <v>6900000</v>
      </c>
      <c r="IY8" s="22" t="n">
        <f aca="false">Costos!IY14</f>
        <v>6900000</v>
      </c>
      <c r="IZ8" s="22" t="n">
        <f aca="false">Costos!IZ14</f>
        <v>6900000</v>
      </c>
      <c r="JA8" s="22" t="n">
        <f aca="false">Costos!JA14</f>
        <v>6900000</v>
      </c>
      <c r="JB8" s="22" t="n">
        <f aca="false">Costos!JB14</f>
        <v>6900000</v>
      </c>
      <c r="JC8" s="22" t="n">
        <f aca="false">Costos!JC14</f>
        <v>6900000</v>
      </c>
      <c r="JD8" s="22" t="n">
        <f aca="false">Costos!JD14</f>
        <v>6900000</v>
      </c>
      <c r="JE8" s="22" t="n">
        <f aca="false">Costos!JE14</f>
        <v>6900000</v>
      </c>
      <c r="JF8" s="22" t="n">
        <f aca="false">Costos!JF14</f>
        <v>6900000</v>
      </c>
      <c r="JG8" s="22" t="n">
        <f aca="false">Costos!JG14</f>
        <v>6900000</v>
      </c>
      <c r="JH8" s="22" t="n">
        <f aca="false">Costos!JH14</f>
        <v>6900000</v>
      </c>
      <c r="JI8" s="22" t="n">
        <f aca="false">Costos!JI14</f>
        <v>6900000</v>
      </c>
      <c r="JJ8" s="22" t="n">
        <f aca="false">Costos!JJ14</f>
        <v>6900000</v>
      </c>
      <c r="JK8" s="22" t="n">
        <f aca="false">Costos!JK14</f>
        <v>6900000</v>
      </c>
      <c r="JL8" s="22" t="n">
        <f aca="false">Costos!JL14</f>
        <v>6900000</v>
      </c>
      <c r="JM8" s="22" t="n">
        <f aca="false">Costos!JM14</f>
        <v>6900000</v>
      </c>
      <c r="JN8" s="22" t="n">
        <f aca="false">Costos!JN14</f>
        <v>6900000</v>
      </c>
      <c r="JO8" s="22" t="n">
        <f aca="false">Costos!JO14</f>
        <v>6900000</v>
      </c>
      <c r="JP8" s="22" t="n">
        <f aca="false">Costos!JP14</f>
        <v>6900000</v>
      </c>
      <c r="JQ8" s="22" t="n">
        <f aca="false">Costos!JQ14</f>
        <v>6900000</v>
      </c>
      <c r="JR8" s="22" t="n">
        <f aca="false">Costos!JR14</f>
        <v>6900000</v>
      </c>
      <c r="JS8" s="22" t="n">
        <f aca="false">Costos!JS14</f>
        <v>6900000</v>
      </c>
      <c r="JT8" s="22" t="n">
        <f aca="false">Costos!JT14</f>
        <v>6900000</v>
      </c>
      <c r="JU8" s="22" t="n">
        <f aca="false">Costos!JU14</f>
        <v>6900000</v>
      </c>
      <c r="JV8" s="22" t="n">
        <f aca="false">Costos!JV14</f>
        <v>6900000</v>
      </c>
      <c r="JW8" s="22" t="n">
        <f aca="false">Costos!JW14</f>
        <v>6900000</v>
      </c>
      <c r="JX8" s="22" t="n">
        <f aca="false">Costos!JX14</f>
        <v>6900000</v>
      </c>
      <c r="JY8" s="22" t="n">
        <f aca="false">Costos!JY14</f>
        <v>6900000</v>
      </c>
      <c r="JZ8" s="22" t="n">
        <f aca="false">Costos!JZ14</f>
        <v>6900000</v>
      </c>
      <c r="KA8" s="22" t="n">
        <f aca="false">Costos!KA14</f>
        <v>6900000</v>
      </c>
      <c r="KB8" s="22" t="n">
        <f aca="false">Costos!KB14</f>
        <v>6900000</v>
      </c>
      <c r="KC8" s="22" t="n">
        <f aca="false">Costos!KC14</f>
        <v>6900000</v>
      </c>
      <c r="KD8" s="22" t="n">
        <f aca="false">Costos!KD14</f>
        <v>6900000</v>
      </c>
      <c r="KE8" s="22" t="n">
        <f aca="false">Costos!KE14</f>
        <v>6900000</v>
      </c>
      <c r="KF8" s="22" t="n">
        <f aca="false">Costos!KF14</f>
        <v>6900000</v>
      </c>
      <c r="KG8" s="22" t="n">
        <f aca="false">Costos!KG14</f>
        <v>6900000</v>
      </c>
      <c r="KH8" s="22" t="n">
        <f aca="false">Costos!KH14</f>
        <v>6900000</v>
      </c>
      <c r="KI8" s="22" t="n">
        <f aca="false">Costos!KI14</f>
        <v>6900000</v>
      </c>
      <c r="KJ8" s="22" t="n">
        <f aca="false">Costos!KJ14</f>
        <v>6900000</v>
      </c>
      <c r="KK8" s="22" t="n">
        <f aca="false">Costos!KK14</f>
        <v>6900000</v>
      </c>
      <c r="KL8" s="22" t="n">
        <f aca="false">Costos!KL14</f>
        <v>6900000</v>
      </c>
      <c r="KM8" s="22" t="n">
        <f aca="false">Costos!KM14</f>
        <v>6900000</v>
      </c>
      <c r="KN8" s="22" t="n">
        <f aca="false">Costos!KN14</f>
        <v>6900000</v>
      </c>
      <c r="KO8" s="22" t="n">
        <f aca="false">Costos!KO14</f>
        <v>6900000</v>
      </c>
    </row>
    <row r="9" customFormat="false" ht="14.25" hidden="false" customHeight="false" outlineLevel="0" collapsed="false">
      <c r="A9" s="14" t="s">
        <v>398</v>
      </c>
      <c r="B9" s="18" t="n">
        <f aca="false">B6-B8</f>
        <v>-159000</v>
      </c>
      <c r="C9" s="18" t="n">
        <f aca="false">C6-C8</f>
        <v>-159000</v>
      </c>
      <c r="D9" s="18" t="n">
        <f aca="false">D6-D8</f>
        <v>-159000</v>
      </c>
      <c r="E9" s="18" t="n">
        <f aca="false">E6-E8</f>
        <v>-159000</v>
      </c>
      <c r="F9" s="18" t="n">
        <f aca="false">F6-F8</f>
        <v>-159000</v>
      </c>
      <c r="G9" s="18" t="n">
        <f aca="false">G6-G8</f>
        <v>-159000</v>
      </c>
      <c r="H9" s="18" t="n">
        <f aca="false">H6-H8</f>
        <v>-159000</v>
      </c>
      <c r="I9" s="18" t="n">
        <f aca="false">I6-I8</f>
        <v>-159000</v>
      </c>
      <c r="J9" s="18" t="n">
        <f aca="false">J6-J8</f>
        <v>-159000</v>
      </c>
      <c r="K9" s="18" t="n">
        <f aca="false">K6-K8</f>
        <v>-159000</v>
      </c>
      <c r="L9" s="18" t="n">
        <f aca="false">L6-L8</f>
        <v>-159000</v>
      </c>
      <c r="M9" s="18" t="n">
        <f aca="false">M6-M8</f>
        <v>-159000</v>
      </c>
      <c r="N9" s="18" t="n">
        <f aca="false">N6-N8</f>
        <v>312870</v>
      </c>
      <c r="O9" s="18" t="n">
        <f aca="false">O6-O8</f>
        <v>312870</v>
      </c>
      <c r="P9" s="18" t="n">
        <f aca="false">P6-P8</f>
        <v>312870</v>
      </c>
      <c r="Q9" s="18" t="n">
        <f aca="false">Q6-Q8</f>
        <v>312870</v>
      </c>
      <c r="R9" s="18" t="n">
        <f aca="false">R6-R8</f>
        <v>312870</v>
      </c>
      <c r="S9" s="18" t="n">
        <f aca="false">S6-S8</f>
        <v>312870</v>
      </c>
      <c r="T9" s="18" t="n">
        <f aca="false">T6-T8</f>
        <v>312870</v>
      </c>
      <c r="U9" s="18" t="n">
        <f aca="false">U6-U8</f>
        <v>312870</v>
      </c>
      <c r="V9" s="18" t="n">
        <f aca="false">V6-V8</f>
        <v>312870</v>
      </c>
      <c r="W9" s="18" t="n">
        <f aca="false">W6-W8</f>
        <v>312870</v>
      </c>
      <c r="X9" s="18" t="n">
        <f aca="false">X6-X8</f>
        <v>312870</v>
      </c>
      <c r="Y9" s="18" t="n">
        <f aca="false">Y6-Y8</f>
        <v>312870</v>
      </c>
      <c r="Z9" s="18" t="n">
        <f aca="false">Z6-Z8</f>
        <v>817770.9</v>
      </c>
      <c r="AA9" s="18" t="n">
        <f aca="false">AA6-AA8</f>
        <v>817770.9</v>
      </c>
      <c r="AB9" s="18" t="n">
        <f aca="false">AB6-AB8</f>
        <v>817770.9</v>
      </c>
      <c r="AC9" s="18" t="n">
        <f aca="false">AC6-AC8</f>
        <v>817770.9</v>
      </c>
      <c r="AD9" s="18" t="n">
        <f aca="false">AD6-AD8</f>
        <v>817770.9</v>
      </c>
      <c r="AE9" s="18" t="n">
        <f aca="false">AE6-AE8</f>
        <v>817770.9</v>
      </c>
      <c r="AF9" s="18" t="n">
        <f aca="false">AF6-AF8</f>
        <v>817770.9</v>
      </c>
      <c r="AG9" s="18" t="n">
        <f aca="false">AG6-AG8</f>
        <v>817770.9</v>
      </c>
      <c r="AH9" s="18" t="n">
        <f aca="false">AH6-AH8</f>
        <v>817770.9</v>
      </c>
      <c r="AI9" s="18" t="n">
        <f aca="false">AI6-AI8</f>
        <v>817770.9</v>
      </c>
      <c r="AJ9" s="18" t="n">
        <f aca="false">AJ6-AJ8</f>
        <v>817770.9</v>
      </c>
      <c r="AK9" s="18" t="n">
        <f aca="false">AK6-AK8</f>
        <v>817770.9</v>
      </c>
      <c r="AL9" s="18" t="n">
        <f aca="false">AL6-AL8</f>
        <v>1358014.863</v>
      </c>
      <c r="AM9" s="18" t="n">
        <f aca="false">AM6-AM8</f>
        <v>1358014.863</v>
      </c>
      <c r="AN9" s="18" t="n">
        <f aca="false">AN6-AN8</f>
        <v>1358014.863</v>
      </c>
      <c r="AO9" s="18" t="n">
        <f aca="false">AO6-AO8</f>
        <v>1358014.863</v>
      </c>
      <c r="AP9" s="18" t="n">
        <f aca="false">AP6-AP8</f>
        <v>1358014.863</v>
      </c>
      <c r="AQ9" s="18" t="n">
        <f aca="false">AQ6-AQ8</f>
        <v>1358014.863</v>
      </c>
      <c r="AR9" s="18" t="n">
        <f aca="false">AR6-AR8</f>
        <v>1358014.863</v>
      </c>
      <c r="AS9" s="18" t="n">
        <f aca="false">AS6-AS8</f>
        <v>1358014.863</v>
      </c>
      <c r="AT9" s="18" t="n">
        <f aca="false">AT6-AT8</f>
        <v>1358014.863</v>
      </c>
      <c r="AU9" s="18" t="n">
        <f aca="false">AU6-AU8</f>
        <v>1358014.863</v>
      </c>
      <c r="AV9" s="18" t="n">
        <f aca="false">AV6-AV8</f>
        <v>1358014.863</v>
      </c>
      <c r="AW9" s="18" t="n">
        <f aca="false">AW6-AW8</f>
        <v>1358014.863</v>
      </c>
      <c r="AX9" s="18" t="n">
        <f aca="false">AX6-AX8</f>
        <v>1936075.90341</v>
      </c>
      <c r="AY9" s="18" t="n">
        <f aca="false">AY6-AY8</f>
        <v>1936075.90341</v>
      </c>
      <c r="AZ9" s="18" t="n">
        <f aca="false">AZ6-AZ8</f>
        <v>1936075.90341</v>
      </c>
      <c r="BA9" s="18" t="n">
        <f aca="false">BA6-BA8</f>
        <v>1936075.90341</v>
      </c>
      <c r="BB9" s="18" t="n">
        <f aca="false">BB6-BB8</f>
        <v>1936075.90341</v>
      </c>
      <c r="BC9" s="18" t="n">
        <f aca="false">BC6-BC8</f>
        <v>1936075.90341</v>
      </c>
      <c r="BD9" s="18" t="n">
        <f aca="false">BD6-BD8</f>
        <v>1936075.90341</v>
      </c>
      <c r="BE9" s="18" t="n">
        <f aca="false">BE6-BE8</f>
        <v>1936075.90341</v>
      </c>
      <c r="BF9" s="18" t="n">
        <f aca="false">BF6-BF8</f>
        <v>1936075.90341</v>
      </c>
      <c r="BG9" s="18" t="n">
        <f aca="false">BG6-BG8</f>
        <v>1936075.90341</v>
      </c>
      <c r="BH9" s="18" t="n">
        <f aca="false">BH6-BH8</f>
        <v>1936075.90341</v>
      </c>
      <c r="BI9" s="18" t="n">
        <f aca="false">BI6-BI8</f>
        <v>1936075.90341</v>
      </c>
      <c r="BJ9" s="18" t="n">
        <f aca="false">BJ6-BJ8</f>
        <v>2554601.2166487</v>
      </c>
      <c r="BK9" s="18" t="n">
        <f aca="false">BK6-BK8</f>
        <v>2554601.2166487</v>
      </c>
      <c r="BL9" s="18" t="n">
        <f aca="false">BL6-BL8</f>
        <v>2554601.2166487</v>
      </c>
      <c r="BM9" s="18" t="n">
        <f aca="false">BM6-BM8</f>
        <v>2554601.2166487</v>
      </c>
      <c r="BN9" s="18" t="n">
        <f aca="false">BN6-BN8</f>
        <v>2554601.2166487</v>
      </c>
      <c r="BO9" s="18" t="n">
        <f aca="false">BO6-BO8</f>
        <v>2554601.2166487</v>
      </c>
      <c r="BP9" s="18" t="n">
        <f aca="false">BP6-BP8</f>
        <v>2554601.2166487</v>
      </c>
      <c r="BQ9" s="18" t="n">
        <f aca="false">BQ6-BQ8</f>
        <v>2554601.2166487</v>
      </c>
      <c r="BR9" s="18" t="n">
        <f aca="false">BR6-BR8</f>
        <v>2554601.2166487</v>
      </c>
      <c r="BS9" s="18" t="n">
        <f aca="false">BS6-BS8</f>
        <v>2554601.2166487</v>
      </c>
      <c r="BT9" s="18" t="n">
        <f aca="false">BT6-BT8</f>
        <v>2554601.2166487</v>
      </c>
      <c r="BU9" s="18" t="n">
        <f aca="false">BU6-BU8</f>
        <v>2554601.2166487</v>
      </c>
      <c r="BV9" s="18" t="n">
        <f aca="false">BV6-BV8</f>
        <v>3216423.30181411</v>
      </c>
      <c r="BW9" s="18" t="n">
        <f aca="false">BW6-BW8</f>
        <v>3216423.30181411</v>
      </c>
      <c r="BX9" s="18" t="n">
        <f aca="false">BX6-BX8</f>
        <v>3216423.30181411</v>
      </c>
      <c r="BY9" s="18" t="n">
        <f aca="false">BY6-BY8</f>
        <v>3216423.30181411</v>
      </c>
      <c r="BZ9" s="18" t="n">
        <f aca="false">BZ6-BZ8</f>
        <v>3216423.30181411</v>
      </c>
      <c r="CA9" s="18" t="n">
        <f aca="false">CA6-CA8</f>
        <v>3216423.30181411</v>
      </c>
      <c r="CB9" s="18" t="n">
        <f aca="false">CB6-CB8</f>
        <v>3216423.30181411</v>
      </c>
      <c r="CC9" s="18" t="n">
        <f aca="false">CC6-CC8</f>
        <v>3216423.30181411</v>
      </c>
      <c r="CD9" s="18" t="n">
        <f aca="false">CD6-CD8</f>
        <v>3216423.30181411</v>
      </c>
      <c r="CE9" s="18" t="n">
        <f aca="false">CE6-CE8</f>
        <v>3216423.30181411</v>
      </c>
      <c r="CF9" s="18" t="n">
        <f aca="false">CF6-CF8</f>
        <v>3216423.30181411</v>
      </c>
      <c r="CG9" s="18" t="n">
        <f aca="false">CG6-CG8</f>
        <v>3216423.30181411</v>
      </c>
      <c r="CH9" s="18" t="n">
        <f aca="false">CH6-CH8</f>
        <v>3924572.9329411</v>
      </c>
      <c r="CI9" s="18" t="n">
        <f aca="false">CI6-CI8</f>
        <v>3924572.9329411</v>
      </c>
      <c r="CJ9" s="18" t="n">
        <f aca="false">CJ6-CJ8</f>
        <v>3924572.9329411</v>
      </c>
      <c r="CK9" s="18" t="n">
        <f aca="false">CK6-CK8</f>
        <v>3924572.9329411</v>
      </c>
      <c r="CL9" s="18" t="n">
        <f aca="false">CL6-CL8</f>
        <v>3924572.9329411</v>
      </c>
      <c r="CM9" s="18" t="n">
        <f aca="false">CM6-CM8</f>
        <v>3924572.9329411</v>
      </c>
      <c r="CN9" s="18" t="n">
        <f aca="false">CN6-CN8</f>
        <v>3924572.9329411</v>
      </c>
      <c r="CO9" s="18" t="n">
        <f aca="false">CO6-CO8</f>
        <v>3924572.9329411</v>
      </c>
      <c r="CP9" s="18" t="n">
        <f aca="false">CP6-CP8</f>
        <v>3924572.9329411</v>
      </c>
      <c r="CQ9" s="18" t="n">
        <f aca="false">CQ6-CQ8</f>
        <v>3924572.9329411</v>
      </c>
      <c r="CR9" s="18" t="n">
        <f aca="false">CR6-CR8</f>
        <v>3924572.9329411</v>
      </c>
      <c r="CS9" s="18" t="n">
        <f aca="false">CS6-CS8</f>
        <v>3924572.9329411</v>
      </c>
      <c r="CT9" s="18" t="n">
        <f aca="false">CT6-CT8</f>
        <v>4682293.03824698</v>
      </c>
      <c r="CU9" s="18" t="n">
        <f aca="false">CU6-CU8</f>
        <v>4682293.03824698</v>
      </c>
      <c r="CV9" s="18" t="n">
        <f aca="false">CV6-CV8</f>
        <v>4682293.03824698</v>
      </c>
      <c r="CW9" s="18" t="n">
        <f aca="false">CW6-CW8</f>
        <v>4682293.03824698</v>
      </c>
      <c r="CX9" s="18" t="n">
        <f aca="false">CX6-CX8</f>
        <v>4682293.03824698</v>
      </c>
      <c r="CY9" s="18" t="n">
        <f aca="false">CY6-CY8</f>
        <v>4682293.03824698</v>
      </c>
      <c r="CZ9" s="18" t="n">
        <f aca="false">CZ6-CZ8</f>
        <v>4682293.03824698</v>
      </c>
      <c r="DA9" s="18" t="n">
        <f aca="false">DA6-DA8</f>
        <v>4682293.03824698</v>
      </c>
      <c r="DB9" s="18" t="n">
        <f aca="false">DB6-DB8</f>
        <v>4682293.03824698</v>
      </c>
      <c r="DC9" s="18" t="n">
        <f aca="false">DC6-DC8</f>
        <v>4682293.03824698</v>
      </c>
      <c r="DD9" s="18" t="n">
        <f aca="false">DD6-DD8</f>
        <v>4682293.03824698</v>
      </c>
      <c r="DE9" s="18" t="n">
        <f aca="false">DE6-DE8</f>
        <v>4682293.03824698</v>
      </c>
      <c r="DF9" s="18" t="n">
        <f aca="false">DF6-DF8</f>
        <v>5493053.55092427</v>
      </c>
      <c r="DG9" s="18" t="n">
        <f aca="false">DG6-DG8</f>
        <v>5493053.55092427</v>
      </c>
      <c r="DH9" s="18" t="n">
        <f aca="false">DH6-DH8</f>
        <v>5493053.55092427</v>
      </c>
      <c r="DI9" s="18" t="n">
        <f aca="false">DI6-DI8</f>
        <v>5493053.55092427</v>
      </c>
      <c r="DJ9" s="18" t="n">
        <f aca="false">DJ6-DJ8</f>
        <v>5493053.55092427</v>
      </c>
      <c r="DK9" s="18" t="n">
        <f aca="false">DK6-DK8</f>
        <v>5493053.55092427</v>
      </c>
      <c r="DL9" s="18" t="n">
        <f aca="false">DL6-DL8</f>
        <v>5493053.55092427</v>
      </c>
      <c r="DM9" s="18" t="n">
        <f aca="false">DM6-DM8</f>
        <v>5493053.55092427</v>
      </c>
      <c r="DN9" s="18" t="n">
        <f aca="false">DN6-DN8</f>
        <v>5493053.55092427</v>
      </c>
      <c r="DO9" s="18" t="n">
        <f aca="false">DO6-DO8</f>
        <v>5493053.55092427</v>
      </c>
      <c r="DP9" s="18" t="n">
        <f aca="false">DP6-DP8</f>
        <v>5493053.55092427</v>
      </c>
      <c r="DQ9" s="18" t="n">
        <f aca="false">DQ6-DQ8</f>
        <v>5493053.55092427</v>
      </c>
      <c r="DR9" s="18" t="n">
        <f aca="false">DR6-DR8</f>
        <v>6360567.29948897</v>
      </c>
      <c r="DS9" s="18" t="n">
        <f aca="false">DS6-DS8</f>
        <v>6360567.29948897</v>
      </c>
      <c r="DT9" s="18" t="n">
        <f aca="false">DT6-DT8</f>
        <v>6360567.29948897</v>
      </c>
      <c r="DU9" s="18" t="n">
        <f aca="false">DU6-DU8</f>
        <v>6360567.29948897</v>
      </c>
      <c r="DV9" s="18" t="n">
        <f aca="false">DV6-DV8</f>
        <v>6360567.29948897</v>
      </c>
      <c r="DW9" s="18" t="n">
        <f aca="false">DW6-DW8</f>
        <v>6360567.29948897</v>
      </c>
      <c r="DX9" s="18" t="n">
        <f aca="false">DX6-DX8</f>
        <v>6360567.29948897</v>
      </c>
      <c r="DY9" s="18" t="n">
        <f aca="false">DY6-DY8</f>
        <v>6360567.29948897</v>
      </c>
      <c r="DZ9" s="18" t="n">
        <f aca="false">DZ6-DZ8</f>
        <v>6360567.29948897</v>
      </c>
      <c r="EA9" s="18" t="n">
        <f aca="false">EA6-EA8</f>
        <v>6360567.29948897</v>
      </c>
      <c r="EB9" s="18" t="n">
        <f aca="false">EB6-EB8</f>
        <v>6360567.29948897</v>
      </c>
      <c r="EC9" s="18" t="n">
        <f aca="false">EC6-EC8</f>
        <v>6360567.29948897</v>
      </c>
      <c r="ED9" s="18" t="n">
        <f aca="false">ED6-ED8</f>
        <v>7288807.0104532</v>
      </c>
      <c r="EE9" s="18" t="n">
        <f aca="false">EE6-EE8</f>
        <v>7288807.0104532</v>
      </c>
      <c r="EF9" s="18" t="n">
        <f aca="false">EF6-EF8</f>
        <v>7288807.0104532</v>
      </c>
      <c r="EG9" s="18" t="n">
        <f aca="false">EG6-EG8</f>
        <v>7288807.0104532</v>
      </c>
      <c r="EH9" s="18" t="n">
        <f aca="false">EH6-EH8</f>
        <v>7288807.0104532</v>
      </c>
      <c r="EI9" s="18" t="n">
        <f aca="false">EI6-EI8</f>
        <v>7288807.0104532</v>
      </c>
      <c r="EJ9" s="18" t="n">
        <f aca="false">EJ6-EJ8</f>
        <v>7288807.0104532</v>
      </c>
      <c r="EK9" s="18" t="n">
        <f aca="false">EK6-EK8</f>
        <v>7288807.0104532</v>
      </c>
      <c r="EL9" s="18" t="n">
        <f aca="false">EL6-EL8</f>
        <v>7288807.0104532</v>
      </c>
      <c r="EM9" s="18" t="n">
        <f aca="false">EM6-EM8</f>
        <v>7288807.0104532</v>
      </c>
      <c r="EN9" s="18" t="n">
        <f aca="false">EN6-EN8</f>
        <v>7288807.0104532</v>
      </c>
      <c r="EO9" s="18" t="n">
        <f aca="false">EO6-EO8</f>
        <v>7288807.0104532</v>
      </c>
      <c r="EP9" s="18" t="n">
        <f aca="false">EP6-EP8</f>
        <v>8282023.50118492</v>
      </c>
      <c r="EQ9" s="18" t="n">
        <f aca="false">EQ6-EQ8</f>
        <v>8282023.50118492</v>
      </c>
      <c r="ER9" s="18" t="n">
        <f aca="false">ER6-ER8</f>
        <v>8282023.50118492</v>
      </c>
      <c r="ES9" s="18" t="n">
        <f aca="false">ES6-ES8</f>
        <v>8282023.50118492</v>
      </c>
      <c r="ET9" s="18" t="n">
        <f aca="false">ET6-ET8</f>
        <v>8282023.50118492</v>
      </c>
      <c r="EU9" s="18" t="n">
        <f aca="false">EU6-EU8</f>
        <v>8282023.50118492</v>
      </c>
      <c r="EV9" s="18" t="n">
        <f aca="false">EV6-EV8</f>
        <v>8282023.50118492</v>
      </c>
      <c r="EW9" s="18" t="n">
        <f aca="false">EW6-EW8</f>
        <v>8282023.50118492</v>
      </c>
      <c r="EX9" s="18" t="n">
        <f aca="false">EX6-EX8</f>
        <v>8282023.50118492</v>
      </c>
      <c r="EY9" s="18" t="n">
        <f aca="false">EY6-EY8</f>
        <v>8282023.50118492</v>
      </c>
      <c r="EZ9" s="18" t="n">
        <f aca="false">EZ6-EZ8</f>
        <v>8282023.50118492</v>
      </c>
      <c r="FA9" s="18" t="n">
        <f aca="false">FA6-FA8</f>
        <v>8282023.50118492</v>
      </c>
      <c r="FB9" s="18" t="n">
        <f aca="false">FB6-FB8</f>
        <v>9344765.14626787</v>
      </c>
      <c r="FC9" s="18" t="n">
        <f aca="false">FC6-FC8</f>
        <v>9344765.14626787</v>
      </c>
      <c r="FD9" s="18" t="n">
        <f aca="false">FD6-FD8</f>
        <v>9344765.14626787</v>
      </c>
      <c r="FE9" s="18" t="n">
        <f aca="false">FE6-FE8</f>
        <v>9344765.14626787</v>
      </c>
      <c r="FF9" s="18" t="n">
        <f aca="false">FF6-FF8</f>
        <v>9344765.14626787</v>
      </c>
      <c r="FG9" s="18" t="n">
        <f aca="false">FG6-FG8</f>
        <v>9344765.14626787</v>
      </c>
      <c r="FH9" s="18" t="n">
        <f aca="false">FH6-FH8</f>
        <v>9344765.14626787</v>
      </c>
      <c r="FI9" s="18" t="n">
        <f aca="false">FI6-FI8</f>
        <v>9344765.14626787</v>
      </c>
      <c r="FJ9" s="18" t="n">
        <f aca="false">FJ6-FJ8</f>
        <v>9344765.14626787</v>
      </c>
      <c r="FK9" s="18" t="n">
        <f aca="false">FK6-FK8</f>
        <v>9344765.14626787</v>
      </c>
      <c r="FL9" s="18" t="n">
        <f aca="false">FL6-FL8</f>
        <v>9344765.14626787</v>
      </c>
      <c r="FM9" s="18" t="n">
        <f aca="false">FM6-FM8</f>
        <v>9344765.14626787</v>
      </c>
      <c r="FN9" s="18" t="n">
        <f aca="false">FN6-FN8</f>
        <v>10481898.7065066</v>
      </c>
      <c r="FO9" s="18" t="n">
        <f aca="false">FO6-FO8</f>
        <v>10481898.7065066</v>
      </c>
      <c r="FP9" s="18" t="n">
        <f aca="false">FP6-FP8</f>
        <v>10481898.7065066</v>
      </c>
      <c r="FQ9" s="18" t="n">
        <f aca="false">FQ6-FQ8</f>
        <v>10481898.7065066</v>
      </c>
      <c r="FR9" s="18" t="n">
        <f aca="false">FR6-FR8</f>
        <v>10481898.7065066</v>
      </c>
      <c r="FS9" s="18" t="n">
        <f aca="false">FS6-FS8</f>
        <v>10481898.7065066</v>
      </c>
      <c r="FT9" s="18" t="n">
        <f aca="false">FT6-FT8</f>
        <v>10481898.7065066</v>
      </c>
      <c r="FU9" s="18" t="n">
        <f aca="false">FU6-FU8</f>
        <v>10481898.7065066</v>
      </c>
      <c r="FV9" s="18" t="n">
        <f aca="false">FV6-FV8</f>
        <v>10481898.7065066</v>
      </c>
      <c r="FW9" s="18" t="n">
        <f aca="false">FW6-FW8</f>
        <v>10481898.7065066</v>
      </c>
      <c r="FX9" s="18" t="n">
        <f aca="false">FX6-FX8</f>
        <v>10481898.7065066</v>
      </c>
      <c r="FY9" s="18" t="n">
        <f aca="false">FY6-FY8</f>
        <v>10481898.7065066</v>
      </c>
      <c r="FZ9" s="18" t="n">
        <f aca="false">FZ6-FZ8</f>
        <v>11698631.6159621</v>
      </c>
      <c r="GA9" s="18" t="n">
        <f aca="false">GA6-GA8</f>
        <v>11698631.6159621</v>
      </c>
      <c r="GB9" s="18" t="n">
        <f aca="false">GB6-GB8</f>
        <v>11698631.6159621</v>
      </c>
      <c r="GC9" s="18" t="n">
        <f aca="false">GC6-GC8</f>
        <v>11698631.6159621</v>
      </c>
      <c r="GD9" s="18" t="n">
        <f aca="false">GD6-GD8</f>
        <v>11698631.6159621</v>
      </c>
      <c r="GE9" s="18" t="n">
        <f aca="false">GE6-GE8</f>
        <v>11698631.6159621</v>
      </c>
      <c r="GF9" s="18" t="n">
        <f aca="false">GF6-GF8</f>
        <v>11698631.6159621</v>
      </c>
      <c r="GG9" s="18" t="n">
        <f aca="false">GG6-GG8</f>
        <v>11698631.6159621</v>
      </c>
      <c r="GH9" s="18" t="n">
        <f aca="false">GH6-GH8</f>
        <v>11698631.6159621</v>
      </c>
      <c r="GI9" s="18" t="n">
        <f aca="false">GI6-GI8</f>
        <v>11698631.6159621</v>
      </c>
      <c r="GJ9" s="18" t="n">
        <f aca="false">GJ6-GJ8</f>
        <v>11698631.6159621</v>
      </c>
      <c r="GK9" s="18" t="n">
        <f aca="false">GK6-GK8</f>
        <v>11698631.6159621</v>
      </c>
      <c r="GL9" s="18" t="n">
        <f aca="false">GL6-GL8</f>
        <v>13000535.8290794</v>
      </c>
      <c r="GM9" s="18" t="n">
        <f aca="false">GM6-GM8</f>
        <v>13000535.8290794</v>
      </c>
      <c r="GN9" s="18" t="n">
        <f aca="false">GN6-GN8</f>
        <v>13000535.8290794</v>
      </c>
      <c r="GO9" s="18" t="n">
        <f aca="false">GO6-GO8</f>
        <v>13000535.8290794</v>
      </c>
      <c r="GP9" s="18" t="n">
        <f aca="false">GP6-GP8</f>
        <v>13000535.8290794</v>
      </c>
      <c r="GQ9" s="18" t="n">
        <f aca="false">GQ6-GQ8</f>
        <v>13000535.8290794</v>
      </c>
      <c r="GR9" s="18" t="n">
        <f aca="false">GR6-GR8</f>
        <v>13000535.8290794</v>
      </c>
      <c r="GS9" s="18" t="n">
        <f aca="false">GS6-GS8</f>
        <v>13000535.8290794</v>
      </c>
      <c r="GT9" s="18" t="n">
        <f aca="false">GT6-GT8</f>
        <v>13000535.8290794</v>
      </c>
      <c r="GU9" s="18" t="n">
        <f aca="false">GU6-GU8</f>
        <v>13000535.8290794</v>
      </c>
      <c r="GV9" s="18" t="n">
        <f aca="false">GV6-GV8</f>
        <v>13000535.8290794</v>
      </c>
      <c r="GW9" s="18" t="n">
        <f aca="false">GW6-GW8</f>
        <v>13000535.8290794</v>
      </c>
      <c r="GX9" s="18" t="n">
        <f aca="false">GX6-GX8</f>
        <v>14393573.337115</v>
      </c>
      <c r="GY9" s="18" t="n">
        <f aca="false">GY6-GY8</f>
        <v>14393573.337115</v>
      </c>
      <c r="GZ9" s="18" t="n">
        <f aca="false">GZ6-GZ8</f>
        <v>14393573.337115</v>
      </c>
      <c r="HA9" s="18" t="n">
        <f aca="false">HA6-HA8</f>
        <v>14393573.337115</v>
      </c>
      <c r="HB9" s="18" t="n">
        <f aca="false">HB6-HB8</f>
        <v>14393573.337115</v>
      </c>
      <c r="HC9" s="18" t="n">
        <f aca="false">HC6-HC8</f>
        <v>14393573.337115</v>
      </c>
      <c r="HD9" s="18" t="n">
        <f aca="false">HD6-HD8</f>
        <v>14393573.337115</v>
      </c>
      <c r="HE9" s="18" t="n">
        <f aca="false">HE6-HE8</f>
        <v>14393573.337115</v>
      </c>
      <c r="HF9" s="18" t="n">
        <f aca="false">HF6-HF8</f>
        <v>14393573.337115</v>
      </c>
      <c r="HG9" s="18" t="n">
        <f aca="false">HG6-HG8</f>
        <v>14393573.337115</v>
      </c>
      <c r="HH9" s="18" t="n">
        <f aca="false">HH6-HH8</f>
        <v>14393573.337115</v>
      </c>
      <c r="HI9" s="18" t="n">
        <f aca="false">HI6-HI8</f>
        <v>14393573.337115</v>
      </c>
      <c r="HJ9" s="18" t="n">
        <f aca="false">HJ6-HJ8</f>
        <v>15884123.470713</v>
      </c>
      <c r="HK9" s="18" t="n">
        <f aca="false">HK6-HK8</f>
        <v>15884123.470713</v>
      </c>
      <c r="HL9" s="18" t="n">
        <f aca="false">HL6-HL8</f>
        <v>15884123.470713</v>
      </c>
      <c r="HM9" s="18" t="n">
        <f aca="false">HM6-HM8</f>
        <v>15884123.470713</v>
      </c>
      <c r="HN9" s="18" t="n">
        <f aca="false">HN6-HN8</f>
        <v>15884123.470713</v>
      </c>
      <c r="HO9" s="18" t="n">
        <f aca="false">HO6-HO8</f>
        <v>15884123.470713</v>
      </c>
      <c r="HP9" s="18" t="n">
        <f aca="false">HP6-HP8</f>
        <v>15884123.470713</v>
      </c>
      <c r="HQ9" s="18" t="n">
        <f aca="false">HQ6-HQ8</f>
        <v>15884123.470713</v>
      </c>
      <c r="HR9" s="18" t="n">
        <f aca="false">HR6-HR8</f>
        <v>15884123.470713</v>
      </c>
      <c r="HS9" s="18" t="n">
        <f aca="false">HS6-HS8</f>
        <v>15884123.470713</v>
      </c>
      <c r="HT9" s="18" t="n">
        <f aca="false">HT6-HT8</f>
        <v>15884123.470713</v>
      </c>
      <c r="HU9" s="18" t="n">
        <f aca="false">HU6-HU8</f>
        <v>15884123.470713</v>
      </c>
      <c r="HV9" s="18" t="n">
        <f aca="false">HV6-HV8</f>
        <v>17479012.113663</v>
      </c>
      <c r="HW9" s="18" t="n">
        <f aca="false">HW6-HW8</f>
        <v>17479012.113663</v>
      </c>
      <c r="HX9" s="18" t="n">
        <f aca="false">HX6-HX8</f>
        <v>17479012.113663</v>
      </c>
      <c r="HY9" s="18" t="n">
        <f aca="false">HY6-HY8</f>
        <v>17479012.113663</v>
      </c>
      <c r="HZ9" s="18" t="n">
        <f aca="false">HZ6-HZ8</f>
        <v>17479012.113663</v>
      </c>
      <c r="IA9" s="18" t="n">
        <f aca="false">IA6-IA8</f>
        <v>17479012.113663</v>
      </c>
      <c r="IB9" s="18" t="n">
        <f aca="false">IB6-IB8</f>
        <v>17479012.113663</v>
      </c>
      <c r="IC9" s="18" t="n">
        <f aca="false">IC6-IC8</f>
        <v>17479012.113663</v>
      </c>
      <c r="ID9" s="18" t="n">
        <f aca="false">ID6-ID8</f>
        <v>17479012.113663</v>
      </c>
      <c r="IE9" s="18" t="n">
        <f aca="false">IE6-IE8</f>
        <v>17479012.113663</v>
      </c>
      <c r="IF9" s="18" t="n">
        <f aca="false">IF6-IF8</f>
        <v>17479012.113663</v>
      </c>
      <c r="IG9" s="18" t="n">
        <f aca="false">IG6-IG8</f>
        <v>17479012.113663</v>
      </c>
      <c r="IH9" s="18" t="n">
        <f aca="false">IH6-IH8</f>
        <v>19185542.9616194</v>
      </c>
      <c r="II9" s="18" t="n">
        <f aca="false">II6-II8</f>
        <v>19185542.9616194</v>
      </c>
      <c r="IJ9" s="18" t="n">
        <f aca="false">IJ6-IJ8</f>
        <v>19185542.9616194</v>
      </c>
      <c r="IK9" s="18" t="n">
        <f aca="false">IK6-IK8</f>
        <v>19185542.9616194</v>
      </c>
      <c r="IL9" s="18" t="n">
        <f aca="false">IL6-IL8</f>
        <v>19185542.9616194</v>
      </c>
      <c r="IM9" s="18" t="n">
        <f aca="false">IM6-IM8</f>
        <v>19185542.9616194</v>
      </c>
      <c r="IN9" s="18" t="n">
        <f aca="false">IN6-IN8</f>
        <v>19185542.9616194</v>
      </c>
      <c r="IO9" s="18" t="n">
        <f aca="false">IO6-IO8</f>
        <v>19185542.9616194</v>
      </c>
      <c r="IP9" s="18" t="n">
        <f aca="false">IP6-IP8</f>
        <v>19185542.9616194</v>
      </c>
      <c r="IQ9" s="18" t="n">
        <f aca="false">IQ6-IQ8</f>
        <v>19185542.9616194</v>
      </c>
      <c r="IR9" s="18" t="n">
        <f aca="false">IR6-IR8</f>
        <v>19185542.9616194</v>
      </c>
      <c r="IS9" s="18" t="n">
        <f aca="false">IS6-IS8</f>
        <v>19185542.9616194</v>
      </c>
      <c r="IT9" s="18" t="n">
        <f aca="false">IT6-IT8</f>
        <v>21011530.9689327</v>
      </c>
      <c r="IU9" s="18" t="n">
        <f aca="false">IU6-IU8</f>
        <v>21011530.9689327</v>
      </c>
      <c r="IV9" s="18" t="n">
        <f aca="false">IV6-IV8</f>
        <v>21011530.9689327</v>
      </c>
      <c r="IW9" s="18" t="n">
        <f aca="false">IW6-IW8</f>
        <v>21011530.9689327</v>
      </c>
      <c r="IX9" s="18" t="n">
        <f aca="false">IX6-IX8</f>
        <v>21011530.9689327</v>
      </c>
      <c r="IY9" s="18" t="n">
        <f aca="false">IY6-IY8</f>
        <v>21011530.9689327</v>
      </c>
      <c r="IZ9" s="18" t="n">
        <f aca="false">IZ6-IZ8</f>
        <v>21011530.9689327</v>
      </c>
      <c r="JA9" s="18" t="n">
        <f aca="false">JA6-JA8</f>
        <v>21011530.9689327</v>
      </c>
      <c r="JB9" s="18" t="n">
        <f aca="false">JB6-JB8</f>
        <v>21011530.9689327</v>
      </c>
      <c r="JC9" s="18" t="n">
        <f aca="false">JC6-JC8</f>
        <v>21011530.9689327</v>
      </c>
      <c r="JD9" s="18" t="n">
        <f aca="false">JD6-JD8</f>
        <v>21011530.9689327</v>
      </c>
      <c r="JE9" s="18" t="n">
        <f aca="false">JE6-JE8</f>
        <v>21011530.9689327</v>
      </c>
      <c r="JF9" s="18" t="n">
        <f aca="false">JF6-JF8</f>
        <v>22965338.136758</v>
      </c>
      <c r="JG9" s="18" t="n">
        <f aca="false">JG6-JG8</f>
        <v>22965338.136758</v>
      </c>
      <c r="JH9" s="18" t="n">
        <f aca="false">JH6-JH8</f>
        <v>22965338.136758</v>
      </c>
      <c r="JI9" s="18" t="n">
        <f aca="false">JI6-JI8</f>
        <v>22965338.136758</v>
      </c>
      <c r="JJ9" s="18" t="n">
        <f aca="false">JJ6-JJ8</f>
        <v>22965338.136758</v>
      </c>
      <c r="JK9" s="18" t="n">
        <f aca="false">JK6-JK8</f>
        <v>22965338.136758</v>
      </c>
      <c r="JL9" s="18" t="n">
        <f aca="false">JL6-JL8</f>
        <v>22965338.136758</v>
      </c>
      <c r="JM9" s="18" t="n">
        <f aca="false">JM6-JM8</f>
        <v>22965338.136758</v>
      </c>
      <c r="JN9" s="18" t="n">
        <f aca="false">JN6-JN8</f>
        <v>22965338.136758</v>
      </c>
      <c r="JO9" s="18" t="n">
        <f aca="false">JO6-JO8</f>
        <v>22965338.136758</v>
      </c>
      <c r="JP9" s="18" t="n">
        <f aca="false">JP6-JP8</f>
        <v>22965338.136758</v>
      </c>
      <c r="JQ9" s="18" t="n">
        <f aca="false">JQ6-JQ8</f>
        <v>22965338.136758</v>
      </c>
      <c r="JR9" s="18" t="n">
        <f aca="false">JR6-JR8</f>
        <v>25055911.8063311</v>
      </c>
      <c r="JS9" s="18" t="n">
        <f aca="false">JS6-JS8</f>
        <v>25055911.8063311</v>
      </c>
      <c r="JT9" s="18" t="n">
        <f aca="false">JT6-JT8</f>
        <v>25055911.8063311</v>
      </c>
      <c r="JU9" s="18" t="n">
        <f aca="false">JU6-JU8</f>
        <v>25055911.8063311</v>
      </c>
      <c r="JV9" s="18" t="n">
        <f aca="false">JV6-JV8</f>
        <v>25055911.8063311</v>
      </c>
      <c r="JW9" s="18" t="n">
        <f aca="false">JW6-JW8</f>
        <v>25055911.8063311</v>
      </c>
      <c r="JX9" s="18" t="n">
        <f aca="false">JX6-JX8</f>
        <v>25055911.8063311</v>
      </c>
      <c r="JY9" s="18" t="n">
        <f aca="false">JY6-JY8</f>
        <v>25055911.8063311</v>
      </c>
      <c r="JZ9" s="18" t="n">
        <f aca="false">JZ6-JZ8</f>
        <v>25055911.8063311</v>
      </c>
      <c r="KA9" s="18" t="n">
        <f aca="false">KA6-KA8</f>
        <v>25055911.8063311</v>
      </c>
      <c r="KB9" s="18" t="n">
        <f aca="false">KB6-KB8</f>
        <v>25055911.8063311</v>
      </c>
      <c r="KC9" s="18" t="n">
        <f aca="false">KC6-KC8</f>
        <v>25055911.8063311</v>
      </c>
      <c r="KD9" s="18" t="n">
        <f aca="false">KD6-KD8</f>
        <v>27292825.6327743</v>
      </c>
      <c r="KE9" s="18" t="n">
        <f aca="false">KE6-KE8</f>
        <v>27292825.6327743</v>
      </c>
      <c r="KF9" s="18" t="n">
        <f aca="false">KF6-KF8</f>
        <v>27292825.6327743</v>
      </c>
      <c r="KG9" s="18" t="n">
        <f aca="false">KG6-KG8</f>
        <v>27292825.6327743</v>
      </c>
      <c r="KH9" s="18" t="n">
        <f aca="false">KH6-KH8</f>
        <v>27292825.6327743</v>
      </c>
      <c r="KI9" s="18" t="n">
        <f aca="false">KI6-KI8</f>
        <v>27292825.6327743</v>
      </c>
      <c r="KJ9" s="18" t="n">
        <f aca="false">KJ6-KJ8</f>
        <v>27292825.6327743</v>
      </c>
      <c r="KK9" s="18" t="n">
        <f aca="false">KK6-KK8</f>
        <v>27292825.6327743</v>
      </c>
      <c r="KL9" s="18" t="n">
        <f aca="false">KL6-KL8</f>
        <v>27292825.6327743</v>
      </c>
      <c r="KM9" s="18" t="n">
        <f aca="false">KM6-KM8</f>
        <v>27292825.6327743</v>
      </c>
      <c r="KN9" s="18" t="n">
        <f aca="false">KN6-KN8</f>
        <v>27292825.6327743</v>
      </c>
      <c r="KO9" s="18" t="n">
        <f aca="false">KO6-KO8</f>
        <v>27292825.6327743</v>
      </c>
    </row>
    <row r="10" customFormat="false" ht="14.25" hidden="false" customHeight="false" outlineLevel="0" collapsed="false">
      <c r="A10" s="0" t="s">
        <v>392</v>
      </c>
      <c r="B10" s="22" t="n">
        <f aca="false">Costos!B16</f>
        <v>416666.666666667</v>
      </c>
      <c r="C10" s="22" t="n">
        <f aca="false">Costos!C16</f>
        <v>416666.666666667</v>
      </c>
      <c r="D10" s="22" t="n">
        <f aca="false">Costos!D16</f>
        <v>416666.666666667</v>
      </c>
      <c r="E10" s="22" t="n">
        <f aca="false">Costos!E16</f>
        <v>416666.666666667</v>
      </c>
      <c r="F10" s="22" t="n">
        <f aca="false">Costos!F16</f>
        <v>416666.666666667</v>
      </c>
      <c r="G10" s="22" t="n">
        <f aca="false">Costos!G16</f>
        <v>416666.666666667</v>
      </c>
      <c r="H10" s="22" t="n">
        <f aca="false">Costos!H16</f>
        <v>416666.666666667</v>
      </c>
      <c r="I10" s="22" t="n">
        <f aca="false">Costos!I16</f>
        <v>416666.666666667</v>
      </c>
      <c r="J10" s="22" t="n">
        <f aca="false">Costos!J16</f>
        <v>416666.666666667</v>
      </c>
      <c r="K10" s="22" t="n">
        <f aca="false">Costos!K16</f>
        <v>416666.666666667</v>
      </c>
      <c r="L10" s="22" t="n">
        <f aca="false">Costos!L16</f>
        <v>416666.666666667</v>
      </c>
      <c r="M10" s="22" t="n">
        <f aca="false">Costos!M16</f>
        <v>416666.666666667</v>
      </c>
      <c r="N10" s="22" t="n">
        <f aca="false">Costos!N16</f>
        <v>416666.666666667</v>
      </c>
      <c r="O10" s="22" t="n">
        <f aca="false">Costos!O16</f>
        <v>416666.666666667</v>
      </c>
      <c r="P10" s="22" t="n">
        <f aca="false">Costos!P16</f>
        <v>416666.666666667</v>
      </c>
      <c r="Q10" s="22" t="n">
        <f aca="false">Costos!Q16</f>
        <v>416666.666666667</v>
      </c>
      <c r="R10" s="22" t="n">
        <f aca="false">Costos!R16</f>
        <v>416666.666666667</v>
      </c>
      <c r="S10" s="22" t="n">
        <f aca="false">Costos!S16</f>
        <v>416666.666666667</v>
      </c>
      <c r="T10" s="22" t="n">
        <f aca="false">Costos!T16</f>
        <v>416666.666666667</v>
      </c>
      <c r="U10" s="22" t="n">
        <f aca="false">Costos!U16</f>
        <v>416666.666666667</v>
      </c>
      <c r="V10" s="22" t="n">
        <f aca="false">Costos!V16</f>
        <v>416666.666666667</v>
      </c>
      <c r="W10" s="22" t="n">
        <f aca="false">Costos!W16</f>
        <v>416666.666666667</v>
      </c>
      <c r="X10" s="22" t="n">
        <f aca="false">Costos!X16</f>
        <v>416666.666666667</v>
      </c>
      <c r="Y10" s="22" t="n">
        <f aca="false">Costos!Y16</f>
        <v>416666.666666667</v>
      </c>
      <c r="Z10" s="22" t="n">
        <f aca="false">Costos!Z16</f>
        <v>416666.666666667</v>
      </c>
      <c r="AA10" s="22" t="n">
        <f aca="false">Costos!AA16</f>
        <v>416666.666666667</v>
      </c>
      <c r="AB10" s="22" t="n">
        <f aca="false">Costos!AB16</f>
        <v>416666.666666667</v>
      </c>
      <c r="AC10" s="22" t="n">
        <f aca="false">Costos!AC16</f>
        <v>416666.666666667</v>
      </c>
      <c r="AD10" s="22" t="n">
        <f aca="false">Costos!AD16</f>
        <v>416666.666666667</v>
      </c>
      <c r="AE10" s="22" t="n">
        <f aca="false">Costos!AE16</f>
        <v>416666.666666667</v>
      </c>
      <c r="AF10" s="22" t="n">
        <f aca="false">Costos!AF16</f>
        <v>416666.666666667</v>
      </c>
      <c r="AG10" s="22" t="n">
        <f aca="false">Costos!AG16</f>
        <v>416666.666666667</v>
      </c>
      <c r="AH10" s="22" t="n">
        <f aca="false">Costos!AH16</f>
        <v>416666.666666667</v>
      </c>
      <c r="AI10" s="22" t="n">
        <f aca="false">Costos!AI16</f>
        <v>416666.666666667</v>
      </c>
      <c r="AJ10" s="22" t="n">
        <f aca="false">Costos!AJ16</f>
        <v>416666.666666667</v>
      </c>
      <c r="AK10" s="22" t="n">
        <f aca="false">Costos!AK16</f>
        <v>416666.666666667</v>
      </c>
      <c r="AL10" s="22" t="n">
        <f aca="false">Costos!AL16</f>
        <v>416666.666666667</v>
      </c>
      <c r="AM10" s="22" t="n">
        <f aca="false">Costos!AM16</f>
        <v>416666.666666667</v>
      </c>
      <c r="AN10" s="22" t="n">
        <f aca="false">Costos!AN16</f>
        <v>416666.666666667</v>
      </c>
      <c r="AO10" s="22" t="n">
        <f aca="false">Costos!AO16</f>
        <v>416666.666666667</v>
      </c>
      <c r="AP10" s="22" t="n">
        <f aca="false">Costos!AP16</f>
        <v>416666.666666667</v>
      </c>
      <c r="AQ10" s="22" t="n">
        <f aca="false">Costos!AQ16</f>
        <v>416666.666666667</v>
      </c>
      <c r="AR10" s="22" t="n">
        <f aca="false">Costos!AR16</f>
        <v>416666.666666667</v>
      </c>
      <c r="AS10" s="22" t="n">
        <f aca="false">Costos!AS16</f>
        <v>416666.666666667</v>
      </c>
      <c r="AT10" s="22" t="n">
        <f aca="false">Costos!AT16</f>
        <v>416666.666666667</v>
      </c>
      <c r="AU10" s="22" t="n">
        <f aca="false">Costos!AU16</f>
        <v>416666.666666667</v>
      </c>
      <c r="AV10" s="22" t="n">
        <f aca="false">Costos!AV16</f>
        <v>416666.666666667</v>
      </c>
      <c r="AW10" s="22" t="n">
        <f aca="false">Costos!AW16</f>
        <v>416666.666666667</v>
      </c>
      <c r="AX10" s="22" t="n">
        <f aca="false">Costos!AX16</f>
        <v>416666.666666667</v>
      </c>
      <c r="AY10" s="22" t="n">
        <f aca="false">Costos!AY16</f>
        <v>416666.666666667</v>
      </c>
      <c r="AZ10" s="22" t="n">
        <f aca="false">Costos!AZ16</f>
        <v>416666.666666667</v>
      </c>
      <c r="BA10" s="22" t="n">
        <f aca="false">Costos!BA16</f>
        <v>416666.666666667</v>
      </c>
      <c r="BB10" s="22" t="n">
        <f aca="false">Costos!BB16</f>
        <v>416666.666666667</v>
      </c>
      <c r="BC10" s="22" t="n">
        <f aca="false">Costos!BC16</f>
        <v>416666.666666667</v>
      </c>
      <c r="BD10" s="22" t="n">
        <f aca="false">Costos!BD16</f>
        <v>416666.666666667</v>
      </c>
      <c r="BE10" s="22" t="n">
        <f aca="false">Costos!BE16</f>
        <v>416666.666666667</v>
      </c>
      <c r="BF10" s="22" t="n">
        <f aca="false">Costos!BF16</f>
        <v>416666.666666667</v>
      </c>
      <c r="BG10" s="22" t="n">
        <f aca="false">Costos!BG16</f>
        <v>416666.666666667</v>
      </c>
      <c r="BH10" s="22" t="n">
        <f aca="false">Costos!BH16</f>
        <v>416666.666666667</v>
      </c>
      <c r="BI10" s="22" t="n">
        <f aca="false">Costos!BI16</f>
        <v>416666.666666667</v>
      </c>
      <c r="BJ10" s="22" t="n">
        <f aca="false">Costos!BJ16</f>
        <v>416666.666666667</v>
      </c>
      <c r="BK10" s="22" t="n">
        <f aca="false">Costos!BK16</f>
        <v>416666.666666667</v>
      </c>
      <c r="BL10" s="22" t="n">
        <f aca="false">Costos!BL16</f>
        <v>416666.666666667</v>
      </c>
      <c r="BM10" s="22" t="n">
        <f aca="false">Costos!BM16</f>
        <v>416666.666666667</v>
      </c>
      <c r="BN10" s="22" t="n">
        <f aca="false">Costos!BN16</f>
        <v>416666.666666667</v>
      </c>
      <c r="BO10" s="22" t="n">
        <f aca="false">Costos!BO16</f>
        <v>416666.666666667</v>
      </c>
      <c r="BP10" s="22" t="n">
        <f aca="false">Costos!BP16</f>
        <v>416666.666666667</v>
      </c>
      <c r="BQ10" s="22" t="n">
        <f aca="false">Costos!BQ16</f>
        <v>416666.666666667</v>
      </c>
      <c r="BR10" s="22" t="n">
        <f aca="false">Costos!BR16</f>
        <v>416666.666666667</v>
      </c>
      <c r="BS10" s="22" t="n">
        <f aca="false">Costos!BS16</f>
        <v>416666.666666667</v>
      </c>
      <c r="BT10" s="22" t="n">
        <f aca="false">Costos!BT16</f>
        <v>416666.666666667</v>
      </c>
      <c r="BU10" s="22" t="n">
        <f aca="false">Costos!BU16</f>
        <v>416666.666666667</v>
      </c>
      <c r="BV10" s="22" t="n">
        <f aca="false">Costos!BV16</f>
        <v>416666.666666667</v>
      </c>
      <c r="BW10" s="22" t="n">
        <f aca="false">Costos!BW16</f>
        <v>416666.666666667</v>
      </c>
      <c r="BX10" s="22" t="n">
        <f aca="false">Costos!BX16</f>
        <v>416666.666666667</v>
      </c>
      <c r="BY10" s="22" t="n">
        <f aca="false">Costos!BY16</f>
        <v>416666.666666667</v>
      </c>
      <c r="BZ10" s="22" t="n">
        <f aca="false">Costos!BZ16</f>
        <v>416666.666666667</v>
      </c>
      <c r="CA10" s="22" t="n">
        <f aca="false">Costos!CA16</f>
        <v>416666.666666667</v>
      </c>
      <c r="CB10" s="22" t="n">
        <f aca="false">Costos!CB16</f>
        <v>416666.666666667</v>
      </c>
      <c r="CC10" s="22" t="n">
        <f aca="false">Costos!CC16</f>
        <v>416666.666666667</v>
      </c>
      <c r="CD10" s="22" t="n">
        <f aca="false">Costos!CD16</f>
        <v>416666.666666667</v>
      </c>
      <c r="CE10" s="22" t="n">
        <f aca="false">Costos!CE16</f>
        <v>416666.666666667</v>
      </c>
      <c r="CF10" s="22" t="n">
        <f aca="false">Costos!CF16</f>
        <v>416666.666666667</v>
      </c>
      <c r="CG10" s="22" t="n">
        <f aca="false">Costos!CG16</f>
        <v>416666.666666667</v>
      </c>
      <c r="CH10" s="22" t="n">
        <f aca="false">Costos!CH16</f>
        <v>416666.666666667</v>
      </c>
      <c r="CI10" s="22" t="n">
        <f aca="false">Costos!CI16</f>
        <v>416666.666666667</v>
      </c>
      <c r="CJ10" s="22" t="n">
        <f aca="false">Costos!CJ16</f>
        <v>416666.666666667</v>
      </c>
      <c r="CK10" s="22" t="n">
        <f aca="false">Costos!CK16</f>
        <v>416666.666666667</v>
      </c>
      <c r="CL10" s="22" t="n">
        <f aca="false">Costos!CL16</f>
        <v>416666.666666667</v>
      </c>
      <c r="CM10" s="22" t="n">
        <f aca="false">Costos!CM16</f>
        <v>416666.666666667</v>
      </c>
      <c r="CN10" s="22" t="n">
        <f aca="false">Costos!CN16</f>
        <v>416666.666666667</v>
      </c>
      <c r="CO10" s="22" t="n">
        <f aca="false">Costos!CO16</f>
        <v>416666.666666667</v>
      </c>
      <c r="CP10" s="22" t="n">
        <f aca="false">Costos!CP16</f>
        <v>416666.666666667</v>
      </c>
      <c r="CQ10" s="22" t="n">
        <f aca="false">Costos!CQ16</f>
        <v>416666.666666667</v>
      </c>
      <c r="CR10" s="22" t="n">
        <f aca="false">Costos!CR16</f>
        <v>416666.666666667</v>
      </c>
      <c r="CS10" s="22" t="n">
        <f aca="false">Costos!CS16</f>
        <v>416666.666666667</v>
      </c>
      <c r="CT10" s="22" t="n">
        <f aca="false">Costos!CT16</f>
        <v>416666.666666667</v>
      </c>
      <c r="CU10" s="22" t="n">
        <f aca="false">Costos!CU16</f>
        <v>416666.666666667</v>
      </c>
      <c r="CV10" s="22" t="n">
        <f aca="false">Costos!CV16</f>
        <v>416666.666666667</v>
      </c>
      <c r="CW10" s="22" t="n">
        <f aca="false">Costos!CW16</f>
        <v>416666.666666667</v>
      </c>
      <c r="CX10" s="22" t="n">
        <f aca="false">Costos!CX16</f>
        <v>416666.666666667</v>
      </c>
      <c r="CY10" s="22" t="n">
        <f aca="false">Costos!CY16</f>
        <v>416666.666666667</v>
      </c>
      <c r="CZ10" s="22" t="n">
        <f aca="false">Costos!CZ16</f>
        <v>416666.666666667</v>
      </c>
      <c r="DA10" s="22" t="n">
        <f aca="false">Costos!DA16</f>
        <v>416666.666666667</v>
      </c>
      <c r="DB10" s="22" t="n">
        <f aca="false">Costos!DB16</f>
        <v>416666.666666667</v>
      </c>
      <c r="DC10" s="22" t="n">
        <f aca="false">Costos!DC16</f>
        <v>416666.666666667</v>
      </c>
      <c r="DD10" s="22" t="n">
        <f aca="false">Costos!DD16</f>
        <v>416666.666666667</v>
      </c>
      <c r="DE10" s="22" t="n">
        <f aca="false">Costos!DE16</f>
        <v>416666.666666667</v>
      </c>
      <c r="DF10" s="22" t="n">
        <f aca="false">Costos!DF16</f>
        <v>416666.666666667</v>
      </c>
      <c r="DG10" s="22" t="n">
        <f aca="false">Costos!DG16</f>
        <v>416666.666666667</v>
      </c>
      <c r="DH10" s="22" t="n">
        <f aca="false">Costos!DH16</f>
        <v>416666.666666667</v>
      </c>
      <c r="DI10" s="22" t="n">
        <f aca="false">Costos!DI16</f>
        <v>416666.666666667</v>
      </c>
      <c r="DJ10" s="22" t="n">
        <f aca="false">Costos!DJ16</f>
        <v>416666.666666667</v>
      </c>
      <c r="DK10" s="22" t="n">
        <f aca="false">Costos!DK16</f>
        <v>416666.666666667</v>
      </c>
      <c r="DL10" s="22" t="n">
        <f aca="false">Costos!DL16</f>
        <v>416666.666666667</v>
      </c>
      <c r="DM10" s="22" t="n">
        <f aca="false">Costos!DM16</f>
        <v>416666.666666667</v>
      </c>
      <c r="DN10" s="22" t="n">
        <f aca="false">Costos!DN16</f>
        <v>416666.666666667</v>
      </c>
      <c r="DO10" s="22" t="n">
        <f aca="false">Costos!DO16</f>
        <v>416666.666666667</v>
      </c>
      <c r="DP10" s="22" t="n">
        <f aca="false">Costos!DP16</f>
        <v>416666.666666667</v>
      </c>
      <c r="DQ10" s="22" t="n">
        <f aca="false">Costos!DQ16</f>
        <v>416666.666666667</v>
      </c>
      <c r="DR10" s="22" t="n">
        <f aca="false">Costos!DR16</f>
        <v>0</v>
      </c>
      <c r="DS10" s="22" t="n">
        <f aca="false">Costos!DS16</f>
        <v>0</v>
      </c>
      <c r="DT10" s="22" t="n">
        <f aca="false">Costos!DT16</f>
        <v>0</v>
      </c>
      <c r="DU10" s="22" t="n">
        <f aca="false">Costos!DU16</f>
        <v>0</v>
      </c>
      <c r="DV10" s="22" t="n">
        <f aca="false">Costos!DV16</f>
        <v>0</v>
      </c>
      <c r="DW10" s="22" t="n">
        <f aca="false">Costos!DW16</f>
        <v>0</v>
      </c>
      <c r="DX10" s="22" t="n">
        <f aca="false">Costos!DX16</f>
        <v>0</v>
      </c>
      <c r="DY10" s="22" t="n">
        <f aca="false">Costos!DY16</f>
        <v>0</v>
      </c>
      <c r="DZ10" s="22" t="n">
        <f aca="false">Costos!DZ16</f>
        <v>0</v>
      </c>
      <c r="EA10" s="22" t="n">
        <f aca="false">Costos!EA16</f>
        <v>0</v>
      </c>
      <c r="EB10" s="22" t="n">
        <f aca="false">Costos!EB16</f>
        <v>0</v>
      </c>
      <c r="EC10" s="22" t="n">
        <f aca="false">Costos!EC16</f>
        <v>0</v>
      </c>
      <c r="ED10" s="22" t="n">
        <f aca="false">Costos!ED16</f>
        <v>0</v>
      </c>
      <c r="EE10" s="22" t="n">
        <f aca="false">Costos!EE16</f>
        <v>0</v>
      </c>
      <c r="EF10" s="22" t="n">
        <f aca="false">Costos!EF16</f>
        <v>0</v>
      </c>
      <c r="EG10" s="22" t="n">
        <f aca="false">Costos!EG16</f>
        <v>0</v>
      </c>
      <c r="EH10" s="22" t="n">
        <f aca="false">Costos!EH16</f>
        <v>0</v>
      </c>
      <c r="EI10" s="22" t="n">
        <f aca="false">Costos!EI16</f>
        <v>0</v>
      </c>
      <c r="EJ10" s="22" t="n">
        <f aca="false">Costos!EJ16</f>
        <v>0</v>
      </c>
      <c r="EK10" s="22" t="n">
        <f aca="false">Costos!EK16</f>
        <v>0</v>
      </c>
      <c r="EL10" s="22" t="n">
        <f aca="false">Costos!EL16</f>
        <v>0</v>
      </c>
      <c r="EM10" s="22" t="n">
        <f aca="false">Costos!EM16</f>
        <v>0</v>
      </c>
      <c r="EN10" s="22" t="n">
        <f aca="false">Costos!EN16</f>
        <v>0</v>
      </c>
      <c r="EO10" s="22" t="n">
        <f aca="false">Costos!EO16</f>
        <v>0</v>
      </c>
      <c r="EP10" s="22" t="n">
        <f aca="false">Costos!EP16</f>
        <v>0</v>
      </c>
      <c r="EQ10" s="22" t="n">
        <f aca="false">Costos!EQ16</f>
        <v>0</v>
      </c>
      <c r="ER10" s="22" t="n">
        <f aca="false">Costos!ER16</f>
        <v>0</v>
      </c>
      <c r="ES10" s="22" t="n">
        <f aca="false">Costos!ES16</f>
        <v>0</v>
      </c>
      <c r="ET10" s="22" t="n">
        <f aca="false">Costos!ET16</f>
        <v>0</v>
      </c>
      <c r="EU10" s="22" t="n">
        <f aca="false">Costos!EU16</f>
        <v>0</v>
      </c>
      <c r="EV10" s="22" t="n">
        <f aca="false">Costos!EV16</f>
        <v>0</v>
      </c>
      <c r="EW10" s="22" t="n">
        <f aca="false">Costos!EW16</f>
        <v>0</v>
      </c>
      <c r="EX10" s="22" t="n">
        <f aca="false">Costos!EX16</f>
        <v>0</v>
      </c>
      <c r="EY10" s="22" t="n">
        <f aca="false">Costos!EY16</f>
        <v>0</v>
      </c>
      <c r="EZ10" s="22" t="n">
        <f aca="false">Costos!EZ16</f>
        <v>0</v>
      </c>
      <c r="FA10" s="22" t="n">
        <f aca="false">Costos!FA16</f>
        <v>0</v>
      </c>
      <c r="FB10" s="22" t="n">
        <f aca="false">Costos!FB16</f>
        <v>0</v>
      </c>
      <c r="FC10" s="22" t="n">
        <f aca="false">Costos!FC16</f>
        <v>0</v>
      </c>
      <c r="FD10" s="22" t="n">
        <f aca="false">Costos!FD16</f>
        <v>0</v>
      </c>
      <c r="FE10" s="22" t="n">
        <f aca="false">Costos!FE16</f>
        <v>0</v>
      </c>
      <c r="FF10" s="22" t="n">
        <f aca="false">Costos!FF16</f>
        <v>0</v>
      </c>
      <c r="FG10" s="22" t="n">
        <f aca="false">Costos!FG16</f>
        <v>0</v>
      </c>
      <c r="FH10" s="22" t="n">
        <f aca="false">Costos!FH16</f>
        <v>0</v>
      </c>
      <c r="FI10" s="22" t="n">
        <f aca="false">Costos!FI16</f>
        <v>0</v>
      </c>
      <c r="FJ10" s="22" t="n">
        <f aca="false">Costos!FJ16</f>
        <v>0</v>
      </c>
      <c r="FK10" s="22" t="n">
        <f aca="false">Costos!FK16</f>
        <v>0</v>
      </c>
      <c r="FL10" s="22" t="n">
        <f aca="false">Costos!FL16</f>
        <v>0</v>
      </c>
      <c r="FM10" s="22" t="n">
        <f aca="false">Costos!FM16</f>
        <v>0</v>
      </c>
      <c r="FN10" s="22" t="n">
        <f aca="false">Costos!FN16</f>
        <v>0</v>
      </c>
      <c r="FO10" s="22" t="n">
        <f aca="false">Costos!FO16</f>
        <v>0</v>
      </c>
      <c r="FP10" s="22" t="n">
        <f aca="false">Costos!FP16</f>
        <v>0</v>
      </c>
      <c r="FQ10" s="22" t="n">
        <f aca="false">Costos!FQ16</f>
        <v>0</v>
      </c>
      <c r="FR10" s="22" t="n">
        <f aca="false">Costos!FR16</f>
        <v>0</v>
      </c>
      <c r="FS10" s="22" t="n">
        <f aca="false">Costos!FS16</f>
        <v>0</v>
      </c>
      <c r="FT10" s="22" t="n">
        <f aca="false">Costos!FT16</f>
        <v>0</v>
      </c>
      <c r="FU10" s="22" t="n">
        <f aca="false">Costos!FU16</f>
        <v>0</v>
      </c>
      <c r="FV10" s="22" t="n">
        <f aca="false">Costos!FV16</f>
        <v>0</v>
      </c>
      <c r="FW10" s="22" t="n">
        <f aca="false">Costos!FW16</f>
        <v>0</v>
      </c>
      <c r="FX10" s="22" t="n">
        <f aca="false">Costos!FX16</f>
        <v>0</v>
      </c>
      <c r="FY10" s="22" t="n">
        <f aca="false">Costos!FY16</f>
        <v>0</v>
      </c>
      <c r="FZ10" s="22" t="n">
        <f aca="false">Costos!FZ16</f>
        <v>0</v>
      </c>
      <c r="GA10" s="22" t="n">
        <f aca="false">Costos!GA16</f>
        <v>0</v>
      </c>
      <c r="GB10" s="22" t="n">
        <f aca="false">Costos!GB16</f>
        <v>0</v>
      </c>
      <c r="GC10" s="22" t="n">
        <f aca="false">Costos!GC16</f>
        <v>0</v>
      </c>
      <c r="GD10" s="22" t="n">
        <f aca="false">Costos!GD16</f>
        <v>0</v>
      </c>
      <c r="GE10" s="22" t="n">
        <f aca="false">Costos!GE16</f>
        <v>0</v>
      </c>
      <c r="GF10" s="22" t="n">
        <f aca="false">Costos!GF16</f>
        <v>0</v>
      </c>
      <c r="GG10" s="22" t="n">
        <f aca="false">Costos!GG16</f>
        <v>0</v>
      </c>
      <c r="GH10" s="22" t="n">
        <f aca="false">Costos!GH16</f>
        <v>0</v>
      </c>
      <c r="GI10" s="22" t="n">
        <f aca="false">Costos!GI16</f>
        <v>0</v>
      </c>
      <c r="GJ10" s="22" t="n">
        <f aca="false">Costos!GJ16</f>
        <v>0</v>
      </c>
      <c r="GK10" s="22" t="n">
        <f aca="false">Costos!GK16</f>
        <v>0</v>
      </c>
      <c r="GL10" s="22" t="n">
        <f aca="false">Costos!GL16</f>
        <v>0</v>
      </c>
      <c r="GM10" s="22" t="n">
        <f aca="false">Costos!GM16</f>
        <v>0</v>
      </c>
      <c r="GN10" s="22" t="n">
        <f aca="false">Costos!GN16</f>
        <v>0</v>
      </c>
      <c r="GO10" s="22" t="n">
        <f aca="false">Costos!GO16</f>
        <v>0</v>
      </c>
      <c r="GP10" s="22" t="n">
        <f aca="false">Costos!GP16</f>
        <v>0</v>
      </c>
      <c r="GQ10" s="22" t="n">
        <f aca="false">Costos!GQ16</f>
        <v>0</v>
      </c>
      <c r="GR10" s="22" t="n">
        <f aca="false">Costos!GR16</f>
        <v>0</v>
      </c>
      <c r="GS10" s="22" t="n">
        <f aca="false">Costos!GS16</f>
        <v>0</v>
      </c>
      <c r="GT10" s="22" t="n">
        <f aca="false">Costos!GT16</f>
        <v>0</v>
      </c>
      <c r="GU10" s="22" t="n">
        <f aca="false">Costos!GU16</f>
        <v>0</v>
      </c>
      <c r="GV10" s="22" t="n">
        <f aca="false">Costos!GV16</f>
        <v>0</v>
      </c>
      <c r="GW10" s="22" t="n">
        <f aca="false">Costos!GW16</f>
        <v>0</v>
      </c>
      <c r="GX10" s="22" t="n">
        <f aca="false">Costos!GX16</f>
        <v>0</v>
      </c>
      <c r="GY10" s="22" t="n">
        <f aca="false">Costos!GY16</f>
        <v>0</v>
      </c>
      <c r="GZ10" s="22" t="n">
        <f aca="false">Costos!GZ16</f>
        <v>0</v>
      </c>
      <c r="HA10" s="22" t="n">
        <f aca="false">Costos!HA16</f>
        <v>0</v>
      </c>
      <c r="HB10" s="22" t="n">
        <f aca="false">Costos!HB16</f>
        <v>0</v>
      </c>
      <c r="HC10" s="22" t="n">
        <f aca="false">Costos!HC16</f>
        <v>0</v>
      </c>
      <c r="HD10" s="22" t="n">
        <f aca="false">Costos!HD16</f>
        <v>0</v>
      </c>
      <c r="HE10" s="22" t="n">
        <f aca="false">Costos!HE16</f>
        <v>0</v>
      </c>
      <c r="HF10" s="22" t="n">
        <f aca="false">Costos!HF16</f>
        <v>0</v>
      </c>
      <c r="HG10" s="22" t="n">
        <f aca="false">Costos!HG16</f>
        <v>0</v>
      </c>
      <c r="HH10" s="22" t="n">
        <f aca="false">Costos!HH16</f>
        <v>0</v>
      </c>
      <c r="HI10" s="22" t="n">
        <f aca="false">Costos!HI16</f>
        <v>0</v>
      </c>
      <c r="HJ10" s="22" t="n">
        <f aca="false">Costos!HJ16</f>
        <v>0</v>
      </c>
      <c r="HK10" s="22" t="n">
        <f aca="false">Costos!HK16</f>
        <v>0</v>
      </c>
      <c r="HL10" s="22" t="n">
        <f aca="false">Costos!HL16</f>
        <v>0</v>
      </c>
      <c r="HM10" s="22" t="n">
        <f aca="false">Costos!HM16</f>
        <v>0</v>
      </c>
      <c r="HN10" s="22" t="n">
        <f aca="false">Costos!HN16</f>
        <v>0</v>
      </c>
      <c r="HO10" s="22" t="n">
        <f aca="false">Costos!HO16</f>
        <v>0</v>
      </c>
      <c r="HP10" s="22" t="n">
        <f aca="false">Costos!HP16</f>
        <v>0</v>
      </c>
      <c r="HQ10" s="22" t="n">
        <f aca="false">Costos!HQ16</f>
        <v>0</v>
      </c>
      <c r="HR10" s="22" t="n">
        <f aca="false">Costos!HR16</f>
        <v>0</v>
      </c>
      <c r="HS10" s="22" t="n">
        <f aca="false">Costos!HS16</f>
        <v>0</v>
      </c>
      <c r="HT10" s="22" t="n">
        <f aca="false">Costos!HT16</f>
        <v>0</v>
      </c>
      <c r="HU10" s="22" t="n">
        <f aca="false">Costos!HU16</f>
        <v>0</v>
      </c>
      <c r="HV10" s="22" t="n">
        <f aca="false">Costos!HV16</f>
        <v>0</v>
      </c>
      <c r="HW10" s="22" t="n">
        <f aca="false">Costos!HW16</f>
        <v>0</v>
      </c>
      <c r="HX10" s="22" t="n">
        <f aca="false">Costos!HX16</f>
        <v>0</v>
      </c>
      <c r="HY10" s="22" t="n">
        <f aca="false">Costos!HY16</f>
        <v>0</v>
      </c>
      <c r="HZ10" s="22" t="n">
        <f aca="false">Costos!HZ16</f>
        <v>0</v>
      </c>
      <c r="IA10" s="22" t="n">
        <f aca="false">Costos!IA16</f>
        <v>0</v>
      </c>
      <c r="IB10" s="22" t="n">
        <f aca="false">Costos!IB16</f>
        <v>0</v>
      </c>
      <c r="IC10" s="22" t="n">
        <f aca="false">Costos!IC16</f>
        <v>0</v>
      </c>
      <c r="ID10" s="22" t="n">
        <f aca="false">Costos!ID16</f>
        <v>0</v>
      </c>
      <c r="IE10" s="22" t="n">
        <f aca="false">Costos!IE16</f>
        <v>0</v>
      </c>
      <c r="IF10" s="22" t="n">
        <f aca="false">Costos!IF16</f>
        <v>0</v>
      </c>
      <c r="IG10" s="22" t="n">
        <f aca="false">Costos!IG16</f>
        <v>0</v>
      </c>
      <c r="IH10" s="22" t="n">
        <f aca="false">Costos!IH16</f>
        <v>0</v>
      </c>
      <c r="II10" s="22" t="n">
        <f aca="false">Costos!II16</f>
        <v>0</v>
      </c>
      <c r="IJ10" s="22" t="n">
        <f aca="false">Costos!IJ16</f>
        <v>0</v>
      </c>
      <c r="IK10" s="22" t="n">
        <f aca="false">Costos!IK16</f>
        <v>0</v>
      </c>
      <c r="IL10" s="22" t="n">
        <f aca="false">Costos!IL16</f>
        <v>0</v>
      </c>
      <c r="IM10" s="22" t="n">
        <f aca="false">Costos!IM16</f>
        <v>0</v>
      </c>
      <c r="IN10" s="22" t="n">
        <f aca="false">Costos!IN16</f>
        <v>0</v>
      </c>
      <c r="IO10" s="22" t="n">
        <f aca="false">Costos!IO16</f>
        <v>0</v>
      </c>
      <c r="IP10" s="22" t="n">
        <f aca="false">Costos!IP16</f>
        <v>0</v>
      </c>
      <c r="IQ10" s="22" t="n">
        <f aca="false">Costos!IQ16</f>
        <v>0</v>
      </c>
      <c r="IR10" s="22" t="n">
        <f aca="false">Costos!IR16</f>
        <v>0</v>
      </c>
      <c r="IS10" s="22" t="n">
        <f aca="false">Costos!IS16</f>
        <v>0</v>
      </c>
      <c r="IT10" s="22" t="n">
        <f aca="false">Costos!IT16</f>
        <v>0</v>
      </c>
      <c r="IU10" s="22" t="n">
        <f aca="false">Costos!IU16</f>
        <v>0</v>
      </c>
      <c r="IV10" s="22" t="n">
        <f aca="false">Costos!IV16</f>
        <v>0</v>
      </c>
      <c r="IW10" s="22" t="n">
        <f aca="false">Costos!IW16</f>
        <v>0</v>
      </c>
      <c r="IX10" s="22" t="n">
        <f aca="false">Costos!IX16</f>
        <v>0</v>
      </c>
      <c r="IY10" s="22" t="n">
        <f aca="false">Costos!IY16</f>
        <v>0</v>
      </c>
      <c r="IZ10" s="22" t="n">
        <f aca="false">Costos!IZ16</f>
        <v>0</v>
      </c>
      <c r="JA10" s="22" t="n">
        <f aca="false">Costos!JA16</f>
        <v>0</v>
      </c>
      <c r="JB10" s="22" t="n">
        <f aca="false">Costos!JB16</f>
        <v>0</v>
      </c>
      <c r="JC10" s="22" t="n">
        <f aca="false">Costos!JC16</f>
        <v>0</v>
      </c>
      <c r="JD10" s="22" t="n">
        <f aca="false">Costos!JD16</f>
        <v>0</v>
      </c>
      <c r="JE10" s="22" t="n">
        <f aca="false">Costos!JE16</f>
        <v>0</v>
      </c>
      <c r="JF10" s="22" t="n">
        <f aca="false">Costos!JF16</f>
        <v>0</v>
      </c>
      <c r="JG10" s="22" t="n">
        <f aca="false">Costos!JG16</f>
        <v>0</v>
      </c>
      <c r="JH10" s="22" t="n">
        <f aca="false">Costos!JH16</f>
        <v>0</v>
      </c>
      <c r="JI10" s="22" t="n">
        <f aca="false">Costos!JI16</f>
        <v>0</v>
      </c>
      <c r="JJ10" s="22" t="n">
        <f aca="false">Costos!JJ16</f>
        <v>0</v>
      </c>
      <c r="JK10" s="22" t="n">
        <f aca="false">Costos!JK16</f>
        <v>0</v>
      </c>
      <c r="JL10" s="22" t="n">
        <f aca="false">Costos!JL16</f>
        <v>0</v>
      </c>
      <c r="JM10" s="22" t="n">
        <f aca="false">Costos!JM16</f>
        <v>0</v>
      </c>
      <c r="JN10" s="22" t="n">
        <f aca="false">Costos!JN16</f>
        <v>0</v>
      </c>
      <c r="JO10" s="22" t="n">
        <f aca="false">Costos!JO16</f>
        <v>0</v>
      </c>
      <c r="JP10" s="22" t="n">
        <f aca="false">Costos!JP16</f>
        <v>0</v>
      </c>
      <c r="JQ10" s="22" t="n">
        <f aca="false">Costos!JQ16</f>
        <v>0</v>
      </c>
      <c r="JR10" s="22" t="n">
        <f aca="false">Costos!JR16</f>
        <v>0</v>
      </c>
      <c r="JS10" s="22" t="n">
        <f aca="false">Costos!JS16</f>
        <v>0</v>
      </c>
      <c r="JT10" s="22" t="n">
        <f aca="false">Costos!JT16</f>
        <v>0</v>
      </c>
      <c r="JU10" s="22" t="n">
        <f aca="false">Costos!JU16</f>
        <v>0</v>
      </c>
      <c r="JV10" s="22" t="n">
        <f aca="false">Costos!JV16</f>
        <v>0</v>
      </c>
      <c r="JW10" s="22" t="n">
        <f aca="false">Costos!JW16</f>
        <v>0</v>
      </c>
      <c r="JX10" s="22" t="n">
        <f aca="false">Costos!JX16</f>
        <v>0</v>
      </c>
      <c r="JY10" s="22" t="n">
        <f aca="false">Costos!JY16</f>
        <v>0</v>
      </c>
      <c r="JZ10" s="22" t="n">
        <f aca="false">Costos!JZ16</f>
        <v>0</v>
      </c>
      <c r="KA10" s="22" t="n">
        <f aca="false">Costos!KA16</f>
        <v>0</v>
      </c>
      <c r="KB10" s="22" t="n">
        <f aca="false">Costos!KB16</f>
        <v>0</v>
      </c>
      <c r="KC10" s="22" t="n">
        <f aca="false">Costos!KC16</f>
        <v>0</v>
      </c>
      <c r="KD10" s="22" t="n">
        <f aca="false">Costos!KD16</f>
        <v>0</v>
      </c>
      <c r="KE10" s="22" t="n">
        <f aca="false">Costos!KE16</f>
        <v>0</v>
      </c>
      <c r="KF10" s="22" t="n">
        <f aca="false">Costos!KF16</f>
        <v>0</v>
      </c>
      <c r="KG10" s="22" t="n">
        <f aca="false">Costos!KG16</f>
        <v>0</v>
      </c>
      <c r="KH10" s="22" t="n">
        <f aca="false">Costos!KH16</f>
        <v>0</v>
      </c>
      <c r="KI10" s="22" t="n">
        <f aca="false">Costos!KI16</f>
        <v>0</v>
      </c>
      <c r="KJ10" s="22" t="n">
        <f aca="false">Costos!KJ16</f>
        <v>0</v>
      </c>
      <c r="KK10" s="22" t="n">
        <f aca="false">Costos!KK16</f>
        <v>0</v>
      </c>
      <c r="KL10" s="22" t="n">
        <f aca="false">Costos!KL16</f>
        <v>0</v>
      </c>
      <c r="KM10" s="22" t="n">
        <f aca="false">Costos!KM16</f>
        <v>0</v>
      </c>
      <c r="KN10" s="22" t="n">
        <f aca="false">Costos!KN16</f>
        <v>0</v>
      </c>
      <c r="KO10" s="22" t="n">
        <f aca="false">Costos!KO16</f>
        <v>0</v>
      </c>
    </row>
    <row r="11" customFormat="false" ht="14.25" hidden="false" customHeight="false" outlineLevel="0" collapsed="false">
      <c r="A11" s="14" t="s">
        <v>399</v>
      </c>
      <c r="B11" s="18" t="n">
        <f aca="false">B9-B10</f>
        <v>-575666.666666667</v>
      </c>
      <c r="C11" s="18" t="n">
        <f aca="false">C9-C10</f>
        <v>-575666.666666667</v>
      </c>
      <c r="D11" s="18" t="n">
        <f aca="false">D9-D10</f>
        <v>-575666.666666667</v>
      </c>
      <c r="E11" s="18" t="n">
        <f aca="false">E9-E10</f>
        <v>-575666.666666667</v>
      </c>
      <c r="F11" s="18" t="n">
        <f aca="false">F9-F10</f>
        <v>-575666.666666667</v>
      </c>
      <c r="G11" s="18" t="n">
        <f aca="false">G9-G10</f>
        <v>-575666.666666667</v>
      </c>
      <c r="H11" s="18" t="n">
        <f aca="false">H9-H10</f>
        <v>-575666.666666667</v>
      </c>
      <c r="I11" s="18" t="n">
        <f aca="false">I9-I10</f>
        <v>-575666.666666667</v>
      </c>
      <c r="J11" s="18" t="n">
        <f aca="false">J9-J10</f>
        <v>-575666.666666667</v>
      </c>
      <c r="K11" s="18" t="n">
        <f aca="false">K9-K10</f>
        <v>-575666.666666667</v>
      </c>
      <c r="L11" s="18" t="n">
        <f aca="false">L9-L10</f>
        <v>-575666.666666667</v>
      </c>
      <c r="M11" s="18" t="n">
        <f aca="false">M9-M10</f>
        <v>-575666.666666667</v>
      </c>
      <c r="N11" s="18" t="n">
        <f aca="false">N9-N10</f>
        <v>-103796.666666667</v>
      </c>
      <c r="O11" s="18" t="n">
        <f aca="false">O9-O10</f>
        <v>-103796.666666667</v>
      </c>
      <c r="P11" s="18" t="n">
        <f aca="false">P9-P10</f>
        <v>-103796.666666667</v>
      </c>
      <c r="Q11" s="18" t="n">
        <f aca="false">Q9-Q10</f>
        <v>-103796.666666667</v>
      </c>
      <c r="R11" s="18" t="n">
        <f aca="false">R9-R10</f>
        <v>-103796.666666667</v>
      </c>
      <c r="S11" s="18" t="n">
        <f aca="false">S9-S10</f>
        <v>-103796.666666667</v>
      </c>
      <c r="T11" s="18" t="n">
        <f aca="false">T9-T10</f>
        <v>-103796.666666667</v>
      </c>
      <c r="U11" s="18" t="n">
        <f aca="false">U9-U10</f>
        <v>-103796.666666667</v>
      </c>
      <c r="V11" s="18" t="n">
        <f aca="false">V9-V10</f>
        <v>-103796.666666667</v>
      </c>
      <c r="W11" s="18" t="n">
        <f aca="false">W9-W10</f>
        <v>-103796.666666667</v>
      </c>
      <c r="X11" s="18" t="n">
        <f aca="false">X9-X10</f>
        <v>-103796.666666667</v>
      </c>
      <c r="Y11" s="18" t="n">
        <f aca="false">Y9-Y10</f>
        <v>-103796.666666667</v>
      </c>
      <c r="Z11" s="18" t="n">
        <f aca="false">Z9-Z10</f>
        <v>401104.233333334</v>
      </c>
      <c r="AA11" s="18" t="n">
        <f aca="false">AA9-AA10</f>
        <v>401104.233333334</v>
      </c>
      <c r="AB11" s="18" t="n">
        <f aca="false">AB9-AB10</f>
        <v>401104.233333334</v>
      </c>
      <c r="AC11" s="18" t="n">
        <f aca="false">AC9-AC10</f>
        <v>401104.233333334</v>
      </c>
      <c r="AD11" s="18" t="n">
        <f aca="false">AD9-AD10</f>
        <v>401104.233333334</v>
      </c>
      <c r="AE11" s="18" t="n">
        <f aca="false">AE9-AE10</f>
        <v>401104.233333334</v>
      </c>
      <c r="AF11" s="18" t="n">
        <f aca="false">AF9-AF10</f>
        <v>401104.233333334</v>
      </c>
      <c r="AG11" s="18" t="n">
        <f aca="false">AG9-AG10</f>
        <v>401104.233333334</v>
      </c>
      <c r="AH11" s="18" t="n">
        <f aca="false">AH9-AH10</f>
        <v>401104.233333334</v>
      </c>
      <c r="AI11" s="18" t="n">
        <f aca="false">AI9-AI10</f>
        <v>401104.233333334</v>
      </c>
      <c r="AJ11" s="18" t="n">
        <f aca="false">AJ9-AJ10</f>
        <v>401104.233333334</v>
      </c>
      <c r="AK11" s="18" t="n">
        <f aca="false">AK9-AK10</f>
        <v>401104.233333334</v>
      </c>
      <c r="AL11" s="18" t="n">
        <f aca="false">AL9-AL10</f>
        <v>941348.196333334</v>
      </c>
      <c r="AM11" s="18" t="n">
        <f aca="false">AM9-AM10</f>
        <v>941348.196333334</v>
      </c>
      <c r="AN11" s="18" t="n">
        <f aca="false">AN9-AN10</f>
        <v>941348.196333334</v>
      </c>
      <c r="AO11" s="18" t="n">
        <f aca="false">AO9-AO10</f>
        <v>941348.196333334</v>
      </c>
      <c r="AP11" s="18" t="n">
        <f aca="false">AP9-AP10</f>
        <v>941348.196333334</v>
      </c>
      <c r="AQ11" s="18" t="n">
        <f aca="false">AQ9-AQ10</f>
        <v>941348.196333334</v>
      </c>
      <c r="AR11" s="18" t="n">
        <f aca="false">AR9-AR10</f>
        <v>941348.196333334</v>
      </c>
      <c r="AS11" s="18" t="n">
        <f aca="false">AS9-AS10</f>
        <v>941348.196333334</v>
      </c>
      <c r="AT11" s="18" t="n">
        <f aca="false">AT9-AT10</f>
        <v>941348.196333334</v>
      </c>
      <c r="AU11" s="18" t="n">
        <f aca="false">AU9-AU10</f>
        <v>941348.196333334</v>
      </c>
      <c r="AV11" s="18" t="n">
        <f aca="false">AV9-AV10</f>
        <v>941348.196333334</v>
      </c>
      <c r="AW11" s="18" t="n">
        <f aca="false">AW9-AW10</f>
        <v>941348.196333334</v>
      </c>
      <c r="AX11" s="18" t="n">
        <f aca="false">AX9-AX10</f>
        <v>1519409.23674334</v>
      </c>
      <c r="AY11" s="18" t="n">
        <f aca="false">AY9-AY10</f>
        <v>1519409.23674334</v>
      </c>
      <c r="AZ11" s="18" t="n">
        <f aca="false">AZ9-AZ10</f>
        <v>1519409.23674334</v>
      </c>
      <c r="BA11" s="18" t="n">
        <f aca="false">BA9-BA10</f>
        <v>1519409.23674334</v>
      </c>
      <c r="BB11" s="18" t="n">
        <f aca="false">BB9-BB10</f>
        <v>1519409.23674334</v>
      </c>
      <c r="BC11" s="18" t="n">
        <f aca="false">BC9-BC10</f>
        <v>1519409.23674334</v>
      </c>
      <c r="BD11" s="18" t="n">
        <f aca="false">BD9-BD10</f>
        <v>1519409.23674334</v>
      </c>
      <c r="BE11" s="18" t="n">
        <f aca="false">BE9-BE10</f>
        <v>1519409.23674334</v>
      </c>
      <c r="BF11" s="18" t="n">
        <f aca="false">BF9-BF10</f>
        <v>1519409.23674334</v>
      </c>
      <c r="BG11" s="18" t="n">
        <f aca="false">BG9-BG10</f>
        <v>1519409.23674334</v>
      </c>
      <c r="BH11" s="18" t="n">
        <f aca="false">BH9-BH10</f>
        <v>1519409.23674334</v>
      </c>
      <c r="BI11" s="18" t="n">
        <f aca="false">BI9-BI10</f>
        <v>1519409.23674334</v>
      </c>
      <c r="BJ11" s="18" t="n">
        <f aca="false">BJ9-BJ10</f>
        <v>2137934.54998204</v>
      </c>
      <c r="BK11" s="18" t="n">
        <f aca="false">BK9-BK10</f>
        <v>2137934.54998204</v>
      </c>
      <c r="BL11" s="18" t="n">
        <f aca="false">BL9-BL10</f>
        <v>2137934.54998204</v>
      </c>
      <c r="BM11" s="18" t="n">
        <f aca="false">BM9-BM10</f>
        <v>2137934.54998204</v>
      </c>
      <c r="BN11" s="18" t="n">
        <f aca="false">BN9-BN10</f>
        <v>2137934.54998204</v>
      </c>
      <c r="BO11" s="18" t="n">
        <f aca="false">BO9-BO10</f>
        <v>2137934.54998204</v>
      </c>
      <c r="BP11" s="18" t="n">
        <f aca="false">BP9-BP10</f>
        <v>2137934.54998204</v>
      </c>
      <c r="BQ11" s="18" t="n">
        <f aca="false">BQ9-BQ10</f>
        <v>2137934.54998204</v>
      </c>
      <c r="BR11" s="18" t="n">
        <f aca="false">BR9-BR10</f>
        <v>2137934.54998204</v>
      </c>
      <c r="BS11" s="18" t="n">
        <f aca="false">BS9-BS10</f>
        <v>2137934.54998204</v>
      </c>
      <c r="BT11" s="18" t="n">
        <f aca="false">BT9-BT10</f>
        <v>2137934.54998204</v>
      </c>
      <c r="BU11" s="18" t="n">
        <f aca="false">BU9-BU10</f>
        <v>2137934.54998204</v>
      </c>
      <c r="BV11" s="18" t="n">
        <f aca="false">BV9-BV10</f>
        <v>2799756.63514745</v>
      </c>
      <c r="BW11" s="18" t="n">
        <f aca="false">BW9-BW10</f>
        <v>2799756.63514745</v>
      </c>
      <c r="BX11" s="18" t="n">
        <f aca="false">BX9-BX10</f>
        <v>2799756.63514745</v>
      </c>
      <c r="BY11" s="18" t="n">
        <f aca="false">BY9-BY10</f>
        <v>2799756.63514745</v>
      </c>
      <c r="BZ11" s="18" t="n">
        <f aca="false">BZ9-BZ10</f>
        <v>2799756.63514745</v>
      </c>
      <c r="CA11" s="18" t="n">
        <f aca="false">CA9-CA10</f>
        <v>2799756.63514745</v>
      </c>
      <c r="CB11" s="18" t="n">
        <f aca="false">CB9-CB10</f>
        <v>2799756.63514745</v>
      </c>
      <c r="CC11" s="18" t="n">
        <f aca="false">CC9-CC10</f>
        <v>2799756.63514745</v>
      </c>
      <c r="CD11" s="18" t="n">
        <f aca="false">CD9-CD10</f>
        <v>2799756.63514745</v>
      </c>
      <c r="CE11" s="18" t="n">
        <f aca="false">CE9-CE10</f>
        <v>2799756.63514745</v>
      </c>
      <c r="CF11" s="18" t="n">
        <f aca="false">CF9-CF10</f>
        <v>2799756.63514745</v>
      </c>
      <c r="CG11" s="18" t="n">
        <f aca="false">CG9-CG10</f>
        <v>2799756.63514745</v>
      </c>
      <c r="CH11" s="18" t="n">
        <f aca="false">CH9-CH10</f>
        <v>3507906.26627444</v>
      </c>
      <c r="CI11" s="18" t="n">
        <f aca="false">CI9-CI10</f>
        <v>3507906.26627444</v>
      </c>
      <c r="CJ11" s="18" t="n">
        <f aca="false">CJ9-CJ10</f>
        <v>3507906.26627444</v>
      </c>
      <c r="CK11" s="18" t="n">
        <f aca="false">CK9-CK10</f>
        <v>3507906.26627444</v>
      </c>
      <c r="CL11" s="18" t="n">
        <f aca="false">CL9-CL10</f>
        <v>3507906.26627444</v>
      </c>
      <c r="CM11" s="18" t="n">
        <f aca="false">CM9-CM10</f>
        <v>3507906.26627444</v>
      </c>
      <c r="CN11" s="18" t="n">
        <f aca="false">CN9-CN10</f>
        <v>3507906.26627444</v>
      </c>
      <c r="CO11" s="18" t="n">
        <f aca="false">CO9-CO10</f>
        <v>3507906.26627444</v>
      </c>
      <c r="CP11" s="18" t="n">
        <f aca="false">CP9-CP10</f>
        <v>3507906.26627444</v>
      </c>
      <c r="CQ11" s="18" t="n">
        <f aca="false">CQ9-CQ10</f>
        <v>3507906.26627444</v>
      </c>
      <c r="CR11" s="18" t="n">
        <f aca="false">CR9-CR10</f>
        <v>3507906.26627444</v>
      </c>
      <c r="CS11" s="18" t="n">
        <f aca="false">CS9-CS10</f>
        <v>3507906.26627444</v>
      </c>
      <c r="CT11" s="18" t="n">
        <f aca="false">CT9-CT10</f>
        <v>4265626.37158031</v>
      </c>
      <c r="CU11" s="18" t="n">
        <f aca="false">CU9-CU10</f>
        <v>4265626.37158031</v>
      </c>
      <c r="CV11" s="18" t="n">
        <f aca="false">CV9-CV10</f>
        <v>4265626.37158031</v>
      </c>
      <c r="CW11" s="18" t="n">
        <f aca="false">CW9-CW10</f>
        <v>4265626.37158031</v>
      </c>
      <c r="CX11" s="18" t="n">
        <f aca="false">CX9-CX10</f>
        <v>4265626.37158031</v>
      </c>
      <c r="CY11" s="18" t="n">
        <f aca="false">CY9-CY10</f>
        <v>4265626.37158031</v>
      </c>
      <c r="CZ11" s="18" t="n">
        <f aca="false">CZ9-CZ10</f>
        <v>4265626.37158031</v>
      </c>
      <c r="DA11" s="18" t="n">
        <f aca="false">DA9-DA10</f>
        <v>4265626.37158031</v>
      </c>
      <c r="DB11" s="18" t="n">
        <f aca="false">DB9-DB10</f>
        <v>4265626.37158031</v>
      </c>
      <c r="DC11" s="18" t="n">
        <f aca="false">DC9-DC10</f>
        <v>4265626.37158031</v>
      </c>
      <c r="DD11" s="18" t="n">
        <f aca="false">DD9-DD10</f>
        <v>4265626.37158031</v>
      </c>
      <c r="DE11" s="18" t="n">
        <f aca="false">DE9-DE10</f>
        <v>4265626.37158031</v>
      </c>
      <c r="DF11" s="18" t="n">
        <f aca="false">DF9-DF10</f>
        <v>5076386.8842576</v>
      </c>
      <c r="DG11" s="18" t="n">
        <f aca="false">DG9-DG10</f>
        <v>5076386.8842576</v>
      </c>
      <c r="DH11" s="18" t="n">
        <f aca="false">DH9-DH10</f>
        <v>5076386.8842576</v>
      </c>
      <c r="DI11" s="18" t="n">
        <f aca="false">DI9-DI10</f>
        <v>5076386.8842576</v>
      </c>
      <c r="DJ11" s="18" t="n">
        <f aca="false">DJ9-DJ10</f>
        <v>5076386.8842576</v>
      </c>
      <c r="DK11" s="18" t="n">
        <f aca="false">DK9-DK10</f>
        <v>5076386.8842576</v>
      </c>
      <c r="DL11" s="18" t="n">
        <f aca="false">DL9-DL10</f>
        <v>5076386.8842576</v>
      </c>
      <c r="DM11" s="18" t="n">
        <f aca="false">DM9-DM10</f>
        <v>5076386.8842576</v>
      </c>
      <c r="DN11" s="18" t="n">
        <f aca="false">DN9-DN10</f>
        <v>5076386.8842576</v>
      </c>
      <c r="DO11" s="18" t="n">
        <f aca="false">DO9-DO10</f>
        <v>5076386.8842576</v>
      </c>
      <c r="DP11" s="18" t="n">
        <f aca="false">DP9-DP10</f>
        <v>5076386.8842576</v>
      </c>
      <c r="DQ11" s="18" t="n">
        <f aca="false">DQ9-DQ10</f>
        <v>5076386.8842576</v>
      </c>
      <c r="DR11" s="18" t="n">
        <f aca="false">DR9-DR10</f>
        <v>6360567.29948897</v>
      </c>
      <c r="DS11" s="18" t="n">
        <f aca="false">DS9-DS10</f>
        <v>6360567.29948897</v>
      </c>
      <c r="DT11" s="18" t="n">
        <f aca="false">DT9-DT10</f>
        <v>6360567.29948897</v>
      </c>
      <c r="DU11" s="18" t="n">
        <f aca="false">DU9-DU10</f>
        <v>6360567.29948897</v>
      </c>
      <c r="DV11" s="18" t="n">
        <f aca="false">DV9-DV10</f>
        <v>6360567.29948897</v>
      </c>
      <c r="DW11" s="18" t="n">
        <f aca="false">DW9-DW10</f>
        <v>6360567.29948897</v>
      </c>
      <c r="DX11" s="18" t="n">
        <f aca="false">DX9-DX10</f>
        <v>6360567.29948897</v>
      </c>
      <c r="DY11" s="18" t="n">
        <f aca="false">DY9-DY10</f>
        <v>6360567.29948897</v>
      </c>
      <c r="DZ11" s="18" t="n">
        <f aca="false">DZ9-DZ10</f>
        <v>6360567.29948897</v>
      </c>
      <c r="EA11" s="18" t="n">
        <f aca="false">EA9-EA10</f>
        <v>6360567.29948897</v>
      </c>
      <c r="EB11" s="18" t="n">
        <f aca="false">EB9-EB10</f>
        <v>6360567.29948897</v>
      </c>
      <c r="EC11" s="18" t="n">
        <f aca="false">EC9-EC10</f>
        <v>6360567.29948897</v>
      </c>
      <c r="ED11" s="18" t="n">
        <f aca="false">ED9-ED10</f>
        <v>7288807.0104532</v>
      </c>
      <c r="EE11" s="18" t="n">
        <f aca="false">EE9-EE10</f>
        <v>7288807.0104532</v>
      </c>
      <c r="EF11" s="18" t="n">
        <f aca="false">EF9-EF10</f>
        <v>7288807.0104532</v>
      </c>
      <c r="EG11" s="18" t="n">
        <f aca="false">EG9-EG10</f>
        <v>7288807.0104532</v>
      </c>
      <c r="EH11" s="18" t="n">
        <f aca="false">EH9-EH10</f>
        <v>7288807.0104532</v>
      </c>
      <c r="EI11" s="18" t="n">
        <f aca="false">EI9-EI10</f>
        <v>7288807.0104532</v>
      </c>
      <c r="EJ11" s="18" t="n">
        <f aca="false">EJ9-EJ10</f>
        <v>7288807.0104532</v>
      </c>
      <c r="EK11" s="18" t="n">
        <f aca="false">EK9-EK10</f>
        <v>7288807.0104532</v>
      </c>
      <c r="EL11" s="18" t="n">
        <f aca="false">EL9-EL10</f>
        <v>7288807.0104532</v>
      </c>
      <c r="EM11" s="18" t="n">
        <f aca="false">EM9-EM10</f>
        <v>7288807.0104532</v>
      </c>
      <c r="EN11" s="18" t="n">
        <f aca="false">EN9-EN10</f>
        <v>7288807.0104532</v>
      </c>
      <c r="EO11" s="18" t="n">
        <f aca="false">EO9-EO10</f>
        <v>7288807.0104532</v>
      </c>
      <c r="EP11" s="18" t="n">
        <f aca="false">EP9-EP10</f>
        <v>8282023.50118492</v>
      </c>
      <c r="EQ11" s="18" t="n">
        <f aca="false">EQ9-EQ10</f>
        <v>8282023.50118492</v>
      </c>
      <c r="ER11" s="18" t="n">
        <f aca="false">ER9-ER10</f>
        <v>8282023.50118492</v>
      </c>
      <c r="ES11" s="18" t="n">
        <f aca="false">ES9-ES10</f>
        <v>8282023.50118492</v>
      </c>
      <c r="ET11" s="18" t="n">
        <f aca="false">ET9-ET10</f>
        <v>8282023.50118492</v>
      </c>
      <c r="EU11" s="18" t="n">
        <f aca="false">EU9-EU10</f>
        <v>8282023.50118492</v>
      </c>
      <c r="EV11" s="18" t="n">
        <f aca="false">EV9-EV10</f>
        <v>8282023.50118492</v>
      </c>
      <c r="EW11" s="18" t="n">
        <f aca="false">EW9-EW10</f>
        <v>8282023.50118492</v>
      </c>
      <c r="EX11" s="18" t="n">
        <f aca="false">EX9-EX10</f>
        <v>8282023.50118492</v>
      </c>
      <c r="EY11" s="18" t="n">
        <f aca="false">EY9-EY10</f>
        <v>8282023.50118492</v>
      </c>
      <c r="EZ11" s="18" t="n">
        <f aca="false">EZ9-EZ10</f>
        <v>8282023.50118492</v>
      </c>
      <c r="FA11" s="18" t="n">
        <f aca="false">FA9-FA10</f>
        <v>8282023.50118492</v>
      </c>
      <c r="FB11" s="18" t="n">
        <f aca="false">FB9-FB10</f>
        <v>9344765.14626787</v>
      </c>
      <c r="FC11" s="18" t="n">
        <f aca="false">FC9-FC10</f>
        <v>9344765.14626787</v>
      </c>
      <c r="FD11" s="18" t="n">
        <f aca="false">FD9-FD10</f>
        <v>9344765.14626787</v>
      </c>
      <c r="FE11" s="18" t="n">
        <f aca="false">FE9-FE10</f>
        <v>9344765.14626787</v>
      </c>
      <c r="FF11" s="18" t="n">
        <f aca="false">FF9-FF10</f>
        <v>9344765.14626787</v>
      </c>
      <c r="FG11" s="18" t="n">
        <f aca="false">FG9-FG10</f>
        <v>9344765.14626787</v>
      </c>
      <c r="FH11" s="18" t="n">
        <f aca="false">FH9-FH10</f>
        <v>9344765.14626787</v>
      </c>
      <c r="FI11" s="18" t="n">
        <f aca="false">FI9-FI10</f>
        <v>9344765.14626787</v>
      </c>
      <c r="FJ11" s="18" t="n">
        <f aca="false">FJ9-FJ10</f>
        <v>9344765.14626787</v>
      </c>
      <c r="FK11" s="18" t="n">
        <f aca="false">FK9-FK10</f>
        <v>9344765.14626787</v>
      </c>
      <c r="FL11" s="18" t="n">
        <f aca="false">FL9-FL10</f>
        <v>9344765.14626787</v>
      </c>
      <c r="FM11" s="18" t="n">
        <f aca="false">FM9-FM10</f>
        <v>9344765.14626787</v>
      </c>
      <c r="FN11" s="18" t="n">
        <f aca="false">FN9-FN10</f>
        <v>10481898.7065066</v>
      </c>
      <c r="FO11" s="18" t="n">
        <f aca="false">FO9-FO10</f>
        <v>10481898.7065066</v>
      </c>
      <c r="FP11" s="18" t="n">
        <f aca="false">FP9-FP10</f>
        <v>10481898.7065066</v>
      </c>
      <c r="FQ11" s="18" t="n">
        <f aca="false">FQ9-FQ10</f>
        <v>10481898.7065066</v>
      </c>
      <c r="FR11" s="18" t="n">
        <f aca="false">FR9-FR10</f>
        <v>10481898.7065066</v>
      </c>
      <c r="FS11" s="18" t="n">
        <f aca="false">FS9-FS10</f>
        <v>10481898.7065066</v>
      </c>
      <c r="FT11" s="18" t="n">
        <f aca="false">FT9-FT10</f>
        <v>10481898.7065066</v>
      </c>
      <c r="FU11" s="18" t="n">
        <f aca="false">FU9-FU10</f>
        <v>10481898.7065066</v>
      </c>
      <c r="FV11" s="18" t="n">
        <f aca="false">FV9-FV10</f>
        <v>10481898.7065066</v>
      </c>
      <c r="FW11" s="18" t="n">
        <f aca="false">FW9-FW10</f>
        <v>10481898.7065066</v>
      </c>
      <c r="FX11" s="18" t="n">
        <f aca="false">FX9-FX10</f>
        <v>10481898.7065066</v>
      </c>
      <c r="FY11" s="18" t="n">
        <f aca="false">FY9-FY10</f>
        <v>10481898.7065066</v>
      </c>
      <c r="FZ11" s="18" t="n">
        <f aca="false">FZ9-FZ10</f>
        <v>11698631.6159621</v>
      </c>
      <c r="GA11" s="18" t="n">
        <f aca="false">GA9-GA10</f>
        <v>11698631.6159621</v>
      </c>
      <c r="GB11" s="18" t="n">
        <f aca="false">GB9-GB10</f>
        <v>11698631.6159621</v>
      </c>
      <c r="GC11" s="18" t="n">
        <f aca="false">GC9-GC10</f>
        <v>11698631.6159621</v>
      </c>
      <c r="GD11" s="18" t="n">
        <f aca="false">GD9-GD10</f>
        <v>11698631.6159621</v>
      </c>
      <c r="GE11" s="18" t="n">
        <f aca="false">GE9-GE10</f>
        <v>11698631.6159621</v>
      </c>
      <c r="GF11" s="18" t="n">
        <f aca="false">GF9-GF10</f>
        <v>11698631.6159621</v>
      </c>
      <c r="GG11" s="18" t="n">
        <f aca="false">GG9-GG10</f>
        <v>11698631.6159621</v>
      </c>
      <c r="GH11" s="18" t="n">
        <f aca="false">GH9-GH10</f>
        <v>11698631.6159621</v>
      </c>
      <c r="GI11" s="18" t="n">
        <f aca="false">GI9-GI10</f>
        <v>11698631.6159621</v>
      </c>
      <c r="GJ11" s="18" t="n">
        <f aca="false">GJ9-GJ10</f>
        <v>11698631.6159621</v>
      </c>
      <c r="GK11" s="18" t="n">
        <f aca="false">GK9-GK10</f>
        <v>11698631.6159621</v>
      </c>
      <c r="GL11" s="18" t="n">
        <f aca="false">GL9-GL10</f>
        <v>13000535.8290794</v>
      </c>
      <c r="GM11" s="18" t="n">
        <f aca="false">GM9-GM10</f>
        <v>13000535.8290794</v>
      </c>
      <c r="GN11" s="18" t="n">
        <f aca="false">GN9-GN10</f>
        <v>13000535.8290794</v>
      </c>
      <c r="GO11" s="18" t="n">
        <f aca="false">GO9-GO10</f>
        <v>13000535.8290794</v>
      </c>
      <c r="GP11" s="18" t="n">
        <f aca="false">GP9-GP10</f>
        <v>13000535.8290794</v>
      </c>
      <c r="GQ11" s="18" t="n">
        <f aca="false">GQ9-GQ10</f>
        <v>13000535.8290794</v>
      </c>
      <c r="GR11" s="18" t="n">
        <f aca="false">GR9-GR10</f>
        <v>13000535.8290794</v>
      </c>
      <c r="GS11" s="18" t="n">
        <f aca="false">GS9-GS10</f>
        <v>13000535.8290794</v>
      </c>
      <c r="GT11" s="18" t="n">
        <f aca="false">GT9-GT10</f>
        <v>13000535.8290794</v>
      </c>
      <c r="GU11" s="18" t="n">
        <f aca="false">GU9-GU10</f>
        <v>13000535.8290794</v>
      </c>
      <c r="GV11" s="18" t="n">
        <f aca="false">GV9-GV10</f>
        <v>13000535.8290794</v>
      </c>
      <c r="GW11" s="18" t="n">
        <f aca="false">GW9-GW10</f>
        <v>13000535.8290794</v>
      </c>
      <c r="GX11" s="18" t="n">
        <f aca="false">GX9-GX10</f>
        <v>14393573.337115</v>
      </c>
      <c r="GY11" s="18" t="n">
        <f aca="false">GY9-GY10</f>
        <v>14393573.337115</v>
      </c>
      <c r="GZ11" s="18" t="n">
        <f aca="false">GZ9-GZ10</f>
        <v>14393573.337115</v>
      </c>
      <c r="HA11" s="18" t="n">
        <f aca="false">HA9-HA10</f>
        <v>14393573.337115</v>
      </c>
      <c r="HB11" s="18" t="n">
        <f aca="false">HB9-HB10</f>
        <v>14393573.337115</v>
      </c>
      <c r="HC11" s="18" t="n">
        <f aca="false">HC9-HC10</f>
        <v>14393573.337115</v>
      </c>
      <c r="HD11" s="18" t="n">
        <f aca="false">HD9-HD10</f>
        <v>14393573.337115</v>
      </c>
      <c r="HE11" s="18" t="n">
        <f aca="false">HE9-HE10</f>
        <v>14393573.337115</v>
      </c>
      <c r="HF11" s="18" t="n">
        <f aca="false">HF9-HF10</f>
        <v>14393573.337115</v>
      </c>
      <c r="HG11" s="18" t="n">
        <f aca="false">HG9-HG10</f>
        <v>14393573.337115</v>
      </c>
      <c r="HH11" s="18" t="n">
        <f aca="false">HH9-HH10</f>
        <v>14393573.337115</v>
      </c>
      <c r="HI11" s="18" t="n">
        <f aca="false">HI9-HI10</f>
        <v>14393573.337115</v>
      </c>
      <c r="HJ11" s="18" t="n">
        <f aca="false">HJ9-HJ10</f>
        <v>15884123.470713</v>
      </c>
      <c r="HK11" s="18" t="n">
        <f aca="false">HK9-HK10</f>
        <v>15884123.470713</v>
      </c>
      <c r="HL11" s="18" t="n">
        <f aca="false">HL9-HL10</f>
        <v>15884123.470713</v>
      </c>
      <c r="HM11" s="18" t="n">
        <f aca="false">HM9-HM10</f>
        <v>15884123.470713</v>
      </c>
      <c r="HN11" s="18" t="n">
        <f aca="false">HN9-HN10</f>
        <v>15884123.470713</v>
      </c>
      <c r="HO11" s="18" t="n">
        <f aca="false">HO9-HO10</f>
        <v>15884123.470713</v>
      </c>
      <c r="HP11" s="18" t="n">
        <f aca="false">HP9-HP10</f>
        <v>15884123.470713</v>
      </c>
      <c r="HQ11" s="18" t="n">
        <f aca="false">HQ9-HQ10</f>
        <v>15884123.470713</v>
      </c>
      <c r="HR11" s="18" t="n">
        <f aca="false">HR9-HR10</f>
        <v>15884123.470713</v>
      </c>
      <c r="HS11" s="18" t="n">
        <f aca="false">HS9-HS10</f>
        <v>15884123.470713</v>
      </c>
      <c r="HT11" s="18" t="n">
        <f aca="false">HT9-HT10</f>
        <v>15884123.470713</v>
      </c>
      <c r="HU11" s="18" t="n">
        <f aca="false">HU9-HU10</f>
        <v>15884123.470713</v>
      </c>
      <c r="HV11" s="18" t="n">
        <f aca="false">HV9-HV10</f>
        <v>17479012.113663</v>
      </c>
      <c r="HW11" s="18" t="n">
        <f aca="false">HW9-HW10</f>
        <v>17479012.113663</v>
      </c>
      <c r="HX11" s="18" t="n">
        <f aca="false">HX9-HX10</f>
        <v>17479012.113663</v>
      </c>
      <c r="HY11" s="18" t="n">
        <f aca="false">HY9-HY10</f>
        <v>17479012.113663</v>
      </c>
      <c r="HZ11" s="18" t="n">
        <f aca="false">HZ9-HZ10</f>
        <v>17479012.113663</v>
      </c>
      <c r="IA11" s="18" t="n">
        <f aca="false">IA9-IA10</f>
        <v>17479012.113663</v>
      </c>
      <c r="IB11" s="18" t="n">
        <f aca="false">IB9-IB10</f>
        <v>17479012.113663</v>
      </c>
      <c r="IC11" s="18" t="n">
        <f aca="false">IC9-IC10</f>
        <v>17479012.113663</v>
      </c>
      <c r="ID11" s="18" t="n">
        <f aca="false">ID9-ID10</f>
        <v>17479012.113663</v>
      </c>
      <c r="IE11" s="18" t="n">
        <f aca="false">IE9-IE10</f>
        <v>17479012.113663</v>
      </c>
      <c r="IF11" s="18" t="n">
        <f aca="false">IF9-IF10</f>
        <v>17479012.113663</v>
      </c>
      <c r="IG11" s="18" t="n">
        <f aca="false">IG9-IG10</f>
        <v>17479012.113663</v>
      </c>
      <c r="IH11" s="18" t="n">
        <f aca="false">IH9-IH10</f>
        <v>19185542.9616194</v>
      </c>
      <c r="II11" s="18" t="n">
        <f aca="false">II9-II10</f>
        <v>19185542.9616194</v>
      </c>
      <c r="IJ11" s="18" t="n">
        <f aca="false">IJ9-IJ10</f>
        <v>19185542.9616194</v>
      </c>
      <c r="IK11" s="18" t="n">
        <f aca="false">IK9-IK10</f>
        <v>19185542.9616194</v>
      </c>
      <c r="IL11" s="18" t="n">
        <f aca="false">IL9-IL10</f>
        <v>19185542.9616194</v>
      </c>
      <c r="IM11" s="18" t="n">
        <f aca="false">IM9-IM10</f>
        <v>19185542.9616194</v>
      </c>
      <c r="IN11" s="18" t="n">
        <f aca="false">IN9-IN10</f>
        <v>19185542.9616194</v>
      </c>
      <c r="IO11" s="18" t="n">
        <f aca="false">IO9-IO10</f>
        <v>19185542.9616194</v>
      </c>
      <c r="IP11" s="18" t="n">
        <f aca="false">IP9-IP10</f>
        <v>19185542.9616194</v>
      </c>
      <c r="IQ11" s="18" t="n">
        <f aca="false">IQ9-IQ10</f>
        <v>19185542.9616194</v>
      </c>
      <c r="IR11" s="18" t="n">
        <f aca="false">IR9-IR10</f>
        <v>19185542.9616194</v>
      </c>
      <c r="IS11" s="18" t="n">
        <f aca="false">IS9-IS10</f>
        <v>19185542.9616194</v>
      </c>
      <c r="IT11" s="18" t="n">
        <f aca="false">IT9-IT10</f>
        <v>21011530.9689327</v>
      </c>
      <c r="IU11" s="18" t="n">
        <f aca="false">IU9-IU10</f>
        <v>21011530.9689327</v>
      </c>
      <c r="IV11" s="18" t="n">
        <f aca="false">IV9-IV10</f>
        <v>21011530.9689327</v>
      </c>
      <c r="IW11" s="18" t="n">
        <f aca="false">IW9-IW10</f>
        <v>21011530.9689327</v>
      </c>
      <c r="IX11" s="18" t="n">
        <f aca="false">IX9-IX10</f>
        <v>21011530.9689327</v>
      </c>
      <c r="IY11" s="18" t="n">
        <f aca="false">IY9-IY10</f>
        <v>21011530.9689327</v>
      </c>
      <c r="IZ11" s="18" t="n">
        <f aca="false">IZ9-IZ10</f>
        <v>21011530.9689327</v>
      </c>
      <c r="JA11" s="18" t="n">
        <f aca="false">JA9-JA10</f>
        <v>21011530.9689327</v>
      </c>
      <c r="JB11" s="18" t="n">
        <f aca="false">JB9-JB10</f>
        <v>21011530.9689327</v>
      </c>
      <c r="JC11" s="18" t="n">
        <f aca="false">JC9-JC10</f>
        <v>21011530.9689327</v>
      </c>
      <c r="JD11" s="18" t="n">
        <f aca="false">JD9-JD10</f>
        <v>21011530.9689327</v>
      </c>
      <c r="JE11" s="18" t="n">
        <f aca="false">JE9-JE10</f>
        <v>21011530.9689327</v>
      </c>
      <c r="JF11" s="18" t="n">
        <f aca="false">JF9-JF10</f>
        <v>22965338.136758</v>
      </c>
      <c r="JG11" s="18" t="n">
        <f aca="false">JG9-JG10</f>
        <v>22965338.136758</v>
      </c>
      <c r="JH11" s="18" t="n">
        <f aca="false">JH9-JH10</f>
        <v>22965338.136758</v>
      </c>
      <c r="JI11" s="18" t="n">
        <f aca="false">JI9-JI10</f>
        <v>22965338.136758</v>
      </c>
      <c r="JJ11" s="18" t="n">
        <f aca="false">JJ9-JJ10</f>
        <v>22965338.136758</v>
      </c>
      <c r="JK11" s="18" t="n">
        <f aca="false">JK9-JK10</f>
        <v>22965338.136758</v>
      </c>
      <c r="JL11" s="18" t="n">
        <f aca="false">JL9-JL10</f>
        <v>22965338.136758</v>
      </c>
      <c r="JM11" s="18" t="n">
        <f aca="false">JM9-JM10</f>
        <v>22965338.136758</v>
      </c>
      <c r="JN11" s="18" t="n">
        <f aca="false">JN9-JN10</f>
        <v>22965338.136758</v>
      </c>
      <c r="JO11" s="18" t="n">
        <f aca="false">JO9-JO10</f>
        <v>22965338.136758</v>
      </c>
      <c r="JP11" s="18" t="n">
        <f aca="false">JP9-JP10</f>
        <v>22965338.136758</v>
      </c>
      <c r="JQ11" s="18" t="n">
        <f aca="false">JQ9-JQ10</f>
        <v>22965338.136758</v>
      </c>
      <c r="JR11" s="18" t="n">
        <f aca="false">JR9-JR10</f>
        <v>25055911.8063311</v>
      </c>
      <c r="JS11" s="18" t="n">
        <f aca="false">JS9-JS10</f>
        <v>25055911.8063311</v>
      </c>
      <c r="JT11" s="18" t="n">
        <f aca="false">JT9-JT10</f>
        <v>25055911.8063311</v>
      </c>
      <c r="JU11" s="18" t="n">
        <f aca="false">JU9-JU10</f>
        <v>25055911.8063311</v>
      </c>
      <c r="JV11" s="18" t="n">
        <f aca="false">JV9-JV10</f>
        <v>25055911.8063311</v>
      </c>
      <c r="JW11" s="18" t="n">
        <f aca="false">JW9-JW10</f>
        <v>25055911.8063311</v>
      </c>
      <c r="JX11" s="18" t="n">
        <f aca="false">JX9-JX10</f>
        <v>25055911.8063311</v>
      </c>
      <c r="JY11" s="18" t="n">
        <f aca="false">JY9-JY10</f>
        <v>25055911.8063311</v>
      </c>
      <c r="JZ11" s="18" t="n">
        <f aca="false">JZ9-JZ10</f>
        <v>25055911.8063311</v>
      </c>
      <c r="KA11" s="18" t="n">
        <f aca="false">KA9-KA10</f>
        <v>25055911.8063311</v>
      </c>
      <c r="KB11" s="18" t="n">
        <f aca="false">KB9-KB10</f>
        <v>25055911.8063311</v>
      </c>
      <c r="KC11" s="18" t="n">
        <f aca="false">KC9-KC10</f>
        <v>25055911.8063311</v>
      </c>
      <c r="KD11" s="18" t="n">
        <f aca="false">KD9-KD10</f>
        <v>27292825.6327743</v>
      </c>
      <c r="KE11" s="18" t="n">
        <f aca="false">KE9-KE10</f>
        <v>27292825.6327743</v>
      </c>
      <c r="KF11" s="18" t="n">
        <f aca="false">KF9-KF10</f>
        <v>27292825.6327743</v>
      </c>
      <c r="KG11" s="18" t="n">
        <f aca="false">KG9-KG10</f>
        <v>27292825.6327743</v>
      </c>
      <c r="KH11" s="18" t="n">
        <f aca="false">KH9-KH10</f>
        <v>27292825.6327743</v>
      </c>
      <c r="KI11" s="18" t="n">
        <f aca="false">KI9-KI10</f>
        <v>27292825.6327743</v>
      </c>
      <c r="KJ11" s="18" t="n">
        <f aca="false">KJ9-KJ10</f>
        <v>27292825.6327743</v>
      </c>
      <c r="KK11" s="18" t="n">
        <f aca="false">KK9-KK10</f>
        <v>27292825.6327743</v>
      </c>
      <c r="KL11" s="18" t="n">
        <f aca="false">KL9-KL10</f>
        <v>27292825.6327743</v>
      </c>
      <c r="KM11" s="18" t="n">
        <f aca="false">KM9-KM10</f>
        <v>27292825.6327743</v>
      </c>
      <c r="KN11" s="18" t="n">
        <f aca="false">KN9-KN10</f>
        <v>27292825.6327743</v>
      </c>
      <c r="KO11" s="18" t="n">
        <f aca="false">KO9-KO10</f>
        <v>27292825.6327743</v>
      </c>
    </row>
    <row r="12" customFormat="false" ht="14.25" hidden="false" customHeight="false" outlineLevel="0" collapsed="false">
      <c r="A12" s="14" t="s">
        <v>400</v>
      </c>
      <c r="B12" s="22" t="n">
        <f aca="false">Financiamiento!B6</f>
        <v>23333.3333333333</v>
      </c>
      <c r="C12" s="22" t="n">
        <f aca="false">Financiamiento!C6</f>
        <v>23007.416478503</v>
      </c>
      <c r="D12" s="22" t="n">
        <f aca="false">Financiamiento!D6</f>
        <v>22679.5984420194</v>
      </c>
      <c r="E12" s="22" t="n">
        <f aca="false">Financiamiento!E6</f>
        <v>22349.8681336564</v>
      </c>
      <c r="F12" s="22" t="n">
        <f aca="false">Financiamiento!F6</f>
        <v>22018.2143984945</v>
      </c>
      <c r="G12" s="22" t="n">
        <f aca="false">Financiamiento!G6</f>
        <v>21684.6260165443</v>
      </c>
      <c r="H12" s="22" t="n">
        <f aca="false">Financiamiento!H6</f>
        <v>21349.091702366</v>
      </c>
      <c r="I12" s="22" t="n">
        <f aca="false">Financiamiento!I6</f>
        <v>21011.6001046883</v>
      </c>
      <c r="J12" s="22" t="n">
        <f aca="false">Financiamiento!J6</f>
        <v>20672.1398060241</v>
      </c>
      <c r="K12" s="22" t="n">
        <f aca="false">Financiamiento!K6</f>
        <v>20330.6993222844</v>
      </c>
      <c r="L12" s="22" t="n">
        <f aca="false">Financiamiento!L6</f>
        <v>19987.2671023896</v>
      </c>
      <c r="M12" s="22" t="n">
        <f aca="false">Financiamiento!M6</f>
        <v>19641.8315278787</v>
      </c>
      <c r="N12" s="22" t="n">
        <f aca="false">Financiamiento!N6</f>
        <v>19294.3809125165</v>
      </c>
      <c r="O12" s="22" t="n">
        <f aca="false">Financiamiento!O6</f>
        <v>18944.9035018981</v>
      </c>
      <c r="P12" s="22" t="n">
        <f aca="false">Financiamiento!P6</f>
        <v>18593.387473051</v>
      </c>
      <c r="Q12" s="22" t="n">
        <f aca="false">Financiamiento!Q6</f>
        <v>18239.8209340356</v>
      </c>
      <c r="R12" s="22" t="n">
        <f aca="false">Financiamiento!R6</f>
        <v>17884.1919235427</v>
      </c>
      <c r="S12" s="22" t="n">
        <f aca="false">Financiamiento!S6</f>
        <v>17526.4884104885</v>
      </c>
      <c r="T12" s="22" t="n">
        <f aca="false">Financiamiento!T6</f>
        <v>17166.6982936082</v>
      </c>
      <c r="U12" s="22" t="n">
        <f aca="false">Financiamiento!U6</f>
        <v>16804.8094010461</v>
      </c>
      <c r="V12" s="22" t="n">
        <f aca="false">Financiamiento!V6</f>
        <v>16440.8094899441</v>
      </c>
      <c r="W12" s="22" t="n">
        <f aca="false">Financiamiento!W6</f>
        <v>16074.6862460272</v>
      </c>
      <c r="X12" s="22" t="n">
        <f aca="false">Financiamiento!X6</f>
        <v>15706.4272831876</v>
      </c>
      <c r="Y12" s="22" t="n">
        <f aca="false">Financiamiento!Y6</f>
        <v>15336.0201430647</v>
      </c>
      <c r="Z12" s="22" t="n">
        <f aca="false">Financiamiento!Z6</f>
        <v>14963.4522946244</v>
      </c>
      <c r="AA12" s="22" t="n">
        <f aca="false">Financiamiento!AA6</f>
        <v>14588.7111337349</v>
      </c>
      <c r="AB12" s="22" t="n">
        <f aca="false">Financiamiento!AB6</f>
        <v>14211.7839827402</v>
      </c>
      <c r="AC12" s="22" t="n">
        <f aca="false">Financiamiento!AC6</f>
        <v>13832.6580900314</v>
      </c>
      <c r="AD12" s="22" t="n">
        <f aca="false">Financiamiento!AD6</f>
        <v>13451.3206296151</v>
      </c>
      <c r="AE12" s="22" t="n">
        <f aca="false">Financiamiento!AE6</f>
        <v>13067.7587006797</v>
      </c>
      <c r="AF12" s="22" t="n">
        <f aca="false">Financiamiento!AF6</f>
        <v>12681.9593271588</v>
      </c>
      <c r="AG12" s="22" t="n">
        <f aca="false">Financiamiento!AG6</f>
        <v>12293.9094572924</v>
      </c>
      <c r="AH12" s="22" t="n">
        <f aca="false">Financiamiento!AH6</f>
        <v>11903.5959631851</v>
      </c>
      <c r="AI12" s="22" t="n">
        <f aca="false">Financiamiento!AI6</f>
        <v>11511.0056403622</v>
      </c>
      <c r="AJ12" s="22" t="n">
        <f aca="false">Financiamiento!AJ6</f>
        <v>11116.1252073228</v>
      </c>
      <c r="AK12" s="22" t="n">
        <f aca="false">Financiamiento!AK6</f>
        <v>10718.9413050907</v>
      </c>
      <c r="AL12" s="22" t="n">
        <f aca="false">Financiamiento!AL6</f>
        <v>10319.4404967623</v>
      </c>
      <c r="AM12" s="22" t="n">
        <f aca="false">Financiamiento!AM6</f>
        <v>9917.60926705189</v>
      </c>
      <c r="AN12" s="22" t="n">
        <f aca="false">Financiamiento!AN6</f>
        <v>9513.43402183487</v>
      </c>
      <c r="AO12" s="22" t="n">
        <f aca="false">Financiamiento!AO6</f>
        <v>9106.90108768741</v>
      </c>
      <c r="AP12" s="22" t="n">
        <f aca="false">Financiamiento!AP6</f>
        <v>8697.9967114241</v>
      </c>
      <c r="AQ12" s="22" t="n">
        <f aca="false">Financiamiento!AQ6</f>
        <v>8286.70705963259</v>
      </c>
      <c r="AR12" s="22" t="n">
        <f aca="false">Financiamiento!AR6</f>
        <v>7873.01821820562</v>
      </c>
      <c r="AS12" s="22" t="n">
        <f aca="false">Financiamiento!AS6</f>
        <v>7456.91619187033</v>
      </c>
      <c r="AT12" s="22" t="n">
        <f aca="false">Financiamiento!AT6</f>
        <v>7038.38690371475</v>
      </c>
      <c r="AU12" s="22" t="n">
        <f aca="false">Financiamiento!AU6</f>
        <v>6617.4161947116</v>
      </c>
      <c r="AV12" s="22" t="n">
        <f aca="false">Financiamiento!AV6</f>
        <v>6193.98982323926</v>
      </c>
      <c r="AW12" s="22" t="n">
        <f aca="false">Financiamiento!AW6</f>
        <v>5768.0934646</v>
      </c>
      <c r="AX12" s="22" t="n">
        <f aca="false">Financiamiento!AX6</f>
        <v>5339.71271053534</v>
      </c>
      <c r="AY12" s="22" t="n">
        <f aca="false">Financiamiento!AY6</f>
        <v>4908.83306873864</v>
      </c>
      <c r="AZ12" s="22" t="n">
        <f aca="false">Financiamiento!AZ6</f>
        <v>4475.43996236479</v>
      </c>
      <c r="BA12" s="22" t="n">
        <f aca="false">Financiamiento!BA6</f>
        <v>4039.5187295371</v>
      </c>
      <c r="BB12" s="22" t="n">
        <f aca="false">Financiamiento!BB6</f>
        <v>3601.05462285124</v>
      </c>
      <c r="BC12" s="22" t="n">
        <f aca="false">Financiamiento!BC6</f>
        <v>3160.03280887639</v>
      </c>
      <c r="BD12" s="22" t="n">
        <f aca="false">Financiamiento!BD6</f>
        <v>2716.43836765334</v>
      </c>
      <c r="BE12" s="22" t="n">
        <f aca="false">Financiamiento!BE6</f>
        <v>2270.25629218983</v>
      </c>
      <c r="BF12" s="22" t="n">
        <f aca="false">Financiamiento!BF6</f>
        <v>1821.47148795278</v>
      </c>
      <c r="BG12" s="22" t="n">
        <f aca="false">Financiamiento!BG6</f>
        <v>1370.06877235768</v>
      </c>
      <c r="BH12" s="22" t="n">
        <f aca="false">Financiamiento!BH6</f>
        <v>916.032874254947</v>
      </c>
      <c r="BI12" s="22" t="n">
        <f aca="false">Financiamiento!BI6</f>
        <v>459.348433413278</v>
      </c>
      <c r="BJ12" s="22" t="n">
        <f aca="false">Financiamiento!BJ6</f>
        <v>3.31056071445346E-011</v>
      </c>
      <c r="BK12" s="22" t="n">
        <f aca="false">Financiamiento!BK6</f>
        <v>3.3298723186211E-011</v>
      </c>
      <c r="BL12" s="22" t="n">
        <f aca="false">Financiamiento!BL6</f>
        <v>3.34929657381306E-011</v>
      </c>
      <c r="BM12" s="22" t="n">
        <f aca="false">Financiamiento!BM6</f>
        <v>3.3688341371603E-011</v>
      </c>
      <c r="BN12" s="22" t="n">
        <f aca="false">Financiamiento!BN6</f>
        <v>3.38848566962707E-011</v>
      </c>
      <c r="BO12" s="22" t="n">
        <f aca="false">Financiamiento!BO6</f>
        <v>3.40825183603323E-011</v>
      </c>
      <c r="BP12" s="22" t="n">
        <f aca="false">Financiamiento!BP6</f>
        <v>3.42813330507676E-011</v>
      </c>
      <c r="BQ12" s="22" t="n">
        <f aca="false">Financiamiento!BQ6</f>
        <v>3.44813074935637E-011</v>
      </c>
      <c r="BR12" s="22" t="n">
        <f aca="false">Financiamiento!BR6</f>
        <v>3.46824484539428E-011</v>
      </c>
      <c r="BS12" s="22" t="n">
        <f aca="false">Financiamiento!BS6</f>
        <v>3.48847627365908E-011</v>
      </c>
      <c r="BT12" s="22" t="n">
        <f aca="false">Financiamiento!BT6</f>
        <v>3.50882571858876E-011</v>
      </c>
      <c r="BU12" s="22" t="n">
        <f aca="false">Financiamiento!BU6</f>
        <v>3.52929386861386E-011</v>
      </c>
      <c r="BV12" s="22" t="n">
        <f aca="false">Financiamiento!BV6</f>
        <v>3.54988141618078E-011</v>
      </c>
      <c r="BW12" s="22" t="n">
        <f aca="false">Financiamiento!BW6</f>
        <v>3.57058905777516E-011</v>
      </c>
      <c r="BX12" s="22" t="n">
        <f aca="false">Financiamiento!BX6</f>
        <v>3.59141749394552E-011</v>
      </c>
      <c r="BY12" s="22" t="n">
        <f aca="false">Financiamiento!BY6</f>
        <v>3.61236742932687E-011</v>
      </c>
      <c r="BZ12" s="22" t="n">
        <f aca="false">Financiamiento!BZ6</f>
        <v>3.63343957266461E-011</v>
      </c>
      <c r="CA12" s="22" t="n">
        <f aca="false">Financiamiento!CA6</f>
        <v>3.65463463683849E-011</v>
      </c>
      <c r="CB12" s="22" t="n">
        <f aca="false">Financiamiento!CB6</f>
        <v>3.67595333888671E-011</v>
      </c>
      <c r="CC12" s="22" t="n">
        <f aca="false">Financiamiento!CC6</f>
        <v>3.69739640003022E-011</v>
      </c>
      <c r="CD12" s="22" t="n">
        <f aca="false">Financiamiento!CD6</f>
        <v>3.71896454569706E-011</v>
      </c>
      <c r="CE12" s="22" t="n">
        <f aca="false">Financiamiento!CE6</f>
        <v>3.74065850554696E-011</v>
      </c>
      <c r="CF12" s="22" t="n">
        <f aca="false">Financiamiento!CF6</f>
        <v>3.76247901349598E-011</v>
      </c>
      <c r="CG12" s="22" t="n">
        <f aca="false">Financiamiento!CG6</f>
        <v>3.78442680774138E-011</v>
      </c>
      <c r="CH12" s="22" t="n">
        <f aca="false">Financiamiento!CH6</f>
        <v>3.80650263078653E-011</v>
      </c>
      <c r="CI12" s="22" t="n">
        <f aca="false">Financiamiento!CI6</f>
        <v>3.82870722946612E-011</v>
      </c>
      <c r="CJ12" s="22" t="n">
        <f aca="false">Financiamiento!CJ6</f>
        <v>3.85104135497134E-011</v>
      </c>
      <c r="CK12" s="22" t="n">
        <f aca="false">Financiamiento!CK6</f>
        <v>3.87350576287534E-011</v>
      </c>
      <c r="CL12" s="22" t="n">
        <f aca="false">Financiamiento!CL6</f>
        <v>3.89610121315878E-011</v>
      </c>
      <c r="CM12" s="22" t="n">
        <f aca="false">Financiamiento!CM6</f>
        <v>3.91882847023554E-011</v>
      </c>
      <c r="CN12" s="22" t="n">
        <f aca="false">Financiamiento!CN6</f>
        <v>3.94168830297858E-011</v>
      </c>
      <c r="CO12" s="22" t="n">
        <f aca="false">Financiamiento!CO6</f>
        <v>3.96468148474596E-011</v>
      </c>
      <c r="CP12" s="22" t="n">
        <f aca="false">Financiamiento!CP6</f>
        <v>3.98780879340697E-011</v>
      </c>
      <c r="CQ12" s="22" t="n">
        <f aca="false">Financiamiento!CQ6</f>
        <v>4.01107101136852E-011</v>
      </c>
      <c r="CR12" s="22" t="n">
        <f aca="false">Financiamiento!CR6</f>
        <v>4.0344689256015E-011</v>
      </c>
      <c r="CS12" s="22" t="n">
        <f aca="false">Financiamiento!CS6</f>
        <v>4.05800332766751E-011</v>
      </c>
      <c r="CT12" s="22" t="n">
        <f aca="false">Financiamiento!CT6</f>
        <v>4.08167501374557E-011</v>
      </c>
      <c r="CU12" s="22" t="n">
        <f aca="false">Financiamiento!CU6</f>
        <v>4.10548478465908E-011</v>
      </c>
      <c r="CV12" s="22" t="n">
        <f aca="false">Financiamiento!CV6</f>
        <v>4.12943344590293E-011</v>
      </c>
      <c r="CW12" s="22" t="n">
        <f aca="false">Financiamiento!CW6</f>
        <v>4.15352180767069E-011</v>
      </c>
      <c r="CX12" s="22" t="n">
        <f aca="false">Financiamiento!CX6</f>
        <v>4.17775068488211E-011</v>
      </c>
      <c r="CY12" s="22" t="n">
        <f aca="false">Financiamiento!CY6</f>
        <v>4.20212089721059E-011</v>
      </c>
      <c r="CZ12" s="22" t="n">
        <f aca="false">Financiamiento!CZ6</f>
        <v>4.22663326911098E-011</v>
      </c>
      <c r="DA12" s="22" t="n">
        <f aca="false">Financiamiento!DA6</f>
        <v>4.25128862984746E-011</v>
      </c>
      <c r="DB12" s="22" t="n">
        <f aca="false">Financiamiento!DB6</f>
        <v>4.27608781352157E-011</v>
      </c>
      <c r="DC12" s="22" t="n">
        <f aca="false">Financiamiento!DC6</f>
        <v>4.30103165910045E-011</v>
      </c>
      <c r="DD12" s="22" t="n">
        <f aca="false">Financiamiento!DD6</f>
        <v>4.3261210104452E-011</v>
      </c>
      <c r="DE12" s="22" t="n">
        <f aca="false">Financiamiento!DE6</f>
        <v>4.35135671633946E-011</v>
      </c>
      <c r="DF12" s="22" t="n">
        <f aca="false">Financiamiento!DF6</f>
        <v>4.37673963051811E-011</v>
      </c>
      <c r="DG12" s="22" t="n">
        <f aca="false">Financiamiento!DG6</f>
        <v>4.40227061169613E-011</v>
      </c>
      <c r="DH12" s="22" t="n">
        <f aca="false">Financiamiento!DH6</f>
        <v>4.4279505235977E-011</v>
      </c>
      <c r="DI12" s="22" t="n">
        <f aca="false">Financiamiento!DI6</f>
        <v>4.45378023498535E-011</v>
      </c>
      <c r="DJ12" s="22" t="n">
        <f aca="false">Financiamiento!DJ6</f>
        <v>4.47976061968943E-011</v>
      </c>
      <c r="DK12" s="22" t="n">
        <f aca="false">Financiamiento!DK6</f>
        <v>4.50589255663762E-011</v>
      </c>
      <c r="DL12" s="22" t="n">
        <f aca="false">Financiamiento!DL6</f>
        <v>4.53217692988467E-011</v>
      </c>
      <c r="DM12" s="22" t="n">
        <f aca="false">Financiamiento!DM6</f>
        <v>4.55861462864233E-011</v>
      </c>
      <c r="DN12" s="22" t="n">
        <f aca="false">Financiamiento!DN6</f>
        <v>4.58520654730941E-011</v>
      </c>
      <c r="DO12" s="22" t="n">
        <f aca="false">Financiamiento!DO6</f>
        <v>4.61195358550205E-011</v>
      </c>
      <c r="DP12" s="22" t="n">
        <f aca="false">Financiamiento!DP6</f>
        <v>4.63885664808415E-011</v>
      </c>
      <c r="DQ12" s="22" t="n">
        <f aca="false">Financiamiento!DQ6</f>
        <v>4.66591664519797E-011</v>
      </c>
      <c r="DR12" s="22" t="n">
        <f aca="false">Financiamiento!DR6</f>
        <v>4.69313449229496E-011</v>
      </c>
      <c r="DS12" s="22" t="n">
        <f aca="false">Financiamiento!DS6</f>
        <v>4.72051111016668E-011</v>
      </c>
      <c r="DT12" s="22" t="n">
        <f aca="false">Financiamiento!DT6</f>
        <v>4.74804742497598E-011</v>
      </c>
      <c r="DU12" s="22" t="n">
        <f aca="false">Financiamiento!DU6</f>
        <v>4.77574436828834E-011</v>
      </c>
      <c r="DV12" s="22" t="n">
        <f aca="false">Financiamiento!DV6</f>
        <v>4.80360287710336E-011</v>
      </c>
      <c r="DW12" s="22" t="n">
        <f aca="false">Financiamiento!DW6</f>
        <v>4.83162389388646E-011</v>
      </c>
      <c r="DX12" s="22" t="n">
        <f aca="false">Financiamiento!DX6</f>
        <v>4.8598083666008E-011</v>
      </c>
      <c r="DY12" s="22" t="n">
        <f aca="false">Financiamiento!DY6</f>
        <v>4.8881572487393E-011</v>
      </c>
      <c r="DZ12" s="22" t="n">
        <f aca="false">Financiamiento!DZ6</f>
        <v>4.91667149935695E-011</v>
      </c>
      <c r="EA12" s="22" t="n">
        <f aca="false">Financiamiento!EA6</f>
        <v>4.9453520831032E-011</v>
      </c>
      <c r="EB12" s="22" t="n">
        <f aca="false">Financiamiento!EB6</f>
        <v>4.97419997025463E-011</v>
      </c>
      <c r="EC12" s="22" t="n">
        <f aca="false">Financiamiento!EC6</f>
        <v>5.00321613674779E-011</v>
      </c>
      <c r="ED12" s="22" t="n">
        <f aca="false">Financiamiento!ED6</f>
        <v>5.03240156421215E-011</v>
      </c>
      <c r="EE12" s="22" t="n">
        <f aca="false">Financiamiento!EE6</f>
        <v>5.06175724000339E-011</v>
      </c>
      <c r="EF12" s="22" t="n">
        <f aca="false">Financiamiento!EF6</f>
        <v>5.09128415723674E-011</v>
      </c>
      <c r="EG12" s="22" t="n">
        <f aca="false">Financiamiento!EG6</f>
        <v>5.12098331482062E-011</v>
      </c>
      <c r="EH12" s="22" t="n">
        <f aca="false">Financiamiento!EH6</f>
        <v>5.15085571749041E-011</v>
      </c>
      <c r="EI12" s="22" t="n">
        <f aca="false">Financiamiento!EI6</f>
        <v>5.18090237584244E-011</v>
      </c>
      <c r="EJ12" s="22" t="n">
        <f aca="false">Financiamiento!EJ6</f>
        <v>5.21112430636818E-011</v>
      </c>
      <c r="EK12" s="22" t="n">
        <f aca="false">Financiamiento!EK6</f>
        <v>5.24152253148866E-011</v>
      </c>
      <c r="EL12" s="22" t="n">
        <f aca="false">Financiamiento!EL6</f>
        <v>5.27209807958901E-011</v>
      </c>
      <c r="EM12" s="22" t="n">
        <f aca="false">Financiamiento!EM6</f>
        <v>5.30285198505328E-011</v>
      </c>
      <c r="EN12" s="22" t="n">
        <f aca="false">Financiamiento!EN6</f>
        <v>5.33378528829943E-011</v>
      </c>
      <c r="EO12" s="22" t="n">
        <f aca="false">Financiamiento!EO6</f>
        <v>5.36489903581451E-011</v>
      </c>
      <c r="EP12" s="22" t="n">
        <f aca="false">Financiamiento!EP6</f>
        <v>5.39619428019009E-011</v>
      </c>
      <c r="EQ12" s="22" t="n">
        <f aca="false">Financiamiento!EQ6</f>
        <v>5.42767208015787E-011</v>
      </c>
      <c r="ER12" s="22" t="n">
        <f aca="false">Financiamiento!ER6</f>
        <v>5.45933350062545E-011</v>
      </c>
      <c r="ES12" s="22" t="n">
        <f aca="false">Financiamiento!ES6</f>
        <v>5.49117961271244E-011</v>
      </c>
      <c r="ET12" s="22" t="n">
        <f aca="false">Financiamiento!ET6</f>
        <v>5.52321149378659E-011</v>
      </c>
      <c r="EU12" s="22" t="n">
        <f aca="false">Financiamiento!EU6</f>
        <v>5.55543022750035E-011</v>
      </c>
      <c r="EV12" s="22" t="n">
        <f aca="false">Financiamiento!EV6</f>
        <v>5.58783690382743E-011</v>
      </c>
      <c r="EW12" s="22" t="n">
        <f aca="false">Financiamiento!EW6</f>
        <v>5.62043261909976E-011</v>
      </c>
      <c r="EX12" s="22" t="n">
        <f aca="false">Financiamiento!EX6</f>
        <v>5.65321847604451E-011</v>
      </c>
      <c r="EY12" s="22" t="n">
        <f aca="false">Financiamiento!EY6</f>
        <v>5.68619558382143E-011</v>
      </c>
      <c r="EZ12" s="22" t="n">
        <f aca="false">Financiamiento!EZ6</f>
        <v>5.71936505806039E-011</v>
      </c>
      <c r="FA12" s="22" t="n">
        <f aca="false">Financiamiento!FA6</f>
        <v>5.75272802089908E-011</v>
      </c>
      <c r="FB12" s="22" t="n">
        <f aca="false">Financiamiento!FB6</f>
        <v>5.78628560102099E-011</v>
      </c>
      <c r="FC12" s="22" t="n">
        <f aca="false">Financiamiento!FC6</f>
        <v>5.82003893369361E-011</v>
      </c>
      <c r="FD12" s="22" t="n">
        <f aca="false">Financiamiento!FD6</f>
        <v>5.85398916080682E-011</v>
      </c>
      <c r="FE12" s="22" t="n">
        <f aca="false">Financiamiento!FE6</f>
        <v>5.88813743091153E-011</v>
      </c>
      <c r="FF12" s="22" t="n">
        <f aca="false">Financiamiento!FF6</f>
        <v>5.92248489925851E-011</v>
      </c>
      <c r="FG12" s="22" t="n">
        <f aca="false">Financiamiento!FG6</f>
        <v>5.95703272783752E-011</v>
      </c>
      <c r="FH12" s="22" t="n">
        <f aca="false">Financiamiento!FH6</f>
        <v>5.99178208541658E-011</v>
      </c>
      <c r="FI12" s="22" t="n">
        <f aca="false">Financiamiento!FI6</f>
        <v>6.0267341475815E-011</v>
      </c>
      <c r="FJ12" s="22" t="n">
        <f aca="false">Financiamiento!FJ6</f>
        <v>6.06189009677573E-011</v>
      </c>
      <c r="FK12" s="22" t="n">
        <f aca="false">Financiamiento!FK6</f>
        <v>6.09725112234025E-011</v>
      </c>
      <c r="FL12" s="22" t="n">
        <f aca="false">Financiamiento!FL6</f>
        <v>6.13281842055391E-011</v>
      </c>
      <c r="FM12" s="22" t="n">
        <f aca="false">Financiamiento!FM6</f>
        <v>6.1685931946738E-011</v>
      </c>
      <c r="FN12" s="22" t="n">
        <f aca="false">Financiamiento!FN6</f>
        <v>6.20457665497607E-011</v>
      </c>
      <c r="FO12" s="22" t="n">
        <f aca="false">Financiamiento!FO6</f>
        <v>6.24077001879676E-011</v>
      </c>
      <c r="FP12" s="22" t="n">
        <f aca="false">Financiamiento!FP6</f>
        <v>6.27717451057308E-011</v>
      </c>
      <c r="FQ12" s="22" t="n">
        <f aca="false">Financiamiento!FQ6</f>
        <v>6.31379136188475E-011</v>
      </c>
      <c r="FR12" s="22" t="n">
        <f aca="false">Financiamiento!FR6</f>
        <v>6.35062181149575E-011</v>
      </c>
      <c r="FS12" s="22" t="n">
        <f aca="false">Financiamiento!FS6</f>
        <v>6.38766710539614E-011</v>
      </c>
      <c r="FT12" s="22" t="n">
        <f aca="false">Financiamiento!FT6</f>
        <v>6.42492849684428E-011</v>
      </c>
      <c r="FU12" s="22" t="n">
        <f aca="false">Financiamiento!FU6</f>
        <v>6.46240724640921E-011</v>
      </c>
      <c r="FV12" s="22" t="n">
        <f aca="false">Financiamiento!FV6</f>
        <v>6.50010462201326E-011</v>
      </c>
      <c r="FW12" s="22" t="n">
        <f aca="false">Financiamiento!FW6</f>
        <v>6.538021898975E-011</v>
      </c>
      <c r="FX12" s="22" t="n">
        <f aca="false">Financiamiento!FX6</f>
        <v>6.57616036005236E-011</v>
      </c>
      <c r="FY12" s="22" t="n">
        <f aca="false">Financiamiento!FY6</f>
        <v>6.614521295486E-011</v>
      </c>
      <c r="FZ12" s="22" t="n">
        <f aca="false">Financiamiento!FZ6</f>
        <v>6.653106003043E-011</v>
      </c>
      <c r="GA12" s="22" t="n">
        <f aca="false">Financiamiento!GA6</f>
        <v>6.69191578806075E-011</v>
      </c>
      <c r="GB12" s="22" t="n">
        <f aca="false">Financiamiento!GB6</f>
        <v>6.7309519634911E-011</v>
      </c>
      <c r="GC12" s="22" t="n">
        <f aca="false">Financiamiento!GC6</f>
        <v>6.7702158499448E-011</v>
      </c>
      <c r="GD12" s="22" t="n">
        <f aca="false">Financiamiento!GD6</f>
        <v>6.80970877573615E-011</v>
      </c>
      <c r="GE12" s="22" t="n">
        <f aca="false">Financiamiento!GE6</f>
        <v>6.84943207692794E-011</v>
      </c>
      <c r="GF12" s="22" t="n">
        <f aca="false">Financiamiento!GF6</f>
        <v>6.88938709737669E-011</v>
      </c>
      <c r="GG12" s="22" t="n">
        <f aca="false">Financiamiento!GG6</f>
        <v>6.92957518877805E-011</v>
      </c>
      <c r="GH12" s="22" t="n">
        <f aca="false">Financiamiento!GH6</f>
        <v>6.96999771071259E-011</v>
      </c>
      <c r="GI12" s="22" t="n">
        <f aca="false">Financiamiento!GI6</f>
        <v>7.01065603069175E-011</v>
      </c>
      <c r="GJ12" s="22" t="n">
        <f aca="false">Financiamiento!GJ6</f>
        <v>7.05155152420412E-011</v>
      </c>
      <c r="GK12" s="22" t="n">
        <f aca="false">Financiamiento!GK6</f>
        <v>7.09268557476197E-011</v>
      </c>
      <c r="GL12" s="22" t="n">
        <f aca="false">Financiamiento!GL6</f>
        <v>7.13405957394808E-011</v>
      </c>
      <c r="GM12" s="22" t="n">
        <f aca="false">Financiamiento!GM6</f>
        <v>7.17567492146278E-011</v>
      </c>
      <c r="GN12" s="22" t="n">
        <f aca="false">Financiamiento!GN6</f>
        <v>7.21753302517132E-011</v>
      </c>
      <c r="GO12" s="22" t="n">
        <f aca="false">Financiamiento!GO6</f>
        <v>7.25963530115148E-011</v>
      </c>
      <c r="GP12" s="22" t="n">
        <f aca="false">Financiamiento!GP6</f>
        <v>7.30198317374153E-011</v>
      </c>
      <c r="GQ12" s="22" t="n">
        <f aca="false">Financiamiento!GQ6</f>
        <v>7.34457807558836E-011</v>
      </c>
      <c r="GR12" s="22" t="n">
        <f aca="false">Financiamiento!GR6</f>
        <v>7.38742144769595E-011</v>
      </c>
      <c r="GS12" s="22" t="n">
        <f aca="false">Financiamiento!GS6</f>
        <v>7.43051473947418E-011</v>
      </c>
      <c r="GT12" s="22" t="n">
        <f aca="false">Financiamiento!GT6</f>
        <v>7.47385940878778E-011</v>
      </c>
      <c r="GU12" s="22" t="n">
        <f aca="false">Financiamiento!GU6</f>
        <v>7.51745692200571E-011</v>
      </c>
      <c r="GV12" s="22" t="n">
        <f aca="false">Financiamiento!GV6</f>
        <v>7.56130875405074E-011</v>
      </c>
      <c r="GW12" s="22" t="n">
        <f aca="false">Financiamiento!GW6</f>
        <v>7.60541638844937E-011</v>
      </c>
      <c r="GX12" s="22" t="n">
        <f aca="false">Financiamiento!GX6</f>
        <v>7.64978131738199E-011</v>
      </c>
      <c r="GY12" s="22" t="n">
        <f aca="false">Financiamiento!GY6</f>
        <v>7.69440504173339E-011</v>
      </c>
      <c r="GZ12" s="22" t="n">
        <f aca="false">Financiamiento!GZ6</f>
        <v>7.7392890711435E-011</v>
      </c>
      <c r="HA12" s="22" t="n">
        <f aca="false">Financiamiento!HA6</f>
        <v>7.7844349240585E-011</v>
      </c>
      <c r="HB12" s="22" t="n">
        <f aca="false">Financiamiento!HB6</f>
        <v>7.82984412778218E-011</v>
      </c>
      <c r="HC12" s="22" t="n">
        <f aca="false">Financiamiento!HC6</f>
        <v>7.87551821852757E-011</v>
      </c>
      <c r="HD12" s="22" t="n">
        <f aca="false">Financiamiento!HD6</f>
        <v>7.92145874146898E-011</v>
      </c>
      <c r="HE12" s="22" t="n">
        <f aca="false">Financiamiento!HE6</f>
        <v>7.96766725079422E-011</v>
      </c>
      <c r="HF12" s="22" t="n">
        <f aca="false">Financiamiento!HF6</f>
        <v>8.01414530975719E-011</v>
      </c>
      <c r="HG12" s="22" t="n">
        <f aca="false">Financiamiento!HG6</f>
        <v>8.06089449073077E-011</v>
      </c>
      <c r="HH12" s="22" t="n">
        <f aca="false">Financiamiento!HH6</f>
        <v>8.10791637526003E-011</v>
      </c>
      <c r="HI12" s="22" t="n">
        <f aca="false">Financiamiento!HI6</f>
        <v>8.15521255411572E-011</v>
      </c>
      <c r="HJ12" s="22" t="n">
        <f aca="false">Financiamiento!HJ6</f>
        <v>8.20278462734806E-011</v>
      </c>
      <c r="HK12" s="22" t="n">
        <f aca="false">Financiamiento!HK6</f>
        <v>8.25063420434092E-011</v>
      </c>
      <c r="HL12" s="22" t="n">
        <f aca="false">Financiamiento!HL6</f>
        <v>8.29876290386624E-011</v>
      </c>
      <c r="HM12" s="22" t="n">
        <f aca="false">Financiamiento!HM6</f>
        <v>8.3471723541388E-011</v>
      </c>
      <c r="HN12" s="22" t="n">
        <f aca="false">Financiamiento!HN6</f>
        <v>8.39586419287127E-011</v>
      </c>
      <c r="HO12" s="22" t="n">
        <f aca="false">Financiamiento!HO6</f>
        <v>8.44484006732969E-011</v>
      </c>
      <c r="HP12" s="22" t="n">
        <f aca="false">Financiamiento!HP6</f>
        <v>8.49410163438911E-011</v>
      </c>
      <c r="HQ12" s="22" t="n">
        <f aca="false">Financiamiento!HQ6</f>
        <v>8.54365056058971E-011</v>
      </c>
      <c r="HR12" s="22" t="n">
        <f aca="false">Financiamiento!HR6</f>
        <v>8.59348852219316E-011</v>
      </c>
      <c r="HS12" s="22" t="n">
        <f aca="false">Financiamiento!HS6</f>
        <v>8.64361720523928E-011</v>
      </c>
      <c r="HT12" s="22" t="n">
        <f aca="false">Financiamiento!HT6</f>
        <v>8.69403830560318E-011</v>
      </c>
      <c r="HU12" s="22" t="n">
        <f aca="false">Financiamiento!HU6</f>
        <v>8.74475352905253E-011</v>
      </c>
      <c r="HV12" s="22" t="n">
        <f aca="false">Financiamiento!HV6</f>
        <v>8.79576459130534E-011</v>
      </c>
      <c r="HW12" s="22" t="n">
        <f aca="false">Financiamiento!HW6</f>
        <v>8.84707321808795E-011</v>
      </c>
      <c r="HX12" s="22" t="n">
        <f aca="false">Financiamiento!HX6</f>
        <v>8.89868114519347E-011</v>
      </c>
      <c r="HY12" s="22" t="n">
        <f aca="false">Financiamiento!HY6</f>
        <v>8.95059011854043E-011</v>
      </c>
      <c r="HZ12" s="22" t="n">
        <f aca="false">Financiamiento!HZ6</f>
        <v>9.00280189423191E-011</v>
      </c>
      <c r="IA12" s="22" t="n">
        <f aca="false">Financiamiento!IA6</f>
        <v>9.05531823861493E-011</v>
      </c>
      <c r="IB12" s="22" t="n">
        <f aca="false">Financiamiento!IB6</f>
        <v>9.10814092834019E-011</v>
      </c>
      <c r="IC12" s="22" t="n">
        <f aca="false">Financiamiento!IC6</f>
        <v>9.16127175042217E-011</v>
      </c>
      <c r="ID12" s="22" t="n">
        <f aca="false">Financiamiento!ID6</f>
        <v>9.21471250229963E-011</v>
      </c>
      <c r="IE12" s="22" t="n">
        <f aca="false">Financiamiento!IE6</f>
        <v>9.26846499189638E-011</v>
      </c>
      <c r="IF12" s="22" t="n">
        <f aca="false">Financiamiento!IF6</f>
        <v>9.32253103768244E-011</v>
      </c>
      <c r="IG12" s="22" t="n">
        <f aca="false">Financiamiento!IG6</f>
        <v>9.37691246873559E-011</v>
      </c>
      <c r="IH12" s="22" t="n">
        <f aca="false">Financiamiento!IH6</f>
        <v>9.43161112480322E-011</v>
      </c>
      <c r="II12" s="22" t="n">
        <f aca="false">Financiamiento!II6</f>
        <v>9.48662885636457E-011</v>
      </c>
      <c r="IJ12" s="22" t="n">
        <f aca="false">Financiamiento!IJ6</f>
        <v>9.54196752469336E-011</v>
      </c>
      <c r="IK12" s="22" t="n">
        <f aca="false">Financiamiento!IK6</f>
        <v>9.59762900192074E-011</v>
      </c>
      <c r="IL12" s="22" t="n">
        <f aca="false">Financiamiento!IL6</f>
        <v>9.65361517109861E-011</v>
      </c>
      <c r="IM12" s="22" t="n">
        <f aca="false">Financiamiento!IM6</f>
        <v>9.70992792626335E-011</v>
      </c>
      <c r="IN12" s="22" t="n">
        <f aca="false">Financiamiento!IN6</f>
        <v>9.76656917249989E-011</v>
      </c>
      <c r="IO12" s="22" t="n">
        <f aca="false">Financiamiento!IO6</f>
        <v>9.82354082600614E-011</v>
      </c>
      <c r="IP12" s="22" t="n">
        <f aca="false">Financiamiento!IP6</f>
        <v>9.88084481415784E-011</v>
      </c>
      <c r="IQ12" s="22" t="n">
        <f aca="false">Financiamiento!IQ6</f>
        <v>9.93848307557376E-011</v>
      </c>
      <c r="IR12" s="22" t="n">
        <f aca="false">Financiamiento!IR6</f>
        <v>9.99645756018127E-011</v>
      </c>
      <c r="IS12" s="22" t="n">
        <f aca="false">Financiamiento!IS6</f>
        <v>1.00547702292823E-010</v>
      </c>
      <c r="IT12" s="22" t="n">
        <f aca="false">Financiamiento!IT6</f>
        <v>1.01134230556198E-010</v>
      </c>
      <c r="IU12" s="22" t="n">
        <f aca="false">Financiamiento!IU6</f>
        <v>1.01724180234443E-010</v>
      </c>
      <c r="IV12" s="22" t="n">
        <f aca="false">Financiamiento!IV6</f>
        <v>1.0231757128581E-010</v>
      </c>
      <c r="IW12" s="22" t="n">
        <f aca="false">Financiamiento!IW6</f>
        <v>1.02914423784977E-010</v>
      </c>
      <c r="IX12" s="22" t="n">
        <f aca="false">Financiamiento!IX6</f>
        <v>1.03514757923723E-010</v>
      </c>
      <c r="IY12" s="22" t="n">
        <f aca="false">Financiamiento!IY6</f>
        <v>1.04118594011612E-010</v>
      </c>
      <c r="IZ12" s="22" t="n">
        <f aca="false">Financiamiento!IZ6</f>
        <v>1.04725952476679E-010</v>
      </c>
      <c r="JA12" s="22" t="n">
        <f aca="false">Financiamiento!JA6</f>
        <v>1.05336853866127E-010</v>
      </c>
      <c r="JB12" s="22" t="n">
        <f aca="false">Financiamiento!JB6</f>
        <v>1.05951318847012E-010</v>
      </c>
      <c r="JC12" s="22" t="n">
        <f aca="false">Financiamiento!JC6</f>
        <v>1.06569368206953E-010</v>
      </c>
      <c r="JD12" s="22" t="n">
        <f aca="false">Financiamiento!JD6</f>
        <v>1.07191022854827E-010</v>
      </c>
      <c r="JE12" s="22" t="n">
        <f aca="false">Financiamiento!JE6</f>
        <v>1.0781630382148E-010</v>
      </c>
      <c r="JF12" s="22" t="n">
        <f aca="false">Financiamiento!JF6</f>
        <v>1.08445232260439E-010</v>
      </c>
      <c r="JG12" s="22" t="n">
        <f aca="false">Financiamiento!JG6</f>
        <v>1.09077829448625E-010</v>
      </c>
      <c r="JH12" s="22" t="n">
        <f aca="false">Financiamiento!JH6</f>
        <v>1.09714116787075E-010</v>
      </c>
      <c r="JI12" s="22" t="n">
        <f aca="false">Financiamiento!JI6</f>
        <v>1.10354115801666E-010</v>
      </c>
      <c r="JJ12" s="22" t="n">
        <f aca="false">Financiamiento!JJ6</f>
        <v>1.10997848143843E-010</v>
      </c>
      <c r="JK12" s="22" t="n">
        <f aca="false">Financiamiento!JK6</f>
        <v>1.11645335591348E-010</v>
      </c>
      <c r="JL12" s="22" t="n">
        <f aca="false">Financiamiento!JL6</f>
        <v>1.12296600048965E-010</v>
      </c>
      <c r="JM12" s="22" t="n">
        <f aca="false">Financiamiento!JM6</f>
        <v>1.1295166354925E-010</v>
      </c>
      <c r="JN12" s="22" t="n">
        <f aca="false">Financiamiento!JN6</f>
        <v>1.13610548253288E-010</v>
      </c>
      <c r="JO12" s="22" t="n">
        <f aca="false">Financiamiento!JO6</f>
        <v>1.14273276451432E-010</v>
      </c>
      <c r="JP12" s="22" t="n">
        <f aca="false">Financiamiento!JP6</f>
        <v>1.14939870564065E-010</v>
      </c>
      <c r="JQ12" s="22" t="n">
        <f aca="false">Financiamiento!JQ6</f>
        <v>1.15610353142355E-010</v>
      </c>
      <c r="JR12" s="22" t="n">
        <f aca="false">Financiamiento!JR6</f>
        <v>1.16284746869019E-010</v>
      </c>
      <c r="JS12" s="22" t="n">
        <f aca="false">Financiamiento!JS6</f>
        <v>1.16963074559089E-010</v>
      </c>
      <c r="JT12" s="22" t="n">
        <f aca="false">Financiamiento!JT6</f>
        <v>1.17645359160683E-010</v>
      </c>
      <c r="JU12" s="22" t="n">
        <f aca="false">Financiamiento!JU6</f>
        <v>1.18331623755787E-010</v>
      </c>
      <c r="JV12" s="22" t="n">
        <f aca="false">Financiamiento!JV6</f>
        <v>1.19021891561029E-010</v>
      </c>
      <c r="JW12" s="22" t="n">
        <f aca="false">Financiamiento!JW6</f>
        <v>1.19716185928469E-010</v>
      </c>
      <c r="JX12" s="22" t="n">
        <f aca="false">Financiamiento!JX6</f>
        <v>1.20414530346385E-010</v>
      </c>
      <c r="JY12" s="22" t="n">
        <f aca="false">Financiamiento!JY6</f>
        <v>1.21116948440072E-010</v>
      </c>
      <c r="JZ12" s="22" t="n">
        <f aca="false">Financiamiento!JZ6</f>
        <v>1.21823463972639E-010</v>
      </c>
      <c r="KA12" s="22" t="n">
        <f aca="false">Financiamiento!KA6</f>
        <v>1.22534100845813E-010</v>
      </c>
      <c r="KB12" s="22" t="n">
        <f aca="false">Financiamiento!KB6</f>
        <v>1.23248883100747E-010</v>
      </c>
      <c r="KC12" s="22" t="n">
        <f aca="false">Financiamiento!KC6</f>
        <v>1.23967834918834E-010</v>
      </c>
      <c r="KD12" s="22" t="n">
        <f aca="false">Financiamiento!KD6</f>
        <v>1.24690980622528E-010</v>
      </c>
      <c r="KE12" s="22" t="n">
        <f aca="false">Financiamiento!KE6</f>
        <v>1.25418344676159E-010</v>
      </c>
      <c r="KF12" s="22" t="n">
        <f aca="false">Financiamiento!KF6</f>
        <v>1.2614995168677E-010</v>
      </c>
      <c r="KG12" s="22" t="n">
        <f aca="false">Financiamiento!KG6</f>
        <v>1.26885826404943E-010</v>
      </c>
      <c r="KH12" s="22" t="n">
        <f aca="false">Financiamiento!KH6</f>
        <v>1.27625993725638E-010</v>
      </c>
      <c r="KI12" s="22" t="n">
        <f aca="false">Financiamiento!KI6</f>
        <v>1.28370478689038E-010</v>
      </c>
      <c r="KJ12" s="22" t="n">
        <f aca="false">Financiamiento!KJ6</f>
        <v>1.2911930648139E-010</v>
      </c>
      <c r="KK12" s="22" t="n">
        <f aca="false">Financiamiento!KK6</f>
        <v>1.29872502435865E-010</v>
      </c>
      <c r="KL12" s="22" t="n">
        <f aca="false">Financiamiento!KL6</f>
        <v>1.30630092033408E-010</v>
      </c>
      <c r="KM12" s="22" t="n">
        <f aca="false">Financiamiento!KM6</f>
        <v>1.31392100903603E-010</v>
      </c>
      <c r="KN12" s="22" t="n">
        <f aca="false">Financiamiento!KN6</f>
        <v>1.3215855482554E-010</v>
      </c>
      <c r="KO12" s="22" t="n">
        <f aca="false">Financiamiento!KO6</f>
        <v>1.32929479728689E-010</v>
      </c>
    </row>
    <row r="13" customFormat="false" ht="14.25" hidden="false" customHeight="false" outlineLevel="0" collapsed="false">
      <c r="A13" s="14" t="s">
        <v>401</v>
      </c>
      <c r="B13" s="18" t="n">
        <f aca="false">B11-B12</f>
        <v>-599000</v>
      </c>
      <c r="C13" s="18" t="n">
        <f aca="false">C11-C12</f>
        <v>-598674.08314517</v>
      </c>
      <c r="D13" s="18" t="n">
        <f aca="false">D11-D12</f>
        <v>-598346.265108686</v>
      </c>
      <c r="E13" s="18" t="n">
        <f aca="false">E11-E12</f>
        <v>-598016.534800323</v>
      </c>
      <c r="F13" s="18" t="n">
        <f aca="false">F11-F12</f>
        <v>-597684.881065161</v>
      </c>
      <c r="G13" s="18" t="n">
        <f aca="false">G11-G12</f>
        <v>-597351.292683211</v>
      </c>
      <c r="H13" s="18" t="n">
        <f aca="false">H11-H12</f>
        <v>-597015.758369033</v>
      </c>
      <c r="I13" s="18" t="n">
        <f aca="false">I11-I12</f>
        <v>-596678.266771355</v>
      </c>
      <c r="J13" s="18" t="n">
        <f aca="false">J11-J12</f>
        <v>-596338.806472691</v>
      </c>
      <c r="K13" s="18" t="n">
        <f aca="false">K11-K12</f>
        <v>-595997.365988951</v>
      </c>
      <c r="L13" s="18" t="n">
        <f aca="false">L11-L12</f>
        <v>-595653.933769056</v>
      </c>
      <c r="M13" s="18" t="n">
        <f aca="false">M11-M12</f>
        <v>-595308.498194546</v>
      </c>
      <c r="N13" s="18" t="n">
        <f aca="false">N11-N12</f>
        <v>-123091.047579183</v>
      </c>
      <c r="O13" s="18" t="n">
        <f aca="false">O11-O12</f>
        <v>-122741.570168565</v>
      </c>
      <c r="P13" s="18" t="n">
        <f aca="false">P11-P12</f>
        <v>-122390.054139718</v>
      </c>
      <c r="Q13" s="18" t="n">
        <f aca="false">Q11-Q12</f>
        <v>-122036.487600702</v>
      </c>
      <c r="R13" s="18" t="n">
        <f aca="false">R11-R12</f>
        <v>-121680.858590209</v>
      </c>
      <c r="S13" s="18" t="n">
        <f aca="false">S11-S12</f>
        <v>-121323.155077155</v>
      </c>
      <c r="T13" s="18" t="n">
        <f aca="false">T11-T12</f>
        <v>-120963.364960275</v>
      </c>
      <c r="U13" s="18" t="n">
        <f aca="false">U11-U12</f>
        <v>-120601.476067713</v>
      </c>
      <c r="V13" s="18" t="n">
        <f aca="false">V11-V12</f>
        <v>-120237.476156611</v>
      </c>
      <c r="W13" s="18" t="n">
        <f aca="false">W11-W12</f>
        <v>-119871.352912694</v>
      </c>
      <c r="X13" s="18" t="n">
        <f aca="false">X11-X12</f>
        <v>-119503.093949854</v>
      </c>
      <c r="Y13" s="18" t="n">
        <f aca="false">Y11-Y12</f>
        <v>-119132.686809731</v>
      </c>
      <c r="Z13" s="18" t="n">
        <f aca="false">Z11-Z12</f>
        <v>386140.781038709</v>
      </c>
      <c r="AA13" s="18" t="n">
        <f aca="false">AA11-AA12</f>
        <v>386515.522199599</v>
      </c>
      <c r="AB13" s="18" t="n">
        <f aca="false">AB11-AB12</f>
        <v>386892.449350594</v>
      </c>
      <c r="AC13" s="18" t="n">
        <f aca="false">AC11-AC12</f>
        <v>387271.575243302</v>
      </c>
      <c r="AD13" s="18" t="n">
        <f aca="false">AD11-AD12</f>
        <v>387652.912703719</v>
      </c>
      <c r="AE13" s="18" t="n">
        <f aca="false">AE11-AE12</f>
        <v>388036.474632654</v>
      </c>
      <c r="AF13" s="18" t="n">
        <f aca="false">AF11-AF12</f>
        <v>388422.274006175</v>
      </c>
      <c r="AG13" s="18" t="n">
        <f aca="false">AG11-AG12</f>
        <v>388810.323876041</v>
      </c>
      <c r="AH13" s="18" t="n">
        <f aca="false">AH11-AH12</f>
        <v>389200.637370149</v>
      </c>
      <c r="AI13" s="18" t="n">
        <f aca="false">AI11-AI12</f>
        <v>389593.227692972</v>
      </c>
      <c r="AJ13" s="18" t="n">
        <f aca="false">AJ11-AJ12</f>
        <v>389988.108126011</v>
      </c>
      <c r="AK13" s="18" t="n">
        <f aca="false">AK11-AK12</f>
        <v>390385.292028243</v>
      </c>
      <c r="AL13" s="18" t="n">
        <f aca="false">AL11-AL12</f>
        <v>931028.755836572</v>
      </c>
      <c r="AM13" s="18" t="n">
        <f aca="false">AM11-AM12</f>
        <v>931430.587066282</v>
      </c>
      <c r="AN13" s="18" t="n">
        <f aca="false">AN11-AN12</f>
        <v>931834.762311499</v>
      </c>
      <c r="AO13" s="18" t="n">
        <f aca="false">AO11-AO12</f>
        <v>932241.295245647</v>
      </c>
      <c r="AP13" s="18" t="n">
        <f aca="false">AP11-AP12</f>
        <v>932650.19962191</v>
      </c>
      <c r="AQ13" s="18" t="n">
        <f aca="false">AQ11-AQ12</f>
        <v>933061.489273701</v>
      </c>
      <c r="AR13" s="18" t="n">
        <f aca="false">AR11-AR12</f>
        <v>933475.178115128</v>
      </c>
      <c r="AS13" s="18" t="n">
        <f aca="false">AS11-AS12</f>
        <v>933891.280141464</v>
      </c>
      <c r="AT13" s="18" t="n">
        <f aca="false">AT11-AT12</f>
        <v>934309.809429619</v>
      </c>
      <c r="AU13" s="18" t="n">
        <f aca="false">AU11-AU12</f>
        <v>934730.780138623</v>
      </c>
      <c r="AV13" s="18" t="n">
        <f aca="false">AV11-AV12</f>
        <v>935154.206510095</v>
      </c>
      <c r="AW13" s="18" t="n">
        <f aca="false">AW11-AW12</f>
        <v>935580.102868734</v>
      </c>
      <c r="AX13" s="18" t="n">
        <f aca="false">AX11-AX12</f>
        <v>1514069.5240328</v>
      </c>
      <c r="AY13" s="18" t="n">
        <f aca="false">AY11-AY12</f>
        <v>1514500.4036746</v>
      </c>
      <c r="AZ13" s="18" t="n">
        <f aca="false">AZ11-AZ12</f>
        <v>1514933.79678097</v>
      </c>
      <c r="BA13" s="18" t="n">
        <f aca="false">BA11-BA12</f>
        <v>1515369.7180138</v>
      </c>
      <c r="BB13" s="18" t="n">
        <f aca="false">BB11-BB12</f>
        <v>1515808.18212048</v>
      </c>
      <c r="BC13" s="18" t="n">
        <f aca="false">BC11-BC12</f>
        <v>1516249.20393446</v>
      </c>
      <c r="BD13" s="18" t="n">
        <f aca="false">BD11-BD12</f>
        <v>1516692.79837568</v>
      </c>
      <c r="BE13" s="18" t="n">
        <f aca="false">BE11-BE12</f>
        <v>1517138.98045115</v>
      </c>
      <c r="BF13" s="18" t="n">
        <f aca="false">BF11-BF12</f>
        <v>1517587.76525538</v>
      </c>
      <c r="BG13" s="18" t="n">
        <f aca="false">BG11-BG12</f>
        <v>1518039.16797098</v>
      </c>
      <c r="BH13" s="18" t="n">
        <f aca="false">BH11-BH12</f>
        <v>1518493.20386908</v>
      </c>
      <c r="BI13" s="18" t="n">
        <f aca="false">BI11-BI12</f>
        <v>1518949.88830992</v>
      </c>
      <c r="BJ13" s="18" t="n">
        <f aca="false">BJ11-BJ12</f>
        <v>2137934.54998204</v>
      </c>
      <c r="BK13" s="18" t="n">
        <f aca="false">BK11-BK12</f>
        <v>2137934.54998204</v>
      </c>
      <c r="BL13" s="18" t="n">
        <f aca="false">BL11-BL12</f>
        <v>2137934.54998204</v>
      </c>
      <c r="BM13" s="18" t="n">
        <f aca="false">BM11-BM12</f>
        <v>2137934.54998204</v>
      </c>
      <c r="BN13" s="18" t="n">
        <f aca="false">BN11-BN12</f>
        <v>2137934.54998204</v>
      </c>
      <c r="BO13" s="18" t="n">
        <f aca="false">BO11-BO12</f>
        <v>2137934.54998204</v>
      </c>
      <c r="BP13" s="18" t="n">
        <f aca="false">BP11-BP12</f>
        <v>2137934.54998204</v>
      </c>
      <c r="BQ13" s="18" t="n">
        <f aca="false">BQ11-BQ12</f>
        <v>2137934.54998204</v>
      </c>
      <c r="BR13" s="18" t="n">
        <f aca="false">BR11-BR12</f>
        <v>2137934.54998204</v>
      </c>
      <c r="BS13" s="18" t="n">
        <f aca="false">BS11-BS12</f>
        <v>2137934.54998204</v>
      </c>
      <c r="BT13" s="18" t="n">
        <f aca="false">BT11-BT12</f>
        <v>2137934.54998204</v>
      </c>
      <c r="BU13" s="18" t="n">
        <f aca="false">BU11-BU12</f>
        <v>2137934.54998204</v>
      </c>
      <c r="BV13" s="18" t="n">
        <f aca="false">BV11-BV12</f>
        <v>2799756.63514745</v>
      </c>
      <c r="BW13" s="18" t="n">
        <f aca="false">BW11-BW12</f>
        <v>2799756.63514745</v>
      </c>
      <c r="BX13" s="18" t="n">
        <f aca="false">BX11-BX12</f>
        <v>2799756.63514745</v>
      </c>
      <c r="BY13" s="18" t="n">
        <f aca="false">BY11-BY12</f>
        <v>2799756.63514745</v>
      </c>
      <c r="BZ13" s="18" t="n">
        <f aca="false">BZ11-BZ12</f>
        <v>2799756.63514745</v>
      </c>
      <c r="CA13" s="18" t="n">
        <f aca="false">CA11-CA12</f>
        <v>2799756.63514745</v>
      </c>
      <c r="CB13" s="18" t="n">
        <f aca="false">CB11-CB12</f>
        <v>2799756.63514745</v>
      </c>
      <c r="CC13" s="18" t="n">
        <f aca="false">CC11-CC12</f>
        <v>2799756.63514745</v>
      </c>
      <c r="CD13" s="18" t="n">
        <f aca="false">CD11-CD12</f>
        <v>2799756.63514745</v>
      </c>
      <c r="CE13" s="18" t="n">
        <f aca="false">CE11-CE12</f>
        <v>2799756.63514745</v>
      </c>
      <c r="CF13" s="18" t="n">
        <f aca="false">CF11-CF12</f>
        <v>2799756.63514745</v>
      </c>
      <c r="CG13" s="18" t="n">
        <f aca="false">CG11-CG12</f>
        <v>2799756.63514745</v>
      </c>
      <c r="CH13" s="18" t="n">
        <f aca="false">CH11-CH12</f>
        <v>3507906.26627444</v>
      </c>
      <c r="CI13" s="18" t="n">
        <f aca="false">CI11-CI12</f>
        <v>3507906.26627444</v>
      </c>
      <c r="CJ13" s="18" t="n">
        <f aca="false">CJ11-CJ12</f>
        <v>3507906.26627444</v>
      </c>
      <c r="CK13" s="18" t="n">
        <f aca="false">CK11-CK12</f>
        <v>3507906.26627444</v>
      </c>
      <c r="CL13" s="18" t="n">
        <f aca="false">CL11-CL12</f>
        <v>3507906.26627444</v>
      </c>
      <c r="CM13" s="18" t="n">
        <f aca="false">CM11-CM12</f>
        <v>3507906.26627444</v>
      </c>
      <c r="CN13" s="18" t="n">
        <f aca="false">CN11-CN12</f>
        <v>3507906.26627444</v>
      </c>
      <c r="CO13" s="18" t="n">
        <f aca="false">CO11-CO12</f>
        <v>3507906.26627444</v>
      </c>
      <c r="CP13" s="18" t="n">
        <f aca="false">CP11-CP12</f>
        <v>3507906.26627444</v>
      </c>
      <c r="CQ13" s="18" t="n">
        <f aca="false">CQ11-CQ12</f>
        <v>3507906.26627444</v>
      </c>
      <c r="CR13" s="18" t="n">
        <f aca="false">CR11-CR12</f>
        <v>3507906.26627444</v>
      </c>
      <c r="CS13" s="18" t="n">
        <f aca="false">CS11-CS12</f>
        <v>3507906.26627444</v>
      </c>
      <c r="CT13" s="18" t="n">
        <f aca="false">CT11-CT12</f>
        <v>4265626.37158031</v>
      </c>
      <c r="CU13" s="18" t="n">
        <f aca="false">CU11-CU12</f>
        <v>4265626.37158031</v>
      </c>
      <c r="CV13" s="18" t="n">
        <f aca="false">CV11-CV12</f>
        <v>4265626.37158031</v>
      </c>
      <c r="CW13" s="18" t="n">
        <f aca="false">CW11-CW12</f>
        <v>4265626.37158031</v>
      </c>
      <c r="CX13" s="18" t="n">
        <f aca="false">CX11-CX12</f>
        <v>4265626.37158031</v>
      </c>
      <c r="CY13" s="18" t="n">
        <f aca="false">CY11-CY12</f>
        <v>4265626.37158031</v>
      </c>
      <c r="CZ13" s="18" t="n">
        <f aca="false">CZ11-CZ12</f>
        <v>4265626.37158031</v>
      </c>
      <c r="DA13" s="18" t="n">
        <f aca="false">DA11-DA12</f>
        <v>4265626.37158031</v>
      </c>
      <c r="DB13" s="18" t="n">
        <f aca="false">DB11-DB12</f>
        <v>4265626.37158031</v>
      </c>
      <c r="DC13" s="18" t="n">
        <f aca="false">DC11-DC12</f>
        <v>4265626.37158031</v>
      </c>
      <c r="DD13" s="18" t="n">
        <f aca="false">DD11-DD12</f>
        <v>4265626.37158031</v>
      </c>
      <c r="DE13" s="18" t="n">
        <f aca="false">DE11-DE12</f>
        <v>4265626.37158031</v>
      </c>
      <c r="DF13" s="18" t="n">
        <f aca="false">DF11-DF12</f>
        <v>5076386.8842576</v>
      </c>
      <c r="DG13" s="18" t="n">
        <f aca="false">DG11-DG12</f>
        <v>5076386.8842576</v>
      </c>
      <c r="DH13" s="18" t="n">
        <f aca="false">DH11-DH12</f>
        <v>5076386.8842576</v>
      </c>
      <c r="DI13" s="18" t="n">
        <f aca="false">DI11-DI12</f>
        <v>5076386.8842576</v>
      </c>
      <c r="DJ13" s="18" t="n">
        <f aca="false">DJ11-DJ12</f>
        <v>5076386.8842576</v>
      </c>
      <c r="DK13" s="18" t="n">
        <f aca="false">DK11-DK12</f>
        <v>5076386.8842576</v>
      </c>
      <c r="DL13" s="18" t="n">
        <f aca="false">DL11-DL12</f>
        <v>5076386.8842576</v>
      </c>
      <c r="DM13" s="18" t="n">
        <f aca="false">DM11-DM12</f>
        <v>5076386.8842576</v>
      </c>
      <c r="DN13" s="18" t="n">
        <f aca="false">DN11-DN12</f>
        <v>5076386.8842576</v>
      </c>
      <c r="DO13" s="18" t="n">
        <f aca="false">DO11-DO12</f>
        <v>5076386.8842576</v>
      </c>
      <c r="DP13" s="18" t="n">
        <f aca="false">DP11-DP12</f>
        <v>5076386.8842576</v>
      </c>
      <c r="DQ13" s="18" t="n">
        <f aca="false">DQ11-DQ12</f>
        <v>5076386.8842576</v>
      </c>
      <c r="DR13" s="18" t="n">
        <f aca="false">DR11-DR12</f>
        <v>6360567.29948897</v>
      </c>
      <c r="DS13" s="18" t="n">
        <f aca="false">DS11-DS12</f>
        <v>6360567.29948897</v>
      </c>
      <c r="DT13" s="18" t="n">
        <f aca="false">DT11-DT12</f>
        <v>6360567.29948897</v>
      </c>
      <c r="DU13" s="18" t="n">
        <f aca="false">DU11-DU12</f>
        <v>6360567.29948897</v>
      </c>
      <c r="DV13" s="18" t="n">
        <f aca="false">DV11-DV12</f>
        <v>6360567.29948897</v>
      </c>
      <c r="DW13" s="18" t="n">
        <f aca="false">DW11-DW12</f>
        <v>6360567.29948897</v>
      </c>
      <c r="DX13" s="18" t="n">
        <f aca="false">DX11-DX12</f>
        <v>6360567.29948897</v>
      </c>
      <c r="DY13" s="18" t="n">
        <f aca="false">DY11-DY12</f>
        <v>6360567.29948897</v>
      </c>
      <c r="DZ13" s="18" t="n">
        <f aca="false">DZ11-DZ12</f>
        <v>6360567.29948897</v>
      </c>
      <c r="EA13" s="18" t="n">
        <f aca="false">EA11-EA12</f>
        <v>6360567.29948897</v>
      </c>
      <c r="EB13" s="18" t="n">
        <f aca="false">EB11-EB12</f>
        <v>6360567.29948897</v>
      </c>
      <c r="EC13" s="18" t="n">
        <f aca="false">EC11-EC12</f>
        <v>6360567.29948897</v>
      </c>
      <c r="ED13" s="18" t="n">
        <f aca="false">ED11-ED12</f>
        <v>7288807.0104532</v>
      </c>
      <c r="EE13" s="18" t="n">
        <f aca="false">EE11-EE12</f>
        <v>7288807.0104532</v>
      </c>
      <c r="EF13" s="18" t="n">
        <f aca="false">EF11-EF12</f>
        <v>7288807.0104532</v>
      </c>
      <c r="EG13" s="18" t="n">
        <f aca="false">EG11-EG12</f>
        <v>7288807.0104532</v>
      </c>
      <c r="EH13" s="18" t="n">
        <f aca="false">EH11-EH12</f>
        <v>7288807.0104532</v>
      </c>
      <c r="EI13" s="18" t="n">
        <f aca="false">EI11-EI12</f>
        <v>7288807.0104532</v>
      </c>
      <c r="EJ13" s="18" t="n">
        <f aca="false">EJ11-EJ12</f>
        <v>7288807.0104532</v>
      </c>
      <c r="EK13" s="18" t="n">
        <f aca="false">EK11-EK12</f>
        <v>7288807.0104532</v>
      </c>
      <c r="EL13" s="18" t="n">
        <f aca="false">EL11-EL12</f>
        <v>7288807.0104532</v>
      </c>
      <c r="EM13" s="18" t="n">
        <f aca="false">EM11-EM12</f>
        <v>7288807.0104532</v>
      </c>
      <c r="EN13" s="18" t="n">
        <f aca="false">EN11-EN12</f>
        <v>7288807.0104532</v>
      </c>
      <c r="EO13" s="18" t="n">
        <f aca="false">EO11-EO12</f>
        <v>7288807.0104532</v>
      </c>
      <c r="EP13" s="18" t="n">
        <f aca="false">EP11-EP12</f>
        <v>8282023.50118492</v>
      </c>
      <c r="EQ13" s="18" t="n">
        <f aca="false">EQ11-EQ12</f>
        <v>8282023.50118492</v>
      </c>
      <c r="ER13" s="18" t="n">
        <f aca="false">ER11-ER12</f>
        <v>8282023.50118492</v>
      </c>
      <c r="ES13" s="18" t="n">
        <f aca="false">ES11-ES12</f>
        <v>8282023.50118492</v>
      </c>
      <c r="ET13" s="18" t="n">
        <f aca="false">ET11-ET12</f>
        <v>8282023.50118492</v>
      </c>
      <c r="EU13" s="18" t="n">
        <f aca="false">EU11-EU12</f>
        <v>8282023.50118492</v>
      </c>
      <c r="EV13" s="18" t="n">
        <f aca="false">EV11-EV12</f>
        <v>8282023.50118492</v>
      </c>
      <c r="EW13" s="18" t="n">
        <f aca="false">EW11-EW12</f>
        <v>8282023.50118492</v>
      </c>
      <c r="EX13" s="18" t="n">
        <f aca="false">EX11-EX12</f>
        <v>8282023.50118492</v>
      </c>
      <c r="EY13" s="18" t="n">
        <f aca="false">EY11-EY12</f>
        <v>8282023.50118492</v>
      </c>
      <c r="EZ13" s="18" t="n">
        <f aca="false">EZ11-EZ12</f>
        <v>8282023.50118492</v>
      </c>
      <c r="FA13" s="18" t="n">
        <f aca="false">FA11-FA12</f>
        <v>8282023.50118492</v>
      </c>
      <c r="FB13" s="18" t="n">
        <f aca="false">FB11-FB12</f>
        <v>9344765.14626787</v>
      </c>
      <c r="FC13" s="18" t="n">
        <f aca="false">FC11-FC12</f>
        <v>9344765.14626787</v>
      </c>
      <c r="FD13" s="18" t="n">
        <f aca="false">FD11-FD12</f>
        <v>9344765.14626787</v>
      </c>
      <c r="FE13" s="18" t="n">
        <f aca="false">FE11-FE12</f>
        <v>9344765.14626787</v>
      </c>
      <c r="FF13" s="18" t="n">
        <f aca="false">FF11-FF12</f>
        <v>9344765.14626787</v>
      </c>
      <c r="FG13" s="18" t="n">
        <f aca="false">FG11-FG12</f>
        <v>9344765.14626787</v>
      </c>
      <c r="FH13" s="18" t="n">
        <f aca="false">FH11-FH12</f>
        <v>9344765.14626787</v>
      </c>
      <c r="FI13" s="18" t="n">
        <f aca="false">FI11-FI12</f>
        <v>9344765.14626787</v>
      </c>
      <c r="FJ13" s="18" t="n">
        <f aca="false">FJ11-FJ12</f>
        <v>9344765.14626787</v>
      </c>
      <c r="FK13" s="18" t="n">
        <f aca="false">FK11-FK12</f>
        <v>9344765.14626787</v>
      </c>
      <c r="FL13" s="18" t="n">
        <f aca="false">FL11-FL12</f>
        <v>9344765.14626787</v>
      </c>
      <c r="FM13" s="18" t="n">
        <f aca="false">FM11-FM12</f>
        <v>9344765.14626787</v>
      </c>
      <c r="FN13" s="18" t="n">
        <f aca="false">FN11-FN12</f>
        <v>10481898.7065066</v>
      </c>
      <c r="FO13" s="18" t="n">
        <f aca="false">FO11-FO12</f>
        <v>10481898.7065066</v>
      </c>
      <c r="FP13" s="18" t="n">
        <f aca="false">FP11-FP12</f>
        <v>10481898.7065066</v>
      </c>
      <c r="FQ13" s="18" t="n">
        <f aca="false">FQ11-FQ12</f>
        <v>10481898.7065066</v>
      </c>
      <c r="FR13" s="18" t="n">
        <f aca="false">FR11-FR12</f>
        <v>10481898.7065066</v>
      </c>
      <c r="FS13" s="18" t="n">
        <f aca="false">FS11-FS12</f>
        <v>10481898.7065066</v>
      </c>
      <c r="FT13" s="18" t="n">
        <f aca="false">FT11-FT12</f>
        <v>10481898.7065066</v>
      </c>
      <c r="FU13" s="18" t="n">
        <f aca="false">FU11-FU12</f>
        <v>10481898.7065066</v>
      </c>
      <c r="FV13" s="18" t="n">
        <f aca="false">FV11-FV12</f>
        <v>10481898.7065066</v>
      </c>
      <c r="FW13" s="18" t="n">
        <f aca="false">FW11-FW12</f>
        <v>10481898.7065066</v>
      </c>
      <c r="FX13" s="18" t="n">
        <f aca="false">FX11-FX12</f>
        <v>10481898.7065066</v>
      </c>
      <c r="FY13" s="18" t="n">
        <f aca="false">FY11-FY12</f>
        <v>10481898.7065066</v>
      </c>
      <c r="FZ13" s="18" t="n">
        <f aca="false">FZ11-FZ12</f>
        <v>11698631.6159621</v>
      </c>
      <c r="GA13" s="18" t="n">
        <f aca="false">GA11-GA12</f>
        <v>11698631.6159621</v>
      </c>
      <c r="GB13" s="18" t="n">
        <f aca="false">GB11-GB12</f>
        <v>11698631.6159621</v>
      </c>
      <c r="GC13" s="18" t="n">
        <f aca="false">GC11-GC12</f>
        <v>11698631.6159621</v>
      </c>
      <c r="GD13" s="18" t="n">
        <f aca="false">GD11-GD12</f>
        <v>11698631.6159621</v>
      </c>
      <c r="GE13" s="18" t="n">
        <f aca="false">GE11-GE12</f>
        <v>11698631.6159621</v>
      </c>
      <c r="GF13" s="18" t="n">
        <f aca="false">GF11-GF12</f>
        <v>11698631.6159621</v>
      </c>
      <c r="GG13" s="18" t="n">
        <f aca="false">GG11-GG12</f>
        <v>11698631.6159621</v>
      </c>
      <c r="GH13" s="18" t="n">
        <f aca="false">GH11-GH12</f>
        <v>11698631.6159621</v>
      </c>
      <c r="GI13" s="18" t="n">
        <f aca="false">GI11-GI12</f>
        <v>11698631.6159621</v>
      </c>
      <c r="GJ13" s="18" t="n">
        <f aca="false">GJ11-GJ12</f>
        <v>11698631.6159621</v>
      </c>
      <c r="GK13" s="18" t="n">
        <f aca="false">GK11-GK12</f>
        <v>11698631.6159621</v>
      </c>
      <c r="GL13" s="18" t="n">
        <f aca="false">GL11-GL12</f>
        <v>13000535.8290794</v>
      </c>
      <c r="GM13" s="18" t="n">
        <f aca="false">GM11-GM12</f>
        <v>13000535.8290794</v>
      </c>
      <c r="GN13" s="18" t="n">
        <f aca="false">GN11-GN12</f>
        <v>13000535.8290794</v>
      </c>
      <c r="GO13" s="18" t="n">
        <f aca="false">GO11-GO12</f>
        <v>13000535.8290794</v>
      </c>
      <c r="GP13" s="18" t="n">
        <f aca="false">GP11-GP12</f>
        <v>13000535.8290794</v>
      </c>
      <c r="GQ13" s="18" t="n">
        <f aca="false">GQ11-GQ12</f>
        <v>13000535.8290794</v>
      </c>
      <c r="GR13" s="18" t="n">
        <f aca="false">GR11-GR12</f>
        <v>13000535.8290794</v>
      </c>
      <c r="GS13" s="18" t="n">
        <f aca="false">GS11-GS12</f>
        <v>13000535.8290794</v>
      </c>
      <c r="GT13" s="18" t="n">
        <f aca="false">GT11-GT12</f>
        <v>13000535.8290794</v>
      </c>
      <c r="GU13" s="18" t="n">
        <f aca="false">GU11-GU12</f>
        <v>13000535.8290794</v>
      </c>
      <c r="GV13" s="18" t="n">
        <f aca="false">GV11-GV12</f>
        <v>13000535.8290794</v>
      </c>
      <c r="GW13" s="18" t="n">
        <f aca="false">GW11-GW12</f>
        <v>13000535.8290794</v>
      </c>
      <c r="GX13" s="18" t="n">
        <f aca="false">GX11-GX12</f>
        <v>14393573.337115</v>
      </c>
      <c r="GY13" s="18" t="n">
        <f aca="false">GY11-GY12</f>
        <v>14393573.337115</v>
      </c>
      <c r="GZ13" s="18" t="n">
        <f aca="false">GZ11-GZ12</f>
        <v>14393573.337115</v>
      </c>
      <c r="HA13" s="18" t="n">
        <f aca="false">HA11-HA12</f>
        <v>14393573.337115</v>
      </c>
      <c r="HB13" s="18" t="n">
        <f aca="false">HB11-HB12</f>
        <v>14393573.337115</v>
      </c>
      <c r="HC13" s="18" t="n">
        <f aca="false">HC11-HC12</f>
        <v>14393573.337115</v>
      </c>
      <c r="HD13" s="18" t="n">
        <f aca="false">HD11-HD12</f>
        <v>14393573.337115</v>
      </c>
      <c r="HE13" s="18" t="n">
        <f aca="false">HE11-HE12</f>
        <v>14393573.337115</v>
      </c>
      <c r="HF13" s="18" t="n">
        <f aca="false">HF11-HF12</f>
        <v>14393573.337115</v>
      </c>
      <c r="HG13" s="18" t="n">
        <f aca="false">HG11-HG12</f>
        <v>14393573.337115</v>
      </c>
      <c r="HH13" s="18" t="n">
        <f aca="false">HH11-HH12</f>
        <v>14393573.337115</v>
      </c>
      <c r="HI13" s="18" t="n">
        <f aca="false">HI11-HI12</f>
        <v>14393573.337115</v>
      </c>
      <c r="HJ13" s="18" t="n">
        <f aca="false">HJ11-HJ12</f>
        <v>15884123.470713</v>
      </c>
      <c r="HK13" s="18" t="n">
        <f aca="false">HK11-HK12</f>
        <v>15884123.470713</v>
      </c>
      <c r="HL13" s="18" t="n">
        <f aca="false">HL11-HL12</f>
        <v>15884123.470713</v>
      </c>
      <c r="HM13" s="18" t="n">
        <f aca="false">HM11-HM12</f>
        <v>15884123.470713</v>
      </c>
      <c r="HN13" s="18" t="n">
        <f aca="false">HN11-HN12</f>
        <v>15884123.470713</v>
      </c>
      <c r="HO13" s="18" t="n">
        <f aca="false">HO11-HO12</f>
        <v>15884123.470713</v>
      </c>
      <c r="HP13" s="18" t="n">
        <f aca="false">HP11-HP12</f>
        <v>15884123.470713</v>
      </c>
      <c r="HQ13" s="18" t="n">
        <f aca="false">HQ11-HQ12</f>
        <v>15884123.470713</v>
      </c>
      <c r="HR13" s="18" t="n">
        <f aca="false">HR11-HR12</f>
        <v>15884123.470713</v>
      </c>
      <c r="HS13" s="18" t="n">
        <f aca="false">HS11-HS12</f>
        <v>15884123.470713</v>
      </c>
      <c r="HT13" s="18" t="n">
        <f aca="false">HT11-HT12</f>
        <v>15884123.470713</v>
      </c>
      <c r="HU13" s="18" t="n">
        <f aca="false">HU11-HU12</f>
        <v>15884123.470713</v>
      </c>
      <c r="HV13" s="18" t="n">
        <f aca="false">HV11-HV12</f>
        <v>17479012.113663</v>
      </c>
      <c r="HW13" s="18" t="n">
        <f aca="false">HW11-HW12</f>
        <v>17479012.113663</v>
      </c>
      <c r="HX13" s="18" t="n">
        <f aca="false">HX11-HX12</f>
        <v>17479012.113663</v>
      </c>
      <c r="HY13" s="18" t="n">
        <f aca="false">HY11-HY12</f>
        <v>17479012.113663</v>
      </c>
      <c r="HZ13" s="18" t="n">
        <f aca="false">HZ11-HZ12</f>
        <v>17479012.113663</v>
      </c>
      <c r="IA13" s="18" t="n">
        <f aca="false">IA11-IA12</f>
        <v>17479012.113663</v>
      </c>
      <c r="IB13" s="18" t="n">
        <f aca="false">IB11-IB12</f>
        <v>17479012.113663</v>
      </c>
      <c r="IC13" s="18" t="n">
        <f aca="false">IC11-IC12</f>
        <v>17479012.113663</v>
      </c>
      <c r="ID13" s="18" t="n">
        <f aca="false">ID11-ID12</f>
        <v>17479012.113663</v>
      </c>
      <c r="IE13" s="18" t="n">
        <f aca="false">IE11-IE12</f>
        <v>17479012.113663</v>
      </c>
      <c r="IF13" s="18" t="n">
        <f aca="false">IF11-IF12</f>
        <v>17479012.113663</v>
      </c>
      <c r="IG13" s="18" t="n">
        <f aca="false">IG11-IG12</f>
        <v>17479012.113663</v>
      </c>
      <c r="IH13" s="18" t="n">
        <f aca="false">IH11-IH12</f>
        <v>19185542.9616194</v>
      </c>
      <c r="II13" s="18" t="n">
        <f aca="false">II11-II12</f>
        <v>19185542.9616194</v>
      </c>
      <c r="IJ13" s="18" t="n">
        <f aca="false">IJ11-IJ12</f>
        <v>19185542.9616194</v>
      </c>
      <c r="IK13" s="18" t="n">
        <f aca="false">IK11-IK12</f>
        <v>19185542.9616194</v>
      </c>
      <c r="IL13" s="18" t="n">
        <f aca="false">IL11-IL12</f>
        <v>19185542.9616194</v>
      </c>
      <c r="IM13" s="18" t="n">
        <f aca="false">IM11-IM12</f>
        <v>19185542.9616194</v>
      </c>
      <c r="IN13" s="18" t="n">
        <f aca="false">IN11-IN12</f>
        <v>19185542.9616194</v>
      </c>
      <c r="IO13" s="18" t="n">
        <f aca="false">IO11-IO12</f>
        <v>19185542.9616194</v>
      </c>
      <c r="IP13" s="18" t="n">
        <f aca="false">IP11-IP12</f>
        <v>19185542.9616194</v>
      </c>
      <c r="IQ13" s="18" t="n">
        <f aca="false">IQ11-IQ12</f>
        <v>19185542.9616194</v>
      </c>
      <c r="IR13" s="18" t="n">
        <f aca="false">IR11-IR12</f>
        <v>19185542.9616194</v>
      </c>
      <c r="IS13" s="18" t="n">
        <f aca="false">IS11-IS12</f>
        <v>19185542.9616194</v>
      </c>
      <c r="IT13" s="18" t="n">
        <f aca="false">IT11-IT12</f>
        <v>21011530.9689327</v>
      </c>
      <c r="IU13" s="18" t="n">
        <f aca="false">IU11-IU12</f>
        <v>21011530.9689327</v>
      </c>
      <c r="IV13" s="18" t="n">
        <f aca="false">IV11-IV12</f>
        <v>21011530.9689327</v>
      </c>
      <c r="IW13" s="18" t="n">
        <f aca="false">IW11-IW12</f>
        <v>21011530.9689327</v>
      </c>
      <c r="IX13" s="18" t="n">
        <f aca="false">IX11-IX12</f>
        <v>21011530.9689327</v>
      </c>
      <c r="IY13" s="18" t="n">
        <f aca="false">IY11-IY12</f>
        <v>21011530.9689327</v>
      </c>
      <c r="IZ13" s="18" t="n">
        <f aca="false">IZ11-IZ12</f>
        <v>21011530.9689327</v>
      </c>
      <c r="JA13" s="18" t="n">
        <f aca="false">JA11-JA12</f>
        <v>21011530.9689327</v>
      </c>
      <c r="JB13" s="18" t="n">
        <f aca="false">JB11-JB12</f>
        <v>21011530.9689327</v>
      </c>
      <c r="JC13" s="18" t="n">
        <f aca="false">JC11-JC12</f>
        <v>21011530.9689327</v>
      </c>
      <c r="JD13" s="18" t="n">
        <f aca="false">JD11-JD12</f>
        <v>21011530.9689327</v>
      </c>
      <c r="JE13" s="18" t="n">
        <f aca="false">JE11-JE12</f>
        <v>21011530.9689327</v>
      </c>
      <c r="JF13" s="18" t="n">
        <f aca="false">JF11-JF12</f>
        <v>22965338.136758</v>
      </c>
      <c r="JG13" s="18" t="n">
        <f aca="false">JG11-JG12</f>
        <v>22965338.136758</v>
      </c>
      <c r="JH13" s="18" t="n">
        <f aca="false">JH11-JH12</f>
        <v>22965338.136758</v>
      </c>
      <c r="JI13" s="18" t="n">
        <f aca="false">JI11-JI12</f>
        <v>22965338.136758</v>
      </c>
      <c r="JJ13" s="18" t="n">
        <f aca="false">JJ11-JJ12</f>
        <v>22965338.136758</v>
      </c>
      <c r="JK13" s="18" t="n">
        <f aca="false">JK11-JK12</f>
        <v>22965338.136758</v>
      </c>
      <c r="JL13" s="18" t="n">
        <f aca="false">JL11-JL12</f>
        <v>22965338.136758</v>
      </c>
      <c r="JM13" s="18" t="n">
        <f aca="false">JM11-JM12</f>
        <v>22965338.136758</v>
      </c>
      <c r="JN13" s="18" t="n">
        <f aca="false">JN11-JN12</f>
        <v>22965338.136758</v>
      </c>
      <c r="JO13" s="18" t="n">
        <f aca="false">JO11-JO12</f>
        <v>22965338.136758</v>
      </c>
      <c r="JP13" s="18" t="n">
        <f aca="false">JP11-JP12</f>
        <v>22965338.136758</v>
      </c>
      <c r="JQ13" s="18" t="n">
        <f aca="false">JQ11-JQ12</f>
        <v>22965338.136758</v>
      </c>
      <c r="JR13" s="18" t="n">
        <f aca="false">JR11-JR12</f>
        <v>25055911.8063311</v>
      </c>
      <c r="JS13" s="18" t="n">
        <f aca="false">JS11-JS12</f>
        <v>25055911.8063311</v>
      </c>
      <c r="JT13" s="18" t="n">
        <f aca="false">JT11-JT12</f>
        <v>25055911.8063311</v>
      </c>
      <c r="JU13" s="18" t="n">
        <f aca="false">JU11-JU12</f>
        <v>25055911.8063311</v>
      </c>
      <c r="JV13" s="18" t="n">
        <f aca="false">JV11-JV12</f>
        <v>25055911.8063311</v>
      </c>
      <c r="JW13" s="18" t="n">
        <f aca="false">JW11-JW12</f>
        <v>25055911.8063311</v>
      </c>
      <c r="JX13" s="18" t="n">
        <f aca="false">JX11-JX12</f>
        <v>25055911.8063311</v>
      </c>
      <c r="JY13" s="18" t="n">
        <f aca="false">JY11-JY12</f>
        <v>25055911.8063311</v>
      </c>
      <c r="JZ13" s="18" t="n">
        <f aca="false">JZ11-JZ12</f>
        <v>25055911.8063311</v>
      </c>
      <c r="KA13" s="18" t="n">
        <f aca="false">KA11-KA12</f>
        <v>25055911.8063311</v>
      </c>
      <c r="KB13" s="18" t="n">
        <f aca="false">KB11-KB12</f>
        <v>25055911.8063311</v>
      </c>
      <c r="KC13" s="18" t="n">
        <f aca="false">KC11-KC12</f>
        <v>25055911.8063311</v>
      </c>
      <c r="KD13" s="18" t="n">
        <f aca="false">KD11-KD12</f>
        <v>27292825.6327743</v>
      </c>
      <c r="KE13" s="18" t="n">
        <f aca="false">KE11-KE12</f>
        <v>27292825.6327743</v>
      </c>
      <c r="KF13" s="18" t="n">
        <f aca="false">KF11-KF12</f>
        <v>27292825.6327743</v>
      </c>
      <c r="KG13" s="18" t="n">
        <f aca="false">KG11-KG12</f>
        <v>27292825.6327743</v>
      </c>
      <c r="KH13" s="18" t="n">
        <f aca="false">KH11-KH12</f>
        <v>27292825.6327743</v>
      </c>
      <c r="KI13" s="18" t="n">
        <f aca="false">KI11-KI12</f>
        <v>27292825.6327743</v>
      </c>
      <c r="KJ13" s="18" t="n">
        <f aca="false">KJ11-KJ12</f>
        <v>27292825.6327743</v>
      </c>
      <c r="KK13" s="18" t="n">
        <f aca="false">KK11-KK12</f>
        <v>27292825.6327743</v>
      </c>
      <c r="KL13" s="18" t="n">
        <f aca="false">KL11-KL12</f>
        <v>27292825.6327743</v>
      </c>
      <c r="KM13" s="18" t="n">
        <f aca="false">KM11-KM12</f>
        <v>27292825.6327743</v>
      </c>
      <c r="KN13" s="18" t="n">
        <f aca="false">KN11-KN12</f>
        <v>27292825.6327743</v>
      </c>
      <c r="KO13" s="18" t="n">
        <f aca="false">KO11-KO12</f>
        <v>27292825.6327743</v>
      </c>
    </row>
    <row r="14" customFormat="false" ht="14.25" hidden="false" customHeight="false" outlineLevel="0" collapsed="false">
      <c r="A14" s="0" t="s">
        <v>402</v>
      </c>
      <c r="B14" s="18" t="n">
        <f aca="false">IF(B13&gt;0,B13*'Panel de Control'!$B$15,0)</f>
        <v>0</v>
      </c>
      <c r="C14" s="18" t="n">
        <f aca="false">IF(C13&gt;0,C13*'Panel de Control'!$B$15,0)</f>
        <v>0</v>
      </c>
      <c r="D14" s="18" t="n">
        <f aca="false">IF(D13&gt;0,D13*'Panel de Control'!$B$15,0)</f>
        <v>0</v>
      </c>
      <c r="E14" s="18" t="n">
        <f aca="false">IF(E13&gt;0,E13*'Panel de Control'!$B$15,0)</f>
        <v>0</v>
      </c>
      <c r="F14" s="18" t="n">
        <f aca="false">IF(F13&gt;0,F13*'Panel de Control'!$B$15,0)</f>
        <v>0</v>
      </c>
      <c r="G14" s="18" t="n">
        <f aca="false">IF(G13&gt;0,G13*'Panel de Control'!$B$15,0)</f>
        <v>0</v>
      </c>
      <c r="H14" s="18" t="n">
        <f aca="false">IF(H13&gt;0,H13*'Panel de Control'!$B$15,0)</f>
        <v>0</v>
      </c>
      <c r="I14" s="18" t="n">
        <f aca="false">IF(I13&gt;0,I13*'Panel de Control'!$B$15,0)</f>
        <v>0</v>
      </c>
      <c r="J14" s="18" t="n">
        <f aca="false">IF(J13&gt;0,J13*'Panel de Control'!$B$15,0)</f>
        <v>0</v>
      </c>
      <c r="K14" s="18" t="n">
        <f aca="false">IF(K13&gt;0,K13*'Panel de Control'!$B$15,0)</f>
        <v>0</v>
      </c>
      <c r="L14" s="18" t="n">
        <f aca="false">IF(L13&gt;0,L13*'Panel de Control'!$B$15,0)</f>
        <v>0</v>
      </c>
      <c r="M14" s="18" t="n">
        <f aca="false">IF(M13&gt;0,M13*'Panel de Control'!$B$15,0)</f>
        <v>0</v>
      </c>
      <c r="N14" s="18" t="n">
        <f aca="false">IF(N13&gt;0,N13*'Panel de Control'!$B$15,0)</f>
        <v>0</v>
      </c>
      <c r="O14" s="18" t="n">
        <f aca="false">IF(O13&gt;0,O13*'Panel de Control'!$B$15,0)</f>
        <v>0</v>
      </c>
      <c r="P14" s="18" t="n">
        <f aca="false">IF(P13&gt;0,P13*'Panel de Control'!$B$15,0)</f>
        <v>0</v>
      </c>
      <c r="Q14" s="18" t="n">
        <f aca="false">IF(Q13&gt;0,Q13*'Panel de Control'!$B$15,0)</f>
        <v>0</v>
      </c>
      <c r="R14" s="18" t="n">
        <f aca="false">IF(R13&gt;0,R13*'Panel de Control'!$B$15,0)</f>
        <v>0</v>
      </c>
      <c r="S14" s="18" t="n">
        <f aca="false">IF(S13&gt;0,S13*'Panel de Control'!$B$15,0)</f>
        <v>0</v>
      </c>
      <c r="T14" s="18" t="n">
        <f aca="false">IF(T13&gt;0,T13*'Panel de Control'!$B$15,0)</f>
        <v>0</v>
      </c>
      <c r="U14" s="18" t="n">
        <f aca="false">IF(U13&gt;0,U13*'Panel de Control'!$B$15,0)</f>
        <v>0</v>
      </c>
      <c r="V14" s="18" t="n">
        <f aca="false">IF(V13&gt;0,V13*'Panel de Control'!$B$15,0)</f>
        <v>0</v>
      </c>
      <c r="W14" s="18" t="n">
        <f aca="false">IF(W13&gt;0,W13*'Panel de Control'!$B$15,0)</f>
        <v>0</v>
      </c>
      <c r="X14" s="18" t="n">
        <f aca="false">IF(X13&gt;0,X13*'Panel de Control'!$B$15,0)</f>
        <v>0</v>
      </c>
      <c r="Y14" s="18" t="n">
        <f aca="false">IF(Y13&gt;0,Y13*'Panel de Control'!$B$15,0)</f>
        <v>0</v>
      </c>
      <c r="Z14" s="18" t="n">
        <f aca="false">IF(Z13&gt;0,Z13*'Panel de Control'!$B$15,0)</f>
        <v>104258.010880452</v>
      </c>
      <c r="AA14" s="18" t="n">
        <f aca="false">IF(AA13&gt;0,AA13*'Panel de Control'!$B$15,0)</f>
        <v>104359.190993892</v>
      </c>
      <c r="AB14" s="18" t="n">
        <f aca="false">IF(AB13&gt;0,AB13*'Panel de Control'!$B$15,0)</f>
        <v>104460.96132466</v>
      </c>
      <c r="AC14" s="18" t="n">
        <f aca="false">IF(AC13&gt;0,AC13*'Panel de Control'!$B$15,0)</f>
        <v>104563.325315692</v>
      </c>
      <c r="AD14" s="18" t="n">
        <f aca="false">IF(AD13&gt;0,AD13*'Panel de Control'!$B$15,0)</f>
        <v>104666.286430004</v>
      </c>
      <c r="AE14" s="18" t="n">
        <f aca="false">IF(AE13&gt;0,AE13*'Panel de Control'!$B$15,0)</f>
        <v>104769.848150817</v>
      </c>
      <c r="AF14" s="18" t="n">
        <f aca="false">IF(AF13&gt;0,AF13*'Panel de Control'!$B$15,0)</f>
        <v>104874.013981667</v>
      </c>
      <c r="AG14" s="18" t="n">
        <f aca="false">IF(AG13&gt;0,AG13*'Panel de Control'!$B$15,0)</f>
        <v>104978.787446531</v>
      </c>
      <c r="AH14" s="18" t="n">
        <f aca="false">IF(AH13&gt;0,AH13*'Panel de Control'!$B$15,0)</f>
        <v>105084.17208994</v>
      </c>
      <c r="AI14" s="18" t="n">
        <f aca="false">IF(AI13&gt;0,AI13*'Panel de Control'!$B$15,0)</f>
        <v>105190.171477102</v>
      </c>
      <c r="AJ14" s="18" t="n">
        <f aca="false">IF(AJ13&gt;0,AJ13*'Panel de Control'!$B$15,0)</f>
        <v>105296.789194023</v>
      </c>
      <c r="AK14" s="18" t="n">
        <f aca="false">IF(AK13&gt;0,AK13*'Panel de Control'!$B$15,0)</f>
        <v>105404.028847626</v>
      </c>
      <c r="AL14" s="18" t="n">
        <f aca="false">IF(AL13&gt;0,AL13*'Panel de Control'!$B$15,0)</f>
        <v>251377.764075874</v>
      </c>
      <c r="AM14" s="18" t="n">
        <f aca="false">IF(AM13&gt;0,AM13*'Panel de Control'!$B$15,0)</f>
        <v>251486.258507896</v>
      </c>
      <c r="AN14" s="18" t="n">
        <f aca="false">IF(AN13&gt;0,AN13*'Panel de Control'!$B$15,0)</f>
        <v>251595.385824105</v>
      </c>
      <c r="AO14" s="18" t="n">
        <f aca="false">IF(AO13&gt;0,AO13*'Panel de Control'!$B$15,0)</f>
        <v>251705.149716325</v>
      </c>
      <c r="AP14" s="18" t="n">
        <f aca="false">IF(AP13&gt;0,AP13*'Panel de Control'!$B$15,0)</f>
        <v>251815.553897916</v>
      </c>
      <c r="AQ14" s="18" t="n">
        <f aca="false">IF(AQ13&gt;0,AQ13*'Panel de Control'!$B$15,0)</f>
        <v>251926.602103899</v>
      </c>
      <c r="AR14" s="18" t="n">
        <f aca="false">IF(AR13&gt;0,AR13*'Panel de Control'!$B$15,0)</f>
        <v>252038.298091085</v>
      </c>
      <c r="AS14" s="18" t="n">
        <f aca="false">IF(AS13&gt;0,AS13*'Panel de Control'!$B$15,0)</f>
        <v>252150.645638195</v>
      </c>
      <c r="AT14" s="18" t="n">
        <f aca="false">IF(AT13&gt;0,AT13*'Panel de Control'!$B$15,0)</f>
        <v>252263.648545997</v>
      </c>
      <c r="AU14" s="18" t="n">
        <f aca="false">IF(AU13&gt;0,AU13*'Panel de Control'!$B$15,0)</f>
        <v>252377.310637428</v>
      </c>
      <c r="AV14" s="18" t="n">
        <f aca="false">IF(AV13&gt;0,AV13*'Panel de Control'!$B$15,0)</f>
        <v>252491.635757726</v>
      </c>
      <c r="AW14" s="18" t="n">
        <f aca="false">IF(AW13&gt;0,AW13*'Panel de Control'!$B$15,0)</f>
        <v>252606.627774558</v>
      </c>
      <c r="AX14" s="18" t="n">
        <f aca="false">IF(AX13&gt;0,AX13*'Panel de Control'!$B$15,0)</f>
        <v>408798.771488856</v>
      </c>
      <c r="AY14" s="18" t="n">
        <f aca="false">IF(AY13&gt;0,AY13*'Panel de Control'!$B$15,0)</f>
        <v>408915.108992141</v>
      </c>
      <c r="AZ14" s="18" t="n">
        <f aca="false">IF(AZ13&gt;0,AZ13*'Panel de Control'!$B$15,0)</f>
        <v>409032.125130862</v>
      </c>
      <c r="BA14" s="18" t="n">
        <f aca="false">IF(BA13&gt;0,BA13*'Panel de Control'!$B$15,0)</f>
        <v>409149.823863726</v>
      </c>
      <c r="BB14" s="18" t="n">
        <f aca="false">IF(BB13&gt;0,BB13*'Panel de Control'!$B$15,0)</f>
        <v>409268.209172531</v>
      </c>
      <c r="BC14" s="18" t="n">
        <f aca="false">IF(BC13&gt;0,BC13*'Panel de Control'!$B$15,0)</f>
        <v>409387.285062304</v>
      </c>
      <c r="BD14" s="18" t="n">
        <f aca="false">IF(BD13&gt;0,BD13*'Panel de Control'!$B$15,0)</f>
        <v>409507.055561434</v>
      </c>
      <c r="BE14" s="18" t="n">
        <f aca="false">IF(BE13&gt;0,BE13*'Panel de Control'!$B$15,0)</f>
        <v>409627.524721809</v>
      </c>
      <c r="BF14" s="18" t="n">
        <f aca="false">IF(BF13&gt;0,BF13*'Panel de Control'!$B$15,0)</f>
        <v>409748.696618953</v>
      </c>
      <c r="BG14" s="18" t="n">
        <f aca="false">IF(BG13&gt;0,BG13*'Panel de Control'!$B$15,0)</f>
        <v>409870.575352164</v>
      </c>
      <c r="BH14" s="18" t="n">
        <f aca="false">IF(BH13&gt;0,BH13*'Panel de Control'!$B$15,0)</f>
        <v>409993.165044652</v>
      </c>
      <c r="BI14" s="18" t="n">
        <f aca="false">IF(BI13&gt;0,BI13*'Panel de Control'!$B$15,0)</f>
        <v>410116.469843679</v>
      </c>
      <c r="BJ14" s="18" t="n">
        <f aca="false">IF(BJ13&gt;0,BJ13*'Panel de Control'!$B$15,0)</f>
        <v>577242.32849515</v>
      </c>
      <c r="BK14" s="18" t="n">
        <f aca="false">IF(BK13&gt;0,BK13*'Panel de Control'!$B$15,0)</f>
        <v>577242.32849515</v>
      </c>
      <c r="BL14" s="18" t="n">
        <f aca="false">IF(BL13&gt;0,BL13*'Panel de Control'!$B$15,0)</f>
        <v>577242.32849515</v>
      </c>
      <c r="BM14" s="18" t="n">
        <f aca="false">IF(BM13&gt;0,BM13*'Panel de Control'!$B$15,0)</f>
        <v>577242.32849515</v>
      </c>
      <c r="BN14" s="18" t="n">
        <f aca="false">IF(BN13&gt;0,BN13*'Panel de Control'!$B$15,0)</f>
        <v>577242.32849515</v>
      </c>
      <c r="BO14" s="18" t="n">
        <f aca="false">IF(BO13&gt;0,BO13*'Panel de Control'!$B$15,0)</f>
        <v>577242.32849515</v>
      </c>
      <c r="BP14" s="18" t="n">
        <f aca="false">IF(BP13&gt;0,BP13*'Panel de Control'!$B$15,0)</f>
        <v>577242.32849515</v>
      </c>
      <c r="BQ14" s="18" t="n">
        <f aca="false">IF(BQ13&gt;0,BQ13*'Panel de Control'!$B$15,0)</f>
        <v>577242.32849515</v>
      </c>
      <c r="BR14" s="18" t="n">
        <f aca="false">IF(BR13&gt;0,BR13*'Panel de Control'!$B$15,0)</f>
        <v>577242.32849515</v>
      </c>
      <c r="BS14" s="18" t="n">
        <f aca="false">IF(BS13&gt;0,BS13*'Panel de Control'!$B$15,0)</f>
        <v>577242.32849515</v>
      </c>
      <c r="BT14" s="18" t="n">
        <f aca="false">IF(BT13&gt;0,BT13*'Panel de Control'!$B$15,0)</f>
        <v>577242.32849515</v>
      </c>
      <c r="BU14" s="18" t="n">
        <f aca="false">IF(BU13&gt;0,BU13*'Panel de Control'!$B$15,0)</f>
        <v>577242.32849515</v>
      </c>
      <c r="BV14" s="18" t="n">
        <f aca="false">IF(BV13&gt;0,BV13*'Panel de Control'!$B$15,0)</f>
        <v>755934.291489811</v>
      </c>
      <c r="BW14" s="18" t="n">
        <f aca="false">IF(BW13&gt;0,BW13*'Panel de Control'!$B$15,0)</f>
        <v>755934.291489811</v>
      </c>
      <c r="BX14" s="18" t="n">
        <f aca="false">IF(BX13&gt;0,BX13*'Panel de Control'!$B$15,0)</f>
        <v>755934.291489811</v>
      </c>
      <c r="BY14" s="18" t="n">
        <f aca="false">IF(BY13&gt;0,BY13*'Panel de Control'!$B$15,0)</f>
        <v>755934.291489811</v>
      </c>
      <c r="BZ14" s="18" t="n">
        <f aca="false">IF(BZ13&gt;0,BZ13*'Panel de Control'!$B$15,0)</f>
        <v>755934.291489811</v>
      </c>
      <c r="CA14" s="18" t="n">
        <f aca="false">IF(CA13&gt;0,CA13*'Panel de Control'!$B$15,0)</f>
        <v>755934.291489811</v>
      </c>
      <c r="CB14" s="18" t="n">
        <f aca="false">IF(CB13&gt;0,CB13*'Panel de Control'!$B$15,0)</f>
        <v>755934.291489811</v>
      </c>
      <c r="CC14" s="18" t="n">
        <f aca="false">IF(CC13&gt;0,CC13*'Panel de Control'!$B$15,0)</f>
        <v>755934.291489811</v>
      </c>
      <c r="CD14" s="18" t="n">
        <f aca="false">IF(CD13&gt;0,CD13*'Panel de Control'!$B$15,0)</f>
        <v>755934.291489811</v>
      </c>
      <c r="CE14" s="18" t="n">
        <f aca="false">IF(CE13&gt;0,CE13*'Panel de Control'!$B$15,0)</f>
        <v>755934.291489811</v>
      </c>
      <c r="CF14" s="18" t="n">
        <f aca="false">IF(CF13&gt;0,CF13*'Panel de Control'!$B$15,0)</f>
        <v>755934.291489811</v>
      </c>
      <c r="CG14" s="18" t="n">
        <f aca="false">IF(CG13&gt;0,CG13*'Panel de Control'!$B$15,0)</f>
        <v>755934.291489811</v>
      </c>
      <c r="CH14" s="18" t="n">
        <f aca="false">IF(CH13&gt;0,CH13*'Panel de Control'!$B$15,0)</f>
        <v>947134.691894098</v>
      </c>
      <c r="CI14" s="18" t="n">
        <f aca="false">IF(CI13&gt;0,CI13*'Panel de Control'!$B$15,0)</f>
        <v>947134.691894098</v>
      </c>
      <c r="CJ14" s="18" t="n">
        <f aca="false">IF(CJ13&gt;0,CJ13*'Panel de Control'!$B$15,0)</f>
        <v>947134.691894098</v>
      </c>
      <c r="CK14" s="18" t="n">
        <f aca="false">IF(CK13&gt;0,CK13*'Panel de Control'!$B$15,0)</f>
        <v>947134.691894098</v>
      </c>
      <c r="CL14" s="18" t="n">
        <f aca="false">IF(CL13&gt;0,CL13*'Panel de Control'!$B$15,0)</f>
        <v>947134.691894098</v>
      </c>
      <c r="CM14" s="18" t="n">
        <f aca="false">IF(CM13&gt;0,CM13*'Panel de Control'!$B$15,0)</f>
        <v>947134.691894098</v>
      </c>
      <c r="CN14" s="18" t="n">
        <f aca="false">IF(CN13&gt;0,CN13*'Panel de Control'!$B$15,0)</f>
        <v>947134.691894098</v>
      </c>
      <c r="CO14" s="18" t="n">
        <f aca="false">IF(CO13&gt;0,CO13*'Panel de Control'!$B$15,0)</f>
        <v>947134.691894098</v>
      </c>
      <c r="CP14" s="18" t="n">
        <f aca="false">IF(CP13&gt;0,CP13*'Panel de Control'!$B$15,0)</f>
        <v>947134.691894098</v>
      </c>
      <c r="CQ14" s="18" t="n">
        <f aca="false">IF(CQ13&gt;0,CQ13*'Panel de Control'!$B$15,0)</f>
        <v>947134.691894098</v>
      </c>
      <c r="CR14" s="18" t="n">
        <f aca="false">IF(CR13&gt;0,CR13*'Panel de Control'!$B$15,0)</f>
        <v>947134.691894098</v>
      </c>
      <c r="CS14" s="18" t="n">
        <f aca="false">IF(CS13&gt;0,CS13*'Panel de Control'!$B$15,0)</f>
        <v>947134.691894098</v>
      </c>
      <c r="CT14" s="18" t="n">
        <f aca="false">IF(CT13&gt;0,CT13*'Panel de Control'!$B$15,0)</f>
        <v>1151719.12032668</v>
      </c>
      <c r="CU14" s="18" t="n">
        <f aca="false">IF(CU13&gt;0,CU13*'Panel de Control'!$B$15,0)</f>
        <v>1151719.12032668</v>
      </c>
      <c r="CV14" s="18" t="n">
        <f aca="false">IF(CV13&gt;0,CV13*'Panel de Control'!$B$15,0)</f>
        <v>1151719.12032668</v>
      </c>
      <c r="CW14" s="18" t="n">
        <f aca="false">IF(CW13&gt;0,CW13*'Panel de Control'!$B$15,0)</f>
        <v>1151719.12032668</v>
      </c>
      <c r="CX14" s="18" t="n">
        <f aca="false">IF(CX13&gt;0,CX13*'Panel de Control'!$B$15,0)</f>
        <v>1151719.12032668</v>
      </c>
      <c r="CY14" s="18" t="n">
        <f aca="false">IF(CY13&gt;0,CY13*'Panel de Control'!$B$15,0)</f>
        <v>1151719.12032668</v>
      </c>
      <c r="CZ14" s="18" t="n">
        <f aca="false">IF(CZ13&gt;0,CZ13*'Panel de Control'!$B$15,0)</f>
        <v>1151719.12032668</v>
      </c>
      <c r="DA14" s="18" t="n">
        <f aca="false">IF(DA13&gt;0,DA13*'Panel de Control'!$B$15,0)</f>
        <v>1151719.12032668</v>
      </c>
      <c r="DB14" s="18" t="n">
        <f aca="false">IF(DB13&gt;0,DB13*'Panel de Control'!$B$15,0)</f>
        <v>1151719.12032668</v>
      </c>
      <c r="DC14" s="18" t="n">
        <f aca="false">IF(DC13&gt;0,DC13*'Panel de Control'!$B$15,0)</f>
        <v>1151719.12032668</v>
      </c>
      <c r="DD14" s="18" t="n">
        <f aca="false">IF(DD13&gt;0,DD13*'Panel de Control'!$B$15,0)</f>
        <v>1151719.12032668</v>
      </c>
      <c r="DE14" s="18" t="n">
        <f aca="false">IF(DE13&gt;0,DE13*'Panel de Control'!$B$15,0)</f>
        <v>1151719.12032668</v>
      </c>
      <c r="DF14" s="18" t="n">
        <f aca="false">IF(DF13&gt;0,DF13*'Panel de Control'!$B$15,0)</f>
        <v>1370624.45874955</v>
      </c>
      <c r="DG14" s="18" t="n">
        <f aca="false">IF(DG13&gt;0,DG13*'Panel de Control'!$B$15,0)</f>
        <v>1370624.45874955</v>
      </c>
      <c r="DH14" s="18" t="n">
        <f aca="false">IF(DH13&gt;0,DH13*'Panel de Control'!$B$15,0)</f>
        <v>1370624.45874955</v>
      </c>
      <c r="DI14" s="18" t="n">
        <f aca="false">IF(DI13&gt;0,DI13*'Panel de Control'!$B$15,0)</f>
        <v>1370624.45874955</v>
      </c>
      <c r="DJ14" s="18" t="n">
        <f aca="false">IF(DJ13&gt;0,DJ13*'Panel de Control'!$B$15,0)</f>
        <v>1370624.45874955</v>
      </c>
      <c r="DK14" s="18" t="n">
        <f aca="false">IF(DK13&gt;0,DK13*'Panel de Control'!$B$15,0)</f>
        <v>1370624.45874955</v>
      </c>
      <c r="DL14" s="18" t="n">
        <f aca="false">IF(DL13&gt;0,DL13*'Panel de Control'!$B$15,0)</f>
        <v>1370624.45874955</v>
      </c>
      <c r="DM14" s="18" t="n">
        <f aca="false">IF(DM13&gt;0,DM13*'Panel de Control'!$B$15,0)</f>
        <v>1370624.45874955</v>
      </c>
      <c r="DN14" s="18" t="n">
        <f aca="false">IF(DN13&gt;0,DN13*'Panel de Control'!$B$15,0)</f>
        <v>1370624.45874955</v>
      </c>
      <c r="DO14" s="18" t="n">
        <f aca="false">IF(DO13&gt;0,DO13*'Panel de Control'!$B$15,0)</f>
        <v>1370624.45874955</v>
      </c>
      <c r="DP14" s="18" t="n">
        <f aca="false">IF(DP13&gt;0,DP13*'Panel de Control'!$B$15,0)</f>
        <v>1370624.45874955</v>
      </c>
      <c r="DQ14" s="18" t="n">
        <f aca="false">IF(DQ13&gt;0,DQ13*'Panel de Control'!$B$15,0)</f>
        <v>1370624.45874955</v>
      </c>
      <c r="DR14" s="18" t="n">
        <f aca="false">IF(DR13&gt;0,DR13*'Panel de Control'!$B$15,0)</f>
        <v>1717353.17086202</v>
      </c>
      <c r="DS14" s="18" t="n">
        <f aca="false">IF(DS13&gt;0,DS13*'Panel de Control'!$B$15,0)</f>
        <v>1717353.17086202</v>
      </c>
      <c r="DT14" s="18" t="n">
        <f aca="false">IF(DT13&gt;0,DT13*'Panel de Control'!$B$15,0)</f>
        <v>1717353.17086202</v>
      </c>
      <c r="DU14" s="18" t="n">
        <f aca="false">IF(DU13&gt;0,DU13*'Panel de Control'!$B$15,0)</f>
        <v>1717353.17086202</v>
      </c>
      <c r="DV14" s="18" t="n">
        <f aca="false">IF(DV13&gt;0,DV13*'Panel de Control'!$B$15,0)</f>
        <v>1717353.17086202</v>
      </c>
      <c r="DW14" s="18" t="n">
        <f aca="false">IF(DW13&gt;0,DW13*'Panel de Control'!$B$15,0)</f>
        <v>1717353.17086202</v>
      </c>
      <c r="DX14" s="18" t="n">
        <f aca="false">IF(DX13&gt;0,DX13*'Panel de Control'!$B$15,0)</f>
        <v>1717353.17086202</v>
      </c>
      <c r="DY14" s="18" t="n">
        <f aca="false">IF(DY13&gt;0,DY13*'Panel de Control'!$B$15,0)</f>
        <v>1717353.17086202</v>
      </c>
      <c r="DZ14" s="18" t="n">
        <f aca="false">IF(DZ13&gt;0,DZ13*'Panel de Control'!$B$15,0)</f>
        <v>1717353.17086202</v>
      </c>
      <c r="EA14" s="18" t="n">
        <f aca="false">IF(EA13&gt;0,EA13*'Panel de Control'!$B$15,0)</f>
        <v>1717353.17086202</v>
      </c>
      <c r="EB14" s="18" t="n">
        <f aca="false">IF(EB13&gt;0,EB13*'Panel de Control'!$B$15,0)</f>
        <v>1717353.17086202</v>
      </c>
      <c r="EC14" s="18" t="n">
        <f aca="false">IF(EC13&gt;0,EC13*'Panel de Control'!$B$15,0)</f>
        <v>1717353.17086202</v>
      </c>
      <c r="ED14" s="18" t="n">
        <f aca="false">IF(ED13&gt;0,ED13*'Panel de Control'!$B$15,0)</f>
        <v>1967977.89282236</v>
      </c>
      <c r="EE14" s="18" t="n">
        <f aca="false">IF(EE13&gt;0,EE13*'Panel de Control'!$B$15,0)</f>
        <v>1967977.89282236</v>
      </c>
      <c r="EF14" s="18" t="n">
        <f aca="false">IF(EF13&gt;0,EF13*'Panel de Control'!$B$15,0)</f>
        <v>1967977.89282236</v>
      </c>
      <c r="EG14" s="18" t="n">
        <f aca="false">IF(EG13&gt;0,EG13*'Panel de Control'!$B$15,0)</f>
        <v>1967977.89282236</v>
      </c>
      <c r="EH14" s="18" t="n">
        <f aca="false">IF(EH13&gt;0,EH13*'Panel de Control'!$B$15,0)</f>
        <v>1967977.89282236</v>
      </c>
      <c r="EI14" s="18" t="n">
        <f aca="false">IF(EI13&gt;0,EI13*'Panel de Control'!$B$15,0)</f>
        <v>1967977.89282236</v>
      </c>
      <c r="EJ14" s="18" t="n">
        <f aca="false">IF(EJ13&gt;0,EJ13*'Panel de Control'!$B$15,0)</f>
        <v>1967977.89282236</v>
      </c>
      <c r="EK14" s="18" t="n">
        <f aca="false">IF(EK13&gt;0,EK13*'Panel de Control'!$B$15,0)</f>
        <v>1967977.89282236</v>
      </c>
      <c r="EL14" s="18" t="n">
        <f aca="false">IF(EL13&gt;0,EL13*'Panel de Control'!$B$15,0)</f>
        <v>1967977.89282236</v>
      </c>
      <c r="EM14" s="18" t="n">
        <f aca="false">IF(EM13&gt;0,EM13*'Panel de Control'!$B$15,0)</f>
        <v>1967977.89282236</v>
      </c>
      <c r="EN14" s="18" t="n">
        <f aca="false">IF(EN13&gt;0,EN13*'Panel de Control'!$B$15,0)</f>
        <v>1967977.89282236</v>
      </c>
      <c r="EO14" s="18" t="n">
        <f aca="false">IF(EO13&gt;0,EO13*'Panel de Control'!$B$15,0)</f>
        <v>1967977.89282236</v>
      </c>
      <c r="EP14" s="18" t="n">
        <f aca="false">IF(EP13&gt;0,EP13*'Panel de Control'!$B$15,0)</f>
        <v>2236146.34531993</v>
      </c>
      <c r="EQ14" s="18" t="n">
        <f aca="false">IF(EQ13&gt;0,EQ13*'Panel de Control'!$B$15,0)</f>
        <v>2236146.34531993</v>
      </c>
      <c r="ER14" s="18" t="n">
        <f aca="false">IF(ER13&gt;0,ER13*'Panel de Control'!$B$15,0)</f>
        <v>2236146.34531993</v>
      </c>
      <c r="ES14" s="18" t="n">
        <f aca="false">IF(ES13&gt;0,ES13*'Panel de Control'!$B$15,0)</f>
        <v>2236146.34531993</v>
      </c>
      <c r="ET14" s="18" t="n">
        <f aca="false">IF(ET13&gt;0,ET13*'Panel de Control'!$B$15,0)</f>
        <v>2236146.34531993</v>
      </c>
      <c r="EU14" s="18" t="n">
        <f aca="false">IF(EU13&gt;0,EU13*'Panel de Control'!$B$15,0)</f>
        <v>2236146.34531993</v>
      </c>
      <c r="EV14" s="18" t="n">
        <f aca="false">IF(EV13&gt;0,EV13*'Panel de Control'!$B$15,0)</f>
        <v>2236146.34531993</v>
      </c>
      <c r="EW14" s="18" t="n">
        <f aca="false">IF(EW13&gt;0,EW13*'Panel de Control'!$B$15,0)</f>
        <v>2236146.34531993</v>
      </c>
      <c r="EX14" s="18" t="n">
        <f aca="false">IF(EX13&gt;0,EX13*'Panel de Control'!$B$15,0)</f>
        <v>2236146.34531993</v>
      </c>
      <c r="EY14" s="18" t="n">
        <f aca="false">IF(EY13&gt;0,EY13*'Panel de Control'!$B$15,0)</f>
        <v>2236146.34531993</v>
      </c>
      <c r="EZ14" s="18" t="n">
        <f aca="false">IF(EZ13&gt;0,EZ13*'Panel de Control'!$B$15,0)</f>
        <v>2236146.34531993</v>
      </c>
      <c r="FA14" s="18" t="n">
        <f aca="false">IF(FA13&gt;0,FA13*'Panel de Control'!$B$15,0)</f>
        <v>2236146.34531993</v>
      </c>
      <c r="FB14" s="18" t="n">
        <f aca="false">IF(FB13&gt;0,FB13*'Panel de Control'!$B$15,0)</f>
        <v>2523086.58949232</v>
      </c>
      <c r="FC14" s="18" t="n">
        <f aca="false">IF(FC13&gt;0,FC13*'Panel de Control'!$B$15,0)</f>
        <v>2523086.58949232</v>
      </c>
      <c r="FD14" s="18" t="n">
        <f aca="false">IF(FD13&gt;0,FD13*'Panel de Control'!$B$15,0)</f>
        <v>2523086.58949232</v>
      </c>
      <c r="FE14" s="18" t="n">
        <f aca="false">IF(FE13&gt;0,FE13*'Panel de Control'!$B$15,0)</f>
        <v>2523086.58949232</v>
      </c>
      <c r="FF14" s="18" t="n">
        <f aca="false">IF(FF13&gt;0,FF13*'Panel de Control'!$B$15,0)</f>
        <v>2523086.58949232</v>
      </c>
      <c r="FG14" s="18" t="n">
        <f aca="false">IF(FG13&gt;0,FG13*'Panel de Control'!$B$15,0)</f>
        <v>2523086.58949232</v>
      </c>
      <c r="FH14" s="18" t="n">
        <f aca="false">IF(FH13&gt;0,FH13*'Panel de Control'!$B$15,0)</f>
        <v>2523086.58949232</v>
      </c>
      <c r="FI14" s="18" t="n">
        <f aca="false">IF(FI13&gt;0,FI13*'Panel de Control'!$B$15,0)</f>
        <v>2523086.58949232</v>
      </c>
      <c r="FJ14" s="18" t="n">
        <f aca="false">IF(FJ13&gt;0,FJ13*'Panel de Control'!$B$15,0)</f>
        <v>2523086.58949232</v>
      </c>
      <c r="FK14" s="18" t="n">
        <f aca="false">IF(FK13&gt;0,FK13*'Panel de Control'!$B$15,0)</f>
        <v>2523086.58949232</v>
      </c>
      <c r="FL14" s="18" t="n">
        <f aca="false">IF(FL13&gt;0,FL13*'Panel de Control'!$B$15,0)</f>
        <v>2523086.58949232</v>
      </c>
      <c r="FM14" s="18" t="n">
        <f aca="false">IF(FM13&gt;0,FM13*'Panel de Control'!$B$15,0)</f>
        <v>2523086.58949232</v>
      </c>
      <c r="FN14" s="18" t="n">
        <f aca="false">IF(FN13&gt;0,FN13*'Panel de Control'!$B$15,0)</f>
        <v>2830112.65075679</v>
      </c>
      <c r="FO14" s="18" t="n">
        <f aca="false">IF(FO13&gt;0,FO13*'Panel de Control'!$B$15,0)</f>
        <v>2830112.65075679</v>
      </c>
      <c r="FP14" s="18" t="n">
        <f aca="false">IF(FP13&gt;0,FP13*'Panel de Control'!$B$15,0)</f>
        <v>2830112.65075679</v>
      </c>
      <c r="FQ14" s="18" t="n">
        <f aca="false">IF(FQ13&gt;0,FQ13*'Panel de Control'!$B$15,0)</f>
        <v>2830112.65075679</v>
      </c>
      <c r="FR14" s="18" t="n">
        <f aca="false">IF(FR13&gt;0,FR13*'Panel de Control'!$B$15,0)</f>
        <v>2830112.65075679</v>
      </c>
      <c r="FS14" s="18" t="n">
        <f aca="false">IF(FS13&gt;0,FS13*'Panel de Control'!$B$15,0)</f>
        <v>2830112.65075679</v>
      </c>
      <c r="FT14" s="18" t="n">
        <f aca="false">IF(FT13&gt;0,FT13*'Panel de Control'!$B$15,0)</f>
        <v>2830112.65075679</v>
      </c>
      <c r="FU14" s="18" t="n">
        <f aca="false">IF(FU13&gt;0,FU13*'Panel de Control'!$B$15,0)</f>
        <v>2830112.65075679</v>
      </c>
      <c r="FV14" s="18" t="n">
        <f aca="false">IF(FV13&gt;0,FV13*'Panel de Control'!$B$15,0)</f>
        <v>2830112.65075679</v>
      </c>
      <c r="FW14" s="18" t="n">
        <f aca="false">IF(FW13&gt;0,FW13*'Panel de Control'!$B$15,0)</f>
        <v>2830112.65075679</v>
      </c>
      <c r="FX14" s="18" t="n">
        <f aca="false">IF(FX13&gt;0,FX13*'Panel de Control'!$B$15,0)</f>
        <v>2830112.65075679</v>
      </c>
      <c r="FY14" s="18" t="n">
        <f aca="false">IF(FY13&gt;0,FY13*'Panel de Control'!$B$15,0)</f>
        <v>2830112.65075679</v>
      </c>
      <c r="FZ14" s="18" t="n">
        <f aca="false">IF(FZ13&gt;0,FZ13*'Panel de Control'!$B$15,0)</f>
        <v>3158630.53630976</v>
      </c>
      <c r="GA14" s="18" t="n">
        <f aca="false">IF(GA13&gt;0,GA13*'Panel de Control'!$B$15,0)</f>
        <v>3158630.53630976</v>
      </c>
      <c r="GB14" s="18" t="n">
        <f aca="false">IF(GB13&gt;0,GB13*'Panel de Control'!$B$15,0)</f>
        <v>3158630.53630976</v>
      </c>
      <c r="GC14" s="18" t="n">
        <f aca="false">IF(GC13&gt;0,GC13*'Panel de Control'!$B$15,0)</f>
        <v>3158630.53630976</v>
      </c>
      <c r="GD14" s="18" t="n">
        <f aca="false">IF(GD13&gt;0,GD13*'Panel de Control'!$B$15,0)</f>
        <v>3158630.53630976</v>
      </c>
      <c r="GE14" s="18" t="n">
        <f aca="false">IF(GE13&gt;0,GE13*'Panel de Control'!$B$15,0)</f>
        <v>3158630.53630976</v>
      </c>
      <c r="GF14" s="18" t="n">
        <f aca="false">IF(GF13&gt;0,GF13*'Panel de Control'!$B$15,0)</f>
        <v>3158630.53630976</v>
      </c>
      <c r="GG14" s="18" t="n">
        <f aca="false">IF(GG13&gt;0,GG13*'Panel de Control'!$B$15,0)</f>
        <v>3158630.53630976</v>
      </c>
      <c r="GH14" s="18" t="n">
        <f aca="false">IF(GH13&gt;0,GH13*'Panel de Control'!$B$15,0)</f>
        <v>3158630.53630976</v>
      </c>
      <c r="GI14" s="18" t="n">
        <f aca="false">IF(GI13&gt;0,GI13*'Panel de Control'!$B$15,0)</f>
        <v>3158630.53630976</v>
      </c>
      <c r="GJ14" s="18" t="n">
        <f aca="false">IF(GJ13&gt;0,GJ13*'Panel de Control'!$B$15,0)</f>
        <v>3158630.53630976</v>
      </c>
      <c r="GK14" s="18" t="n">
        <f aca="false">IF(GK13&gt;0,GK13*'Panel de Control'!$B$15,0)</f>
        <v>3158630.53630976</v>
      </c>
      <c r="GL14" s="18" t="n">
        <f aca="false">IF(GL13&gt;0,GL13*'Panel de Control'!$B$15,0)</f>
        <v>3510144.67385145</v>
      </c>
      <c r="GM14" s="18" t="n">
        <f aca="false">IF(GM13&gt;0,GM13*'Panel de Control'!$B$15,0)</f>
        <v>3510144.67385145</v>
      </c>
      <c r="GN14" s="18" t="n">
        <f aca="false">IF(GN13&gt;0,GN13*'Panel de Control'!$B$15,0)</f>
        <v>3510144.67385145</v>
      </c>
      <c r="GO14" s="18" t="n">
        <f aca="false">IF(GO13&gt;0,GO13*'Panel de Control'!$B$15,0)</f>
        <v>3510144.67385145</v>
      </c>
      <c r="GP14" s="18" t="n">
        <f aca="false">IF(GP13&gt;0,GP13*'Panel de Control'!$B$15,0)</f>
        <v>3510144.67385145</v>
      </c>
      <c r="GQ14" s="18" t="n">
        <f aca="false">IF(GQ13&gt;0,GQ13*'Panel de Control'!$B$15,0)</f>
        <v>3510144.67385145</v>
      </c>
      <c r="GR14" s="18" t="n">
        <f aca="false">IF(GR13&gt;0,GR13*'Panel de Control'!$B$15,0)</f>
        <v>3510144.67385145</v>
      </c>
      <c r="GS14" s="18" t="n">
        <f aca="false">IF(GS13&gt;0,GS13*'Panel de Control'!$B$15,0)</f>
        <v>3510144.67385145</v>
      </c>
      <c r="GT14" s="18" t="n">
        <f aca="false">IF(GT13&gt;0,GT13*'Panel de Control'!$B$15,0)</f>
        <v>3510144.67385145</v>
      </c>
      <c r="GU14" s="18" t="n">
        <f aca="false">IF(GU13&gt;0,GU13*'Panel de Control'!$B$15,0)</f>
        <v>3510144.67385145</v>
      </c>
      <c r="GV14" s="18" t="n">
        <f aca="false">IF(GV13&gt;0,GV13*'Panel de Control'!$B$15,0)</f>
        <v>3510144.67385145</v>
      </c>
      <c r="GW14" s="18" t="n">
        <f aca="false">IF(GW13&gt;0,GW13*'Panel de Control'!$B$15,0)</f>
        <v>3510144.67385145</v>
      </c>
      <c r="GX14" s="18" t="n">
        <f aca="false">IF(GX13&gt;0,GX13*'Panel de Control'!$B$15,0)</f>
        <v>3886264.80102105</v>
      </c>
      <c r="GY14" s="18" t="n">
        <f aca="false">IF(GY13&gt;0,GY13*'Panel de Control'!$B$15,0)</f>
        <v>3886264.80102105</v>
      </c>
      <c r="GZ14" s="18" t="n">
        <f aca="false">IF(GZ13&gt;0,GZ13*'Panel de Control'!$B$15,0)</f>
        <v>3886264.80102105</v>
      </c>
      <c r="HA14" s="18" t="n">
        <f aca="false">IF(HA13&gt;0,HA13*'Panel de Control'!$B$15,0)</f>
        <v>3886264.80102105</v>
      </c>
      <c r="HB14" s="18" t="n">
        <f aca="false">IF(HB13&gt;0,HB13*'Panel de Control'!$B$15,0)</f>
        <v>3886264.80102105</v>
      </c>
      <c r="HC14" s="18" t="n">
        <f aca="false">IF(HC13&gt;0,HC13*'Panel de Control'!$B$15,0)</f>
        <v>3886264.80102105</v>
      </c>
      <c r="HD14" s="18" t="n">
        <f aca="false">IF(HD13&gt;0,HD13*'Panel de Control'!$B$15,0)</f>
        <v>3886264.80102105</v>
      </c>
      <c r="HE14" s="18" t="n">
        <f aca="false">IF(HE13&gt;0,HE13*'Panel de Control'!$B$15,0)</f>
        <v>3886264.80102105</v>
      </c>
      <c r="HF14" s="18" t="n">
        <f aca="false">IF(HF13&gt;0,HF13*'Panel de Control'!$B$15,0)</f>
        <v>3886264.80102105</v>
      </c>
      <c r="HG14" s="18" t="n">
        <f aca="false">IF(HG13&gt;0,HG13*'Panel de Control'!$B$15,0)</f>
        <v>3886264.80102105</v>
      </c>
      <c r="HH14" s="18" t="n">
        <f aca="false">IF(HH13&gt;0,HH13*'Panel de Control'!$B$15,0)</f>
        <v>3886264.80102105</v>
      </c>
      <c r="HI14" s="18" t="n">
        <f aca="false">IF(HI13&gt;0,HI13*'Panel de Control'!$B$15,0)</f>
        <v>3886264.80102105</v>
      </c>
      <c r="HJ14" s="18" t="n">
        <f aca="false">IF(HJ13&gt;0,HJ13*'Panel de Control'!$B$15,0)</f>
        <v>4288713.33709252</v>
      </c>
      <c r="HK14" s="18" t="n">
        <f aca="false">IF(HK13&gt;0,HK13*'Panel de Control'!$B$15,0)</f>
        <v>4288713.33709252</v>
      </c>
      <c r="HL14" s="18" t="n">
        <f aca="false">IF(HL13&gt;0,HL13*'Panel de Control'!$B$15,0)</f>
        <v>4288713.33709252</v>
      </c>
      <c r="HM14" s="18" t="n">
        <f aca="false">IF(HM13&gt;0,HM13*'Panel de Control'!$B$15,0)</f>
        <v>4288713.33709252</v>
      </c>
      <c r="HN14" s="18" t="n">
        <f aca="false">IF(HN13&gt;0,HN13*'Panel de Control'!$B$15,0)</f>
        <v>4288713.33709252</v>
      </c>
      <c r="HO14" s="18" t="n">
        <f aca="false">IF(HO13&gt;0,HO13*'Panel de Control'!$B$15,0)</f>
        <v>4288713.33709252</v>
      </c>
      <c r="HP14" s="18" t="n">
        <f aca="false">IF(HP13&gt;0,HP13*'Panel de Control'!$B$15,0)</f>
        <v>4288713.33709252</v>
      </c>
      <c r="HQ14" s="18" t="n">
        <f aca="false">IF(HQ13&gt;0,HQ13*'Panel de Control'!$B$15,0)</f>
        <v>4288713.33709252</v>
      </c>
      <c r="HR14" s="18" t="n">
        <f aca="false">IF(HR13&gt;0,HR13*'Panel de Control'!$B$15,0)</f>
        <v>4288713.33709252</v>
      </c>
      <c r="HS14" s="18" t="n">
        <f aca="false">IF(HS13&gt;0,HS13*'Panel de Control'!$B$15,0)</f>
        <v>4288713.33709252</v>
      </c>
      <c r="HT14" s="18" t="n">
        <f aca="false">IF(HT13&gt;0,HT13*'Panel de Control'!$B$15,0)</f>
        <v>4288713.33709252</v>
      </c>
      <c r="HU14" s="18" t="n">
        <f aca="false">IF(HU13&gt;0,HU13*'Panel de Control'!$B$15,0)</f>
        <v>4288713.33709252</v>
      </c>
      <c r="HV14" s="18" t="n">
        <f aca="false">IF(HV13&gt;0,HV13*'Panel de Control'!$B$15,0)</f>
        <v>4719333.270689</v>
      </c>
      <c r="HW14" s="18" t="n">
        <f aca="false">IF(HW13&gt;0,HW13*'Panel de Control'!$B$15,0)</f>
        <v>4719333.270689</v>
      </c>
      <c r="HX14" s="18" t="n">
        <f aca="false">IF(HX13&gt;0,HX13*'Panel de Control'!$B$15,0)</f>
        <v>4719333.270689</v>
      </c>
      <c r="HY14" s="18" t="n">
        <f aca="false">IF(HY13&gt;0,HY13*'Panel de Control'!$B$15,0)</f>
        <v>4719333.270689</v>
      </c>
      <c r="HZ14" s="18" t="n">
        <f aca="false">IF(HZ13&gt;0,HZ13*'Panel de Control'!$B$15,0)</f>
        <v>4719333.270689</v>
      </c>
      <c r="IA14" s="18" t="n">
        <f aca="false">IF(IA13&gt;0,IA13*'Panel de Control'!$B$15,0)</f>
        <v>4719333.270689</v>
      </c>
      <c r="IB14" s="18" t="n">
        <f aca="false">IF(IB13&gt;0,IB13*'Panel de Control'!$B$15,0)</f>
        <v>4719333.270689</v>
      </c>
      <c r="IC14" s="18" t="n">
        <f aca="false">IF(IC13&gt;0,IC13*'Panel de Control'!$B$15,0)</f>
        <v>4719333.270689</v>
      </c>
      <c r="ID14" s="18" t="n">
        <f aca="false">IF(ID13&gt;0,ID13*'Panel de Control'!$B$15,0)</f>
        <v>4719333.270689</v>
      </c>
      <c r="IE14" s="18" t="n">
        <f aca="false">IF(IE13&gt;0,IE13*'Panel de Control'!$B$15,0)</f>
        <v>4719333.270689</v>
      </c>
      <c r="IF14" s="18" t="n">
        <f aca="false">IF(IF13&gt;0,IF13*'Panel de Control'!$B$15,0)</f>
        <v>4719333.270689</v>
      </c>
      <c r="IG14" s="18" t="n">
        <f aca="false">IF(IG13&gt;0,IG13*'Panel de Control'!$B$15,0)</f>
        <v>4719333.270689</v>
      </c>
      <c r="IH14" s="18" t="n">
        <f aca="false">IF(IH13&gt;0,IH13*'Panel de Control'!$B$15,0)</f>
        <v>5180096.59963723</v>
      </c>
      <c r="II14" s="18" t="n">
        <f aca="false">IF(II13&gt;0,II13*'Panel de Control'!$B$15,0)</f>
        <v>5180096.59963723</v>
      </c>
      <c r="IJ14" s="18" t="n">
        <f aca="false">IF(IJ13&gt;0,IJ13*'Panel de Control'!$B$15,0)</f>
        <v>5180096.59963723</v>
      </c>
      <c r="IK14" s="18" t="n">
        <f aca="false">IF(IK13&gt;0,IK13*'Panel de Control'!$B$15,0)</f>
        <v>5180096.59963723</v>
      </c>
      <c r="IL14" s="18" t="n">
        <f aca="false">IF(IL13&gt;0,IL13*'Panel de Control'!$B$15,0)</f>
        <v>5180096.59963723</v>
      </c>
      <c r="IM14" s="18" t="n">
        <f aca="false">IF(IM13&gt;0,IM13*'Panel de Control'!$B$15,0)</f>
        <v>5180096.59963723</v>
      </c>
      <c r="IN14" s="18" t="n">
        <f aca="false">IF(IN13&gt;0,IN13*'Panel de Control'!$B$15,0)</f>
        <v>5180096.59963723</v>
      </c>
      <c r="IO14" s="18" t="n">
        <f aca="false">IF(IO13&gt;0,IO13*'Panel de Control'!$B$15,0)</f>
        <v>5180096.59963723</v>
      </c>
      <c r="IP14" s="18" t="n">
        <f aca="false">IF(IP13&gt;0,IP13*'Panel de Control'!$B$15,0)</f>
        <v>5180096.59963723</v>
      </c>
      <c r="IQ14" s="18" t="n">
        <f aca="false">IF(IQ13&gt;0,IQ13*'Panel de Control'!$B$15,0)</f>
        <v>5180096.59963723</v>
      </c>
      <c r="IR14" s="18" t="n">
        <f aca="false">IF(IR13&gt;0,IR13*'Panel de Control'!$B$15,0)</f>
        <v>5180096.59963723</v>
      </c>
      <c r="IS14" s="18" t="n">
        <f aca="false">IF(IS13&gt;0,IS13*'Panel de Control'!$B$15,0)</f>
        <v>5180096.59963723</v>
      </c>
      <c r="IT14" s="18" t="n">
        <f aca="false">IF(IT13&gt;0,IT13*'Panel de Control'!$B$15,0)</f>
        <v>5673113.36161184</v>
      </c>
      <c r="IU14" s="18" t="n">
        <f aca="false">IF(IU13&gt;0,IU13*'Panel de Control'!$B$15,0)</f>
        <v>5673113.36161184</v>
      </c>
      <c r="IV14" s="18" t="n">
        <f aca="false">IF(IV13&gt;0,IV13*'Panel de Control'!$B$15,0)</f>
        <v>5673113.36161184</v>
      </c>
      <c r="IW14" s="18" t="n">
        <f aca="false">IF(IW13&gt;0,IW13*'Panel de Control'!$B$15,0)</f>
        <v>5673113.36161184</v>
      </c>
      <c r="IX14" s="18" t="n">
        <f aca="false">IF(IX13&gt;0,IX13*'Panel de Control'!$B$15,0)</f>
        <v>5673113.36161184</v>
      </c>
      <c r="IY14" s="18" t="n">
        <f aca="false">IF(IY13&gt;0,IY13*'Panel de Control'!$B$15,0)</f>
        <v>5673113.36161184</v>
      </c>
      <c r="IZ14" s="18" t="n">
        <f aca="false">IF(IZ13&gt;0,IZ13*'Panel de Control'!$B$15,0)</f>
        <v>5673113.36161184</v>
      </c>
      <c r="JA14" s="18" t="n">
        <f aca="false">IF(JA13&gt;0,JA13*'Panel de Control'!$B$15,0)</f>
        <v>5673113.36161184</v>
      </c>
      <c r="JB14" s="18" t="n">
        <f aca="false">IF(JB13&gt;0,JB13*'Panel de Control'!$B$15,0)</f>
        <v>5673113.36161184</v>
      </c>
      <c r="JC14" s="18" t="n">
        <f aca="false">IF(JC13&gt;0,JC13*'Panel de Control'!$B$15,0)</f>
        <v>5673113.36161184</v>
      </c>
      <c r="JD14" s="18" t="n">
        <f aca="false">IF(JD13&gt;0,JD13*'Panel de Control'!$B$15,0)</f>
        <v>5673113.36161184</v>
      </c>
      <c r="JE14" s="18" t="n">
        <f aca="false">IF(JE13&gt;0,JE13*'Panel de Control'!$B$15,0)</f>
        <v>5673113.36161184</v>
      </c>
      <c r="JF14" s="18" t="n">
        <f aca="false">IF(JF13&gt;0,JF13*'Panel de Control'!$B$15,0)</f>
        <v>6200641.29692467</v>
      </c>
      <c r="JG14" s="18" t="n">
        <f aca="false">IF(JG13&gt;0,JG13*'Panel de Control'!$B$15,0)</f>
        <v>6200641.29692467</v>
      </c>
      <c r="JH14" s="18" t="n">
        <f aca="false">IF(JH13&gt;0,JH13*'Panel de Control'!$B$15,0)</f>
        <v>6200641.29692467</v>
      </c>
      <c r="JI14" s="18" t="n">
        <f aca="false">IF(JI13&gt;0,JI13*'Panel de Control'!$B$15,0)</f>
        <v>6200641.29692467</v>
      </c>
      <c r="JJ14" s="18" t="n">
        <f aca="false">IF(JJ13&gt;0,JJ13*'Panel de Control'!$B$15,0)</f>
        <v>6200641.29692467</v>
      </c>
      <c r="JK14" s="18" t="n">
        <f aca="false">IF(JK13&gt;0,JK13*'Panel de Control'!$B$15,0)</f>
        <v>6200641.29692467</v>
      </c>
      <c r="JL14" s="18" t="n">
        <f aca="false">IF(JL13&gt;0,JL13*'Panel de Control'!$B$15,0)</f>
        <v>6200641.29692467</v>
      </c>
      <c r="JM14" s="18" t="n">
        <f aca="false">IF(JM13&gt;0,JM13*'Panel de Control'!$B$15,0)</f>
        <v>6200641.29692467</v>
      </c>
      <c r="JN14" s="18" t="n">
        <f aca="false">IF(JN13&gt;0,JN13*'Panel de Control'!$B$15,0)</f>
        <v>6200641.29692467</v>
      </c>
      <c r="JO14" s="18" t="n">
        <f aca="false">IF(JO13&gt;0,JO13*'Panel de Control'!$B$15,0)</f>
        <v>6200641.29692467</v>
      </c>
      <c r="JP14" s="18" t="n">
        <f aca="false">IF(JP13&gt;0,JP13*'Panel de Control'!$B$15,0)</f>
        <v>6200641.29692467</v>
      </c>
      <c r="JQ14" s="18" t="n">
        <f aca="false">IF(JQ13&gt;0,JQ13*'Panel de Control'!$B$15,0)</f>
        <v>6200641.29692467</v>
      </c>
      <c r="JR14" s="18" t="n">
        <f aca="false">IF(JR13&gt;0,JR13*'Panel de Control'!$B$15,0)</f>
        <v>6765096.18770939</v>
      </c>
      <c r="JS14" s="18" t="n">
        <f aca="false">IF(JS13&gt;0,JS13*'Panel de Control'!$B$15,0)</f>
        <v>6765096.18770939</v>
      </c>
      <c r="JT14" s="18" t="n">
        <f aca="false">IF(JT13&gt;0,JT13*'Panel de Control'!$B$15,0)</f>
        <v>6765096.18770939</v>
      </c>
      <c r="JU14" s="18" t="n">
        <f aca="false">IF(JU13&gt;0,JU13*'Panel de Control'!$B$15,0)</f>
        <v>6765096.18770939</v>
      </c>
      <c r="JV14" s="18" t="n">
        <f aca="false">IF(JV13&gt;0,JV13*'Panel de Control'!$B$15,0)</f>
        <v>6765096.18770939</v>
      </c>
      <c r="JW14" s="18" t="n">
        <f aca="false">IF(JW13&gt;0,JW13*'Panel de Control'!$B$15,0)</f>
        <v>6765096.18770939</v>
      </c>
      <c r="JX14" s="18" t="n">
        <f aca="false">IF(JX13&gt;0,JX13*'Panel de Control'!$B$15,0)</f>
        <v>6765096.18770939</v>
      </c>
      <c r="JY14" s="18" t="n">
        <f aca="false">IF(JY13&gt;0,JY13*'Panel de Control'!$B$15,0)</f>
        <v>6765096.18770939</v>
      </c>
      <c r="JZ14" s="18" t="n">
        <f aca="false">IF(JZ13&gt;0,JZ13*'Panel de Control'!$B$15,0)</f>
        <v>6765096.18770939</v>
      </c>
      <c r="KA14" s="18" t="n">
        <f aca="false">IF(KA13&gt;0,KA13*'Panel de Control'!$B$15,0)</f>
        <v>6765096.18770939</v>
      </c>
      <c r="KB14" s="18" t="n">
        <f aca="false">IF(KB13&gt;0,KB13*'Panel de Control'!$B$15,0)</f>
        <v>6765096.18770939</v>
      </c>
      <c r="KC14" s="18" t="n">
        <f aca="false">IF(KC13&gt;0,KC13*'Panel de Control'!$B$15,0)</f>
        <v>6765096.18770939</v>
      </c>
      <c r="KD14" s="18" t="n">
        <f aca="false">IF(KD13&gt;0,KD13*'Panel de Control'!$B$15,0)</f>
        <v>7369062.92084905</v>
      </c>
      <c r="KE14" s="18" t="n">
        <f aca="false">IF(KE13&gt;0,KE13*'Panel de Control'!$B$15,0)</f>
        <v>7369062.92084905</v>
      </c>
      <c r="KF14" s="18" t="n">
        <f aca="false">IF(KF13&gt;0,KF13*'Panel de Control'!$B$15,0)</f>
        <v>7369062.92084905</v>
      </c>
      <c r="KG14" s="18" t="n">
        <f aca="false">IF(KG13&gt;0,KG13*'Panel de Control'!$B$15,0)</f>
        <v>7369062.92084905</v>
      </c>
      <c r="KH14" s="18" t="n">
        <f aca="false">IF(KH13&gt;0,KH13*'Panel de Control'!$B$15,0)</f>
        <v>7369062.92084905</v>
      </c>
      <c r="KI14" s="18" t="n">
        <f aca="false">IF(KI13&gt;0,KI13*'Panel de Control'!$B$15,0)</f>
        <v>7369062.92084905</v>
      </c>
      <c r="KJ14" s="18" t="n">
        <f aca="false">IF(KJ13&gt;0,KJ13*'Panel de Control'!$B$15,0)</f>
        <v>7369062.92084905</v>
      </c>
      <c r="KK14" s="18" t="n">
        <f aca="false">IF(KK13&gt;0,KK13*'Panel de Control'!$B$15,0)</f>
        <v>7369062.92084905</v>
      </c>
      <c r="KL14" s="18" t="n">
        <f aca="false">IF(KL13&gt;0,KL13*'Panel de Control'!$B$15,0)</f>
        <v>7369062.92084905</v>
      </c>
      <c r="KM14" s="18" t="n">
        <f aca="false">IF(KM13&gt;0,KM13*'Panel de Control'!$B$15,0)</f>
        <v>7369062.92084905</v>
      </c>
      <c r="KN14" s="18" t="n">
        <f aca="false">IF(KN13&gt;0,KN13*'Panel de Control'!$B$15,0)</f>
        <v>7369062.92084905</v>
      </c>
      <c r="KO14" s="18" t="n">
        <f aca="false">IF(KO13&gt;0,KO13*'Panel de Control'!$B$15,0)</f>
        <v>7369062.92084905</v>
      </c>
    </row>
    <row r="15" customFormat="false" ht="14.25" hidden="false" customHeight="false" outlineLevel="0" collapsed="false">
      <c r="A15" s="14" t="s">
        <v>403</v>
      </c>
      <c r="B15" s="18" t="n">
        <f aca="false">B13-B14</f>
        <v>-599000</v>
      </c>
      <c r="C15" s="18" t="n">
        <f aca="false">C13-C14</f>
        <v>-598674.08314517</v>
      </c>
      <c r="D15" s="18" t="n">
        <f aca="false">D13-D14</f>
        <v>-598346.265108686</v>
      </c>
      <c r="E15" s="18" t="n">
        <f aca="false">E13-E14</f>
        <v>-598016.534800323</v>
      </c>
      <c r="F15" s="18" t="n">
        <f aca="false">F13-F14</f>
        <v>-597684.881065161</v>
      </c>
      <c r="G15" s="18" t="n">
        <f aca="false">G13-G14</f>
        <v>-597351.292683211</v>
      </c>
      <c r="H15" s="18" t="n">
        <f aca="false">H13-H14</f>
        <v>-597015.758369033</v>
      </c>
      <c r="I15" s="18" t="n">
        <f aca="false">I13-I14</f>
        <v>-596678.266771355</v>
      </c>
      <c r="J15" s="18" t="n">
        <f aca="false">J13-J14</f>
        <v>-596338.806472691</v>
      </c>
      <c r="K15" s="18" t="n">
        <f aca="false">K13-K14</f>
        <v>-595997.365988951</v>
      </c>
      <c r="L15" s="18" t="n">
        <f aca="false">L13-L14</f>
        <v>-595653.933769056</v>
      </c>
      <c r="M15" s="18" t="n">
        <f aca="false">M13-M14</f>
        <v>-595308.498194546</v>
      </c>
      <c r="N15" s="18" t="n">
        <f aca="false">N13-N14</f>
        <v>-123091.047579183</v>
      </c>
      <c r="O15" s="18" t="n">
        <f aca="false">O13-O14</f>
        <v>-122741.570168565</v>
      </c>
      <c r="P15" s="18" t="n">
        <f aca="false">P13-P14</f>
        <v>-122390.054139718</v>
      </c>
      <c r="Q15" s="18" t="n">
        <f aca="false">Q13-Q14</f>
        <v>-122036.487600702</v>
      </c>
      <c r="R15" s="18" t="n">
        <f aca="false">R13-R14</f>
        <v>-121680.858590209</v>
      </c>
      <c r="S15" s="18" t="n">
        <f aca="false">S13-S14</f>
        <v>-121323.155077155</v>
      </c>
      <c r="T15" s="18" t="n">
        <f aca="false">T13-T14</f>
        <v>-120963.364960275</v>
      </c>
      <c r="U15" s="18" t="n">
        <f aca="false">U13-U14</f>
        <v>-120601.476067713</v>
      </c>
      <c r="V15" s="18" t="n">
        <f aca="false">V13-V14</f>
        <v>-120237.476156611</v>
      </c>
      <c r="W15" s="18" t="n">
        <f aca="false">W13-W14</f>
        <v>-119871.352912694</v>
      </c>
      <c r="X15" s="18" t="n">
        <f aca="false">X13-X14</f>
        <v>-119503.093949854</v>
      </c>
      <c r="Y15" s="18" t="n">
        <f aca="false">Y13-Y14</f>
        <v>-119132.686809731</v>
      </c>
      <c r="Z15" s="18" t="n">
        <f aca="false">Z13-Z14</f>
        <v>281882.770158258</v>
      </c>
      <c r="AA15" s="18" t="n">
        <f aca="false">AA13-AA14</f>
        <v>282156.331205707</v>
      </c>
      <c r="AB15" s="18" t="n">
        <f aca="false">AB13-AB14</f>
        <v>282431.488025933</v>
      </c>
      <c r="AC15" s="18" t="n">
        <f aca="false">AC13-AC14</f>
        <v>282708.249927611</v>
      </c>
      <c r="AD15" s="18" t="n">
        <f aca="false">AD13-AD14</f>
        <v>282986.626273715</v>
      </c>
      <c r="AE15" s="18" t="n">
        <f aca="false">AE13-AE14</f>
        <v>283266.626481838</v>
      </c>
      <c r="AF15" s="18" t="n">
        <f aca="false">AF13-AF14</f>
        <v>283548.260024508</v>
      </c>
      <c r="AG15" s="18" t="n">
        <f aca="false">AG13-AG14</f>
        <v>283831.53642951</v>
      </c>
      <c r="AH15" s="18" t="n">
        <f aca="false">AH13-AH14</f>
        <v>284116.465280208</v>
      </c>
      <c r="AI15" s="18" t="n">
        <f aca="false">AI13-AI14</f>
        <v>284403.056215869</v>
      </c>
      <c r="AJ15" s="18" t="n">
        <f aca="false">AJ13-AJ14</f>
        <v>284691.318931988</v>
      </c>
      <c r="AK15" s="18" t="n">
        <f aca="false">AK13-AK14</f>
        <v>284981.263180617</v>
      </c>
      <c r="AL15" s="18" t="n">
        <f aca="false">AL13-AL14</f>
        <v>679650.991760697</v>
      </c>
      <c r="AM15" s="18" t="n">
        <f aca="false">AM13-AM14</f>
        <v>679944.328558386</v>
      </c>
      <c r="AN15" s="18" t="n">
        <f aca="false">AN13-AN14</f>
        <v>680239.376487394</v>
      </c>
      <c r="AO15" s="18" t="n">
        <f aca="false">AO13-AO14</f>
        <v>680536.145529322</v>
      </c>
      <c r="AP15" s="18" t="n">
        <f aca="false">AP13-AP14</f>
        <v>680834.645723994</v>
      </c>
      <c r="AQ15" s="18" t="n">
        <f aca="false">AQ13-AQ14</f>
        <v>681134.887169802</v>
      </c>
      <c r="AR15" s="18" t="n">
        <f aca="false">AR13-AR14</f>
        <v>681436.880024044</v>
      </c>
      <c r="AS15" s="18" t="n">
        <f aca="false">AS13-AS14</f>
        <v>681740.634503269</v>
      </c>
      <c r="AT15" s="18" t="n">
        <f aca="false">AT13-AT14</f>
        <v>682046.160883622</v>
      </c>
      <c r="AU15" s="18" t="n">
        <f aca="false">AU13-AU14</f>
        <v>682353.469501194</v>
      </c>
      <c r="AV15" s="18" t="n">
        <f aca="false">AV13-AV14</f>
        <v>682662.570752369</v>
      </c>
      <c r="AW15" s="18" t="n">
        <f aca="false">AW13-AW14</f>
        <v>682973.475094176</v>
      </c>
      <c r="AX15" s="18" t="n">
        <f aca="false">AX13-AX14</f>
        <v>1105270.75254394</v>
      </c>
      <c r="AY15" s="18" t="n">
        <f aca="false">AY13-AY14</f>
        <v>1105585.29468246</v>
      </c>
      <c r="AZ15" s="18" t="n">
        <f aca="false">AZ13-AZ14</f>
        <v>1105901.67165011</v>
      </c>
      <c r="BA15" s="18" t="n">
        <f aca="false">BA13-BA14</f>
        <v>1106219.89415007</v>
      </c>
      <c r="BB15" s="18" t="n">
        <f aca="false">BB13-BB14</f>
        <v>1106539.97294795</v>
      </c>
      <c r="BC15" s="18" t="n">
        <f aca="false">BC13-BC14</f>
        <v>1106861.91887216</v>
      </c>
      <c r="BD15" s="18" t="n">
        <f aca="false">BD13-BD14</f>
        <v>1107185.74281425</v>
      </c>
      <c r="BE15" s="18" t="n">
        <f aca="false">BE13-BE14</f>
        <v>1107511.45572934</v>
      </c>
      <c r="BF15" s="18" t="n">
        <f aca="false">BF13-BF14</f>
        <v>1107839.06863643</v>
      </c>
      <c r="BG15" s="18" t="n">
        <f aca="false">BG13-BG14</f>
        <v>1108168.59261881</v>
      </c>
      <c r="BH15" s="18" t="n">
        <f aca="false">BH13-BH14</f>
        <v>1108500.03882443</v>
      </c>
      <c r="BI15" s="18" t="n">
        <f aca="false">BI13-BI14</f>
        <v>1108833.41846624</v>
      </c>
      <c r="BJ15" s="18" t="n">
        <f aca="false">BJ13-BJ14</f>
        <v>1560692.22148689</v>
      </c>
      <c r="BK15" s="18" t="n">
        <f aca="false">BK13-BK14</f>
        <v>1560692.22148689</v>
      </c>
      <c r="BL15" s="18" t="n">
        <f aca="false">BL13-BL14</f>
        <v>1560692.22148689</v>
      </c>
      <c r="BM15" s="18" t="n">
        <f aca="false">BM13-BM14</f>
        <v>1560692.22148689</v>
      </c>
      <c r="BN15" s="18" t="n">
        <f aca="false">BN13-BN14</f>
        <v>1560692.22148689</v>
      </c>
      <c r="BO15" s="18" t="n">
        <f aca="false">BO13-BO14</f>
        <v>1560692.22148689</v>
      </c>
      <c r="BP15" s="18" t="n">
        <f aca="false">BP13-BP14</f>
        <v>1560692.22148689</v>
      </c>
      <c r="BQ15" s="18" t="n">
        <f aca="false">BQ13-BQ14</f>
        <v>1560692.22148689</v>
      </c>
      <c r="BR15" s="18" t="n">
        <f aca="false">BR13-BR14</f>
        <v>1560692.22148689</v>
      </c>
      <c r="BS15" s="18" t="n">
        <f aca="false">BS13-BS14</f>
        <v>1560692.22148689</v>
      </c>
      <c r="BT15" s="18" t="n">
        <f aca="false">BT13-BT14</f>
        <v>1560692.22148689</v>
      </c>
      <c r="BU15" s="18" t="n">
        <f aca="false">BU13-BU14</f>
        <v>1560692.22148689</v>
      </c>
      <c r="BV15" s="18" t="n">
        <f aca="false">BV13-BV14</f>
        <v>2043822.34365764</v>
      </c>
      <c r="BW15" s="18" t="n">
        <f aca="false">BW13-BW14</f>
        <v>2043822.34365764</v>
      </c>
      <c r="BX15" s="18" t="n">
        <f aca="false">BX13-BX14</f>
        <v>2043822.34365764</v>
      </c>
      <c r="BY15" s="18" t="n">
        <f aca="false">BY13-BY14</f>
        <v>2043822.34365764</v>
      </c>
      <c r="BZ15" s="18" t="n">
        <f aca="false">BZ13-BZ14</f>
        <v>2043822.34365764</v>
      </c>
      <c r="CA15" s="18" t="n">
        <f aca="false">CA13-CA14</f>
        <v>2043822.34365764</v>
      </c>
      <c r="CB15" s="18" t="n">
        <f aca="false">CB13-CB14</f>
        <v>2043822.34365764</v>
      </c>
      <c r="CC15" s="18" t="n">
        <f aca="false">CC13-CC14</f>
        <v>2043822.34365764</v>
      </c>
      <c r="CD15" s="18" t="n">
        <f aca="false">CD13-CD14</f>
        <v>2043822.34365764</v>
      </c>
      <c r="CE15" s="18" t="n">
        <f aca="false">CE13-CE14</f>
        <v>2043822.34365764</v>
      </c>
      <c r="CF15" s="18" t="n">
        <f aca="false">CF13-CF14</f>
        <v>2043822.34365764</v>
      </c>
      <c r="CG15" s="18" t="n">
        <f aca="false">CG13-CG14</f>
        <v>2043822.34365764</v>
      </c>
      <c r="CH15" s="18" t="n">
        <f aca="false">CH13-CH14</f>
        <v>2560771.57438034</v>
      </c>
      <c r="CI15" s="18" t="n">
        <f aca="false">CI13-CI14</f>
        <v>2560771.57438034</v>
      </c>
      <c r="CJ15" s="18" t="n">
        <f aca="false">CJ13-CJ14</f>
        <v>2560771.57438034</v>
      </c>
      <c r="CK15" s="18" t="n">
        <f aca="false">CK13-CK14</f>
        <v>2560771.57438034</v>
      </c>
      <c r="CL15" s="18" t="n">
        <f aca="false">CL13-CL14</f>
        <v>2560771.57438034</v>
      </c>
      <c r="CM15" s="18" t="n">
        <f aca="false">CM13-CM14</f>
        <v>2560771.57438034</v>
      </c>
      <c r="CN15" s="18" t="n">
        <f aca="false">CN13-CN14</f>
        <v>2560771.57438034</v>
      </c>
      <c r="CO15" s="18" t="n">
        <f aca="false">CO13-CO14</f>
        <v>2560771.57438034</v>
      </c>
      <c r="CP15" s="18" t="n">
        <f aca="false">CP13-CP14</f>
        <v>2560771.57438034</v>
      </c>
      <c r="CQ15" s="18" t="n">
        <f aca="false">CQ13-CQ14</f>
        <v>2560771.57438034</v>
      </c>
      <c r="CR15" s="18" t="n">
        <f aca="false">CR13-CR14</f>
        <v>2560771.57438034</v>
      </c>
      <c r="CS15" s="18" t="n">
        <f aca="false">CS13-CS14</f>
        <v>2560771.57438034</v>
      </c>
      <c r="CT15" s="18" t="n">
        <f aca="false">CT13-CT14</f>
        <v>3113907.25125363</v>
      </c>
      <c r="CU15" s="18" t="n">
        <f aca="false">CU13-CU14</f>
        <v>3113907.25125363</v>
      </c>
      <c r="CV15" s="18" t="n">
        <f aca="false">CV13-CV14</f>
        <v>3113907.25125363</v>
      </c>
      <c r="CW15" s="18" t="n">
        <f aca="false">CW13-CW14</f>
        <v>3113907.25125363</v>
      </c>
      <c r="CX15" s="18" t="n">
        <f aca="false">CX13-CX14</f>
        <v>3113907.25125363</v>
      </c>
      <c r="CY15" s="18" t="n">
        <f aca="false">CY13-CY14</f>
        <v>3113907.25125363</v>
      </c>
      <c r="CZ15" s="18" t="n">
        <f aca="false">CZ13-CZ14</f>
        <v>3113907.25125363</v>
      </c>
      <c r="DA15" s="18" t="n">
        <f aca="false">DA13-DA14</f>
        <v>3113907.25125363</v>
      </c>
      <c r="DB15" s="18" t="n">
        <f aca="false">DB13-DB14</f>
        <v>3113907.25125363</v>
      </c>
      <c r="DC15" s="18" t="n">
        <f aca="false">DC13-DC14</f>
        <v>3113907.25125363</v>
      </c>
      <c r="DD15" s="18" t="n">
        <f aca="false">DD13-DD14</f>
        <v>3113907.25125363</v>
      </c>
      <c r="DE15" s="18" t="n">
        <f aca="false">DE13-DE14</f>
        <v>3113907.25125363</v>
      </c>
      <c r="DF15" s="18" t="n">
        <f aca="false">DF13-DF14</f>
        <v>3705762.42550805</v>
      </c>
      <c r="DG15" s="18" t="n">
        <f aca="false">DG13-DG14</f>
        <v>3705762.42550805</v>
      </c>
      <c r="DH15" s="18" t="n">
        <f aca="false">DH13-DH14</f>
        <v>3705762.42550805</v>
      </c>
      <c r="DI15" s="18" t="n">
        <f aca="false">DI13-DI14</f>
        <v>3705762.42550805</v>
      </c>
      <c r="DJ15" s="18" t="n">
        <f aca="false">DJ13-DJ14</f>
        <v>3705762.42550805</v>
      </c>
      <c r="DK15" s="18" t="n">
        <f aca="false">DK13-DK14</f>
        <v>3705762.42550805</v>
      </c>
      <c r="DL15" s="18" t="n">
        <f aca="false">DL13-DL14</f>
        <v>3705762.42550805</v>
      </c>
      <c r="DM15" s="18" t="n">
        <f aca="false">DM13-DM14</f>
        <v>3705762.42550805</v>
      </c>
      <c r="DN15" s="18" t="n">
        <f aca="false">DN13-DN14</f>
        <v>3705762.42550805</v>
      </c>
      <c r="DO15" s="18" t="n">
        <f aca="false">DO13-DO14</f>
        <v>3705762.42550805</v>
      </c>
      <c r="DP15" s="18" t="n">
        <f aca="false">DP13-DP14</f>
        <v>3705762.42550805</v>
      </c>
      <c r="DQ15" s="18" t="n">
        <f aca="false">DQ13-DQ14</f>
        <v>3705762.42550805</v>
      </c>
      <c r="DR15" s="18" t="n">
        <f aca="false">DR13-DR14</f>
        <v>4643214.12862695</v>
      </c>
      <c r="DS15" s="18" t="n">
        <f aca="false">DS13-DS14</f>
        <v>4643214.12862695</v>
      </c>
      <c r="DT15" s="18" t="n">
        <f aca="false">DT13-DT14</f>
        <v>4643214.12862695</v>
      </c>
      <c r="DU15" s="18" t="n">
        <f aca="false">DU13-DU14</f>
        <v>4643214.12862695</v>
      </c>
      <c r="DV15" s="18" t="n">
        <f aca="false">DV13-DV14</f>
        <v>4643214.12862695</v>
      </c>
      <c r="DW15" s="18" t="n">
        <f aca="false">DW13-DW14</f>
        <v>4643214.12862695</v>
      </c>
      <c r="DX15" s="18" t="n">
        <f aca="false">DX13-DX14</f>
        <v>4643214.12862695</v>
      </c>
      <c r="DY15" s="18" t="n">
        <f aca="false">DY13-DY14</f>
        <v>4643214.12862695</v>
      </c>
      <c r="DZ15" s="18" t="n">
        <f aca="false">DZ13-DZ14</f>
        <v>4643214.12862695</v>
      </c>
      <c r="EA15" s="18" t="n">
        <f aca="false">EA13-EA14</f>
        <v>4643214.12862695</v>
      </c>
      <c r="EB15" s="18" t="n">
        <f aca="false">EB13-EB14</f>
        <v>4643214.12862695</v>
      </c>
      <c r="EC15" s="18" t="n">
        <f aca="false">EC13-EC14</f>
        <v>4643214.12862695</v>
      </c>
      <c r="ED15" s="18" t="n">
        <f aca="false">ED13-ED14</f>
        <v>5320829.11763084</v>
      </c>
      <c r="EE15" s="18" t="n">
        <f aca="false">EE13-EE14</f>
        <v>5320829.11763084</v>
      </c>
      <c r="EF15" s="18" t="n">
        <f aca="false">EF13-EF14</f>
        <v>5320829.11763084</v>
      </c>
      <c r="EG15" s="18" t="n">
        <f aca="false">EG13-EG14</f>
        <v>5320829.11763084</v>
      </c>
      <c r="EH15" s="18" t="n">
        <f aca="false">EH13-EH14</f>
        <v>5320829.11763084</v>
      </c>
      <c r="EI15" s="18" t="n">
        <f aca="false">EI13-EI14</f>
        <v>5320829.11763084</v>
      </c>
      <c r="EJ15" s="18" t="n">
        <f aca="false">EJ13-EJ14</f>
        <v>5320829.11763084</v>
      </c>
      <c r="EK15" s="18" t="n">
        <f aca="false">EK13-EK14</f>
        <v>5320829.11763084</v>
      </c>
      <c r="EL15" s="18" t="n">
        <f aca="false">EL13-EL14</f>
        <v>5320829.11763084</v>
      </c>
      <c r="EM15" s="18" t="n">
        <f aca="false">EM13-EM14</f>
        <v>5320829.11763084</v>
      </c>
      <c r="EN15" s="18" t="n">
        <f aca="false">EN13-EN14</f>
        <v>5320829.11763084</v>
      </c>
      <c r="EO15" s="18" t="n">
        <f aca="false">EO13-EO14</f>
        <v>5320829.11763084</v>
      </c>
      <c r="EP15" s="18" t="n">
        <f aca="false">EP13-EP14</f>
        <v>6045877.15586499</v>
      </c>
      <c r="EQ15" s="18" t="n">
        <f aca="false">EQ13-EQ14</f>
        <v>6045877.15586499</v>
      </c>
      <c r="ER15" s="18" t="n">
        <f aca="false">ER13-ER14</f>
        <v>6045877.15586499</v>
      </c>
      <c r="ES15" s="18" t="n">
        <f aca="false">ES13-ES14</f>
        <v>6045877.15586499</v>
      </c>
      <c r="ET15" s="18" t="n">
        <f aca="false">ET13-ET14</f>
        <v>6045877.15586499</v>
      </c>
      <c r="EU15" s="18" t="n">
        <f aca="false">EU13-EU14</f>
        <v>6045877.15586499</v>
      </c>
      <c r="EV15" s="18" t="n">
        <f aca="false">EV13-EV14</f>
        <v>6045877.15586499</v>
      </c>
      <c r="EW15" s="18" t="n">
        <f aca="false">EW13-EW14</f>
        <v>6045877.15586499</v>
      </c>
      <c r="EX15" s="18" t="n">
        <f aca="false">EX13-EX14</f>
        <v>6045877.15586499</v>
      </c>
      <c r="EY15" s="18" t="n">
        <f aca="false">EY13-EY14</f>
        <v>6045877.15586499</v>
      </c>
      <c r="EZ15" s="18" t="n">
        <f aca="false">EZ13-EZ14</f>
        <v>6045877.15586499</v>
      </c>
      <c r="FA15" s="18" t="n">
        <f aca="false">FA13-FA14</f>
        <v>6045877.15586499</v>
      </c>
      <c r="FB15" s="18" t="n">
        <f aca="false">FB13-FB14</f>
        <v>6821678.55677554</v>
      </c>
      <c r="FC15" s="18" t="n">
        <f aca="false">FC13-FC14</f>
        <v>6821678.55677554</v>
      </c>
      <c r="FD15" s="18" t="n">
        <f aca="false">FD13-FD14</f>
        <v>6821678.55677554</v>
      </c>
      <c r="FE15" s="18" t="n">
        <f aca="false">FE13-FE14</f>
        <v>6821678.55677554</v>
      </c>
      <c r="FF15" s="18" t="n">
        <f aca="false">FF13-FF14</f>
        <v>6821678.55677554</v>
      </c>
      <c r="FG15" s="18" t="n">
        <f aca="false">FG13-FG14</f>
        <v>6821678.55677554</v>
      </c>
      <c r="FH15" s="18" t="n">
        <f aca="false">FH13-FH14</f>
        <v>6821678.55677554</v>
      </c>
      <c r="FI15" s="18" t="n">
        <f aca="false">FI13-FI14</f>
        <v>6821678.55677554</v>
      </c>
      <c r="FJ15" s="18" t="n">
        <f aca="false">FJ13-FJ14</f>
        <v>6821678.55677554</v>
      </c>
      <c r="FK15" s="18" t="n">
        <f aca="false">FK13-FK14</f>
        <v>6821678.55677554</v>
      </c>
      <c r="FL15" s="18" t="n">
        <f aca="false">FL13-FL14</f>
        <v>6821678.55677554</v>
      </c>
      <c r="FM15" s="18" t="n">
        <f aca="false">FM13-FM14</f>
        <v>6821678.55677554</v>
      </c>
      <c r="FN15" s="18" t="n">
        <f aca="false">FN13-FN14</f>
        <v>7651786.05574983</v>
      </c>
      <c r="FO15" s="18" t="n">
        <f aca="false">FO13-FO14</f>
        <v>7651786.05574983</v>
      </c>
      <c r="FP15" s="18" t="n">
        <f aca="false">FP13-FP14</f>
        <v>7651786.05574983</v>
      </c>
      <c r="FQ15" s="18" t="n">
        <f aca="false">FQ13-FQ14</f>
        <v>7651786.05574983</v>
      </c>
      <c r="FR15" s="18" t="n">
        <f aca="false">FR13-FR14</f>
        <v>7651786.05574983</v>
      </c>
      <c r="FS15" s="18" t="n">
        <f aca="false">FS13-FS14</f>
        <v>7651786.05574983</v>
      </c>
      <c r="FT15" s="18" t="n">
        <f aca="false">FT13-FT14</f>
        <v>7651786.05574983</v>
      </c>
      <c r="FU15" s="18" t="n">
        <f aca="false">FU13-FU14</f>
        <v>7651786.05574983</v>
      </c>
      <c r="FV15" s="18" t="n">
        <f aca="false">FV13-FV14</f>
        <v>7651786.05574983</v>
      </c>
      <c r="FW15" s="18" t="n">
        <f aca="false">FW13-FW14</f>
        <v>7651786.05574983</v>
      </c>
      <c r="FX15" s="18" t="n">
        <f aca="false">FX13-FX14</f>
        <v>7651786.05574983</v>
      </c>
      <c r="FY15" s="18" t="n">
        <f aca="false">FY13-FY14</f>
        <v>7651786.05574983</v>
      </c>
      <c r="FZ15" s="18" t="n">
        <f aca="false">FZ13-FZ14</f>
        <v>8540001.07965232</v>
      </c>
      <c r="GA15" s="18" t="n">
        <f aca="false">GA13-GA14</f>
        <v>8540001.07965232</v>
      </c>
      <c r="GB15" s="18" t="n">
        <f aca="false">GB13-GB14</f>
        <v>8540001.07965232</v>
      </c>
      <c r="GC15" s="18" t="n">
        <f aca="false">GC13-GC14</f>
        <v>8540001.07965232</v>
      </c>
      <c r="GD15" s="18" t="n">
        <f aca="false">GD13-GD14</f>
        <v>8540001.07965232</v>
      </c>
      <c r="GE15" s="18" t="n">
        <f aca="false">GE13-GE14</f>
        <v>8540001.07965232</v>
      </c>
      <c r="GF15" s="18" t="n">
        <f aca="false">GF13-GF14</f>
        <v>8540001.07965232</v>
      </c>
      <c r="GG15" s="18" t="n">
        <f aca="false">GG13-GG14</f>
        <v>8540001.07965232</v>
      </c>
      <c r="GH15" s="18" t="n">
        <f aca="false">GH13-GH14</f>
        <v>8540001.07965232</v>
      </c>
      <c r="GI15" s="18" t="n">
        <f aca="false">GI13-GI14</f>
        <v>8540001.07965232</v>
      </c>
      <c r="GJ15" s="18" t="n">
        <f aca="false">GJ13-GJ14</f>
        <v>8540001.07965232</v>
      </c>
      <c r="GK15" s="18" t="n">
        <f aca="false">GK13-GK14</f>
        <v>8540001.07965232</v>
      </c>
      <c r="GL15" s="18" t="n">
        <f aca="false">GL13-GL14</f>
        <v>9490391.15522799</v>
      </c>
      <c r="GM15" s="18" t="n">
        <f aca="false">GM13-GM14</f>
        <v>9490391.15522799</v>
      </c>
      <c r="GN15" s="18" t="n">
        <f aca="false">GN13-GN14</f>
        <v>9490391.15522799</v>
      </c>
      <c r="GO15" s="18" t="n">
        <f aca="false">GO13-GO14</f>
        <v>9490391.15522799</v>
      </c>
      <c r="GP15" s="18" t="n">
        <f aca="false">GP13-GP14</f>
        <v>9490391.15522799</v>
      </c>
      <c r="GQ15" s="18" t="n">
        <f aca="false">GQ13-GQ14</f>
        <v>9490391.15522799</v>
      </c>
      <c r="GR15" s="18" t="n">
        <f aca="false">GR13-GR14</f>
        <v>9490391.15522799</v>
      </c>
      <c r="GS15" s="18" t="n">
        <f aca="false">GS13-GS14</f>
        <v>9490391.15522799</v>
      </c>
      <c r="GT15" s="18" t="n">
        <f aca="false">GT13-GT14</f>
        <v>9490391.15522799</v>
      </c>
      <c r="GU15" s="18" t="n">
        <f aca="false">GU13-GU14</f>
        <v>9490391.15522799</v>
      </c>
      <c r="GV15" s="18" t="n">
        <f aca="false">GV13-GV14</f>
        <v>9490391.15522799</v>
      </c>
      <c r="GW15" s="18" t="n">
        <f aca="false">GW13-GW14</f>
        <v>9490391.15522799</v>
      </c>
      <c r="GX15" s="18" t="n">
        <f aca="false">GX13-GX14</f>
        <v>10507308.5360939</v>
      </c>
      <c r="GY15" s="18" t="n">
        <f aca="false">GY13-GY14</f>
        <v>10507308.5360939</v>
      </c>
      <c r="GZ15" s="18" t="n">
        <f aca="false">GZ13-GZ14</f>
        <v>10507308.5360939</v>
      </c>
      <c r="HA15" s="18" t="n">
        <f aca="false">HA13-HA14</f>
        <v>10507308.5360939</v>
      </c>
      <c r="HB15" s="18" t="n">
        <f aca="false">HB13-HB14</f>
        <v>10507308.5360939</v>
      </c>
      <c r="HC15" s="18" t="n">
        <f aca="false">HC13-HC14</f>
        <v>10507308.5360939</v>
      </c>
      <c r="HD15" s="18" t="n">
        <f aca="false">HD13-HD14</f>
        <v>10507308.5360939</v>
      </c>
      <c r="HE15" s="18" t="n">
        <f aca="false">HE13-HE14</f>
        <v>10507308.5360939</v>
      </c>
      <c r="HF15" s="18" t="n">
        <f aca="false">HF13-HF14</f>
        <v>10507308.5360939</v>
      </c>
      <c r="HG15" s="18" t="n">
        <f aca="false">HG13-HG14</f>
        <v>10507308.5360939</v>
      </c>
      <c r="HH15" s="18" t="n">
        <f aca="false">HH13-HH14</f>
        <v>10507308.5360939</v>
      </c>
      <c r="HI15" s="18" t="n">
        <f aca="false">HI13-HI14</f>
        <v>10507308.5360939</v>
      </c>
      <c r="HJ15" s="18" t="n">
        <f aca="false">HJ13-HJ14</f>
        <v>11595410.1336205</v>
      </c>
      <c r="HK15" s="18" t="n">
        <f aca="false">HK13-HK14</f>
        <v>11595410.1336205</v>
      </c>
      <c r="HL15" s="18" t="n">
        <f aca="false">HL13-HL14</f>
        <v>11595410.1336205</v>
      </c>
      <c r="HM15" s="18" t="n">
        <f aca="false">HM13-HM14</f>
        <v>11595410.1336205</v>
      </c>
      <c r="HN15" s="18" t="n">
        <f aca="false">HN13-HN14</f>
        <v>11595410.1336205</v>
      </c>
      <c r="HO15" s="18" t="n">
        <f aca="false">HO13-HO14</f>
        <v>11595410.1336205</v>
      </c>
      <c r="HP15" s="18" t="n">
        <f aca="false">HP13-HP14</f>
        <v>11595410.1336205</v>
      </c>
      <c r="HQ15" s="18" t="n">
        <f aca="false">HQ13-HQ14</f>
        <v>11595410.1336205</v>
      </c>
      <c r="HR15" s="18" t="n">
        <f aca="false">HR13-HR14</f>
        <v>11595410.1336205</v>
      </c>
      <c r="HS15" s="18" t="n">
        <f aca="false">HS13-HS14</f>
        <v>11595410.1336205</v>
      </c>
      <c r="HT15" s="18" t="n">
        <f aca="false">HT13-HT14</f>
        <v>11595410.1336205</v>
      </c>
      <c r="HU15" s="18" t="n">
        <f aca="false">HU13-HU14</f>
        <v>11595410.1336205</v>
      </c>
      <c r="HV15" s="18" t="n">
        <f aca="false">HV13-HV14</f>
        <v>12759678.842974</v>
      </c>
      <c r="HW15" s="18" t="n">
        <f aca="false">HW13-HW14</f>
        <v>12759678.842974</v>
      </c>
      <c r="HX15" s="18" t="n">
        <f aca="false">HX13-HX14</f>
        <v>12759678.842974</v>
      </c>
      <c r="HY15" s="18" t="n">
        <f aca="false">HY13-HY14</f>
        <v>12759678.842974</v>
      </c>
      <c r="HZ15" s="18" t="n">
        <f aca="false">HZ13-HZ14</f>
        <v>12759678.842974</v>
      </c>
      <c r="IA15" s="18" t="n">
        <f aca="false">IA13-IA14</f>
        <v>12759678.842974</v>
      </c>
      <c r="IB15" s="18" t="n">
        <f aca="false">IB13-IB14</f>
        <v>12759678.842974</v>
      </c>
      <c r="IC15" s="18" t="n">
        <f aca="false">IC13-IC14</f>
        <v>12759678.842974</v>
      </c>
      <c r="ID15" s="18" t="n">
        <f aca="false">ID13-ID14</f>
        <v>12759678.842974</v>
      </c>
      <c r="IE15" s="18" t="n">
        <f aca="false">IE13-IE14</f>
        <v>12759678.842974</v>
      </c>
      <c r="IF15" s="18" t="n">
        <f aca="false">IF13-IF14</f>
        <v>12759678.842974</v>
      </c>
      <c r="IG15" s="18" t="n">
        <f aca="false">IG13-IG14</f>
        <v>12759678.842974</v>
      </c>
      <c r="IH15" s="18" t="n">
        <f aca="false">IH13-IH14</f>
        <v>14005446.3619821</v>
      </c>
      <c r="II15" s="18" t="n">
        <f aca="false">II13-II14</f>
        <v>14005446.3619821</v>
      </c>
      <c r="IJ15" s="18" t="n">
        <f aca="false">IJ13-IJ14</f>
        <v>14005446.3619821</v>
      </c>
      <c r="IK15" s="18" t="n">
        <f aca="false">IK13-IK14</f>
        <v>14005446.3619821</v>
      </c>
      <c r="IL15" s="18" t="n">
        <f aca="false">IL13-IL14</f>
        <v>14005446.3619821</v>
      </c>
      <c r="IM15" s="18" t="n">
        <f aca="false">IM13-IM14</f>
        <v>14005446.3619821</v>
      </c>
      <c r="IN15" s="18" t="n">
        <f aca="false">IN13-IN14</f>
        <v>14005446.3619821</v>
      </c>
      <c r="IO15" s="18" t="n">
        <f aca="false">IO13-IO14</f>
        <v>14005446.3619821</v>
      </c>
      <c r="IP15" s="18" t="n">
        <f aca="false">IP13-IP14</f>
        <v>14005446.3619821</v>
      </c>
      <c r="IQ15" s="18" t="n">
        <f aca="false">IQ13-IQ14</f>
        <v>14005446.3619821</v>
      </c>
      <c r="IR15" s="18" t="n">
        <f aca="false">IR13-IR14</f>
        <v>14005446.3619821</v>
      </c>
      <c r="IS15" s="18" t="n">
        <f aca="false">IS13-IS14</f>
        <v>14005446.3619821</v>
      </c>
      <c r="IT15" s="18" t="n">
        <f aca="false">IT13-IT14</f>
        <v>15338417.6073209</v>
      </c>
      <c r="IU15" s="18" t="n">
        <f aca="false">IU13-IU14</f>
        <v>15338417.6073209</v>
      </c>
      <c r="IV15" s="18" t="n">
        <f aca="false">IV13-IV14</f>
        <v>15338417.6073209</v>
      </c>
      <c r="IW15" s="18" t="n">
        <f aca="false">IW13-IW14</f>
        <v>15338417.6073209</v>
      </c>
      <c r="IX15" s="18" t="n">
        <f aca="false">IX13-IX14</f>
        <v>15338417.6073209</v>
      </c>
      <c r="IY15" s="18" t="n">
        <f aca="false">IY13-IY14</f>
        <v>15338417.6073209</v>
      </c>
      <c r="IZ15" s="18" t="n">
        <f aca="false">IZ13-IZ14</f>
        <v>15338417.6073209</v>
      </c>
      <c r="JA15" s="18" t="n">
        <f aca="false">JA13-JA14</f>
        <v>15338417.6073209</v>
      </c>
      <c r="JB15" s="18" t="n">
        <f aca="false">JB13-JB14</f>
        <v>15338417.6073209</v>
      </c>
      <c r="JC15" s="18" t="n">
        <f aca="false">JC13-JC14</f>
        <v>15338417.6073209</v>
      </c>
      <c r="JD15" s="18" t="n">
        <f aca="false">JD13-JD14</f>
        <v>15338417.6073209</v>
      </c>
      <c r="JE15" s="18" t="n">
        <f aca="false">JE13-JE14</f>
        <v>15338417.6073209</v>
      </c>
      <c r="JF15" s="18" t="n">
        <f aca="false">JF13-JF14</f>
        <v>16764696.8398334</v>
      </c>
      <c r="JG15" s="18" t="n">
        <f aca="false">JG13-JG14</f>
        <v>16764696.8398334</v>
      </c>
      <c r="JH15" s="18" t="n">
        <f aca="false">JH13-JH14</f>
        <v>16764696.8398334</v>
      </c>
      <c r="JI15" s="18" t="n">
        <f aca="false">JI13-JI14</f>
        <v>16764696.8398334</v>
      </c>
      <c r="JJ15" s="18" t="n">
        <f aca="false">JJ13-JJ14</f>
        <v>16764696.8398334</v>
      </c>
      <c r="JK15" s="18" t="n">
        <f aca="false">JK13-JK14</f>
        <v>16764696.8398334</v>
      </c>
      <c r="JL15" s="18" t="n">
        <f aca="false">JL13-JL14</f>
        <v>16764696.8398334</v>
      </c>
      <c r="JM15" s="18" t="n">
        <f aca="false">JM13-JM14</f>
        <v>16764696.8398334</v>
      </c>
      <c r="JN15" s="18" t="n">
        <f aca="false">JN13-JN14</f>
        <v>16764696.8398334</v>
      </c>
      <c r="JO15" s="18" t="n">
        <f aca="false">JO13-JO14</f>
        <v>16764696.8398334</v>
      </c>
      <c r="JP15" s="18" t="n">
        <f aca="false">JP13-JP14</f>
        <v>16764696.8398334</v>
      </c>
      <c r="JQ15" s="18" t="n">
        <f aca="false">JQ13-JQ14</f>
        <v>16764696.8398334</v>
      </c>
      <c r="JR15" s="18" t="n">
        <f aca="false">JR13-JR14</f>
        <v>18290815.6186217</v>
      </c>
      <c r="JS15" s="18" t="n">
        <f aca="false">JS13-JS14</f>
        <v>18290815.6186217</v>
      </c>
      <c r="JT15" s="18" t="n">
        <f aca="false">JT13-JT14</f>
        <v>18290815.6186217</v>
      </c>
      <c r="JU15" s="18" t="n">
        <f aca="false">JU13-JU14</f>
        <v>18290815.6186217</v>
      </c>
      <c r="JV15" s="18" t="n">
        <f aca="false">JV13-JV14</f>
        <v>18290815.6186217</v>
      </c>
      <c r="JW15" s="18" t="n">
        <f aca="false">JW13-JW14</f>
        <v>18290815.6186217</v>
      </c>
      <c r="JX15" s="18" t="n">
        <f aca="false">JX13-JX14</f>
        <v>18290815.6186217</v>
      </c>
      <c r="JY15" s="18" t="n">
        <f aca="false">JY13-JY14</f>
        <v>18290815.6186217</v>
      </c>
      <c r="JZ15" s="18" t="n">
        <f aca="false">JZ13-JZ14</f>
        <v>18290815.6186217</v>
      </c>
      <c r="KA15" s="18" t="n">
        <f aca="false">KA13-KA14</f>
        <v>18290815.6186217</v>
      </c>
      <c r="KB15" s="18" t="n">
        <f aca="false">KB13-KB14</f>
        <v>18290815.6186217</v>
      </c>
      <c r="KC15" s="18" t="n">
        <f aca="false">KC13-KC14</f>
        <v>18290815.6186217</v>
      </c>
      <c r="KD15" s="18" t="n">
        <f aca="false">KD13-KD14</f>
        <v>19923762.7119252</v>
      </c>
      <c r="KE15" s="18" t="n">
        <f aca="false">KE13-KE14</f>
        <v>19923762.7119252</v>
      </c>
      <c r="KF15" s="18" t="n">
        <f aca="false">KF13-KF14</f>
        <v>19923762.7119252</v>
      </c>
      <c r="KG15" s="18" t="n">
        <f aca="false">KG13-KG14</f>
        <v>19923762.7119252</v>
      </c>
      <c r="KH15" s="18" t="n">
        <f aca="false">KH13-KH14</f>
        <v>19923762.7119252</v>
      </c>
      <c r="KI15" s="18" t="n">
        <f aca="false">KI13-KI14</f>
        <v>19923762.7119252</v>
      </c>
      <c r="KJ15" s="18" t="n">
        <f aca="false">KJ13-KJ14</f>
        <v>19923762.7119252</v>
      </c>
      <c r="KK15" s="18" t="n">
        <f aca="false">KK13-KK14</f>
        <v>19923762.7119252</v>
      </c>
      <c r="KL15" s="18" t="n">
        <f aca="false">KL13-KL14</f>
        <v>19923762.7119252</v>
      </c>
      <c r="KM15" s="18" t="n">
        <f aca="false">KM13-KM14</f>
        <v>19923762.7119252</v>
      </c>
      <c r="KN15" s="18" t="n">
        <f aca="false">KN13-KN14</f>
        <v>19923762.7119252</v>
      </c>
      <c r="KO15" s="18" t="n">
        <f aca="false">KO13-KO14</f>
        <v>19923762.7119252</v>
      </c>
    </row>
    <row r="17" customFormat="false" ht="14.25" hidden="false" customHeight="false" outlineLevel="0" collapsed="false">
      <c r="A17" s="20" t="s">
        <v>404</v>
      </c>
    </row>
    <row r="18" customFormat="false" ht="14.25" hidden="false" customHeight="false" outlineLevel="0" collapsed="false">
      <c r="A18" s="0" t="s">
        <v>405</v>
      </c>
      <c r="B18" s="23" t="n">
        <f aca="false">IF(B4&lt;&gt;0,B6/B4,0)</f>
        <v>0.63</v>
      </c>
      <c r="C18" s="23" t="n">
        <f aca="false">IF(C4&lt;&gt;0,C6/C4,0)</f>
        <v>0.63</v>
      </c>
      <c r="D18" s="23" t="n">
        <f aca="false">IF(D4&lt;&gt;0,D6/D4,0)</f>
        <v>0.63</v>
      </c>
      <c r="E18" s="23" t="n">
        <f aca="false">IF(E4&lt;&gt;0,E6/E4,0)</f>
        <v>0.63</v>
      </c>
      <c r="F18" s="23" t="n">
        <f aca="false">IF(F4&lt;&gt;0,F6/F4,0)</f>
        <v>0.63</v>
      </c>
      <c r="G18" s="23" t="n">
        <f aca="false">IF(G4&lt;&gt;0,G6/G4,0)</f>
        <v>0.63</v>
      </c>
      <c r="H18" s="23" t="n">
        <f aca="false">IF(H4&lt;&gt;0,H6/H4,0)</f>
        <v>0.63</v>
      </c>
      <c r="I18" s="23" t="n">
        <f aca="false">IF(I4&lt;&gt;0,I6/I4,0)</f>
        <v>0.63</v>
      </c>
      <c r="J18" s="23" t="n">
        <f aca="false">IF(J4&lt;&gt;0,J6/J4,0)</f>
        <v>0.63</v>
      </c>
      <c r="K18" s="23" t="n">
        <f aca="false">IF(K4&lt;&gt;0,K6/K4,0)</f>
        <v>0.63</v>
      </c>
      <c r="L18" s="23" t="n">
        <f aca="false">IF(L4&lt;&gt;0,L6/L4,0)</f>
        <v>0.63</v>
      </c>
      <c r="M18" s="23" t="n">
        <f aca="false">IF(M4&lt;&gt;0,M6/M4,0)</f>
        <v>0.63</v>
      </c>
      <c r="N18" s="23" t="n">
        <f aca="false">IF(N4&lt;&gt;0,N6/N4,0)</f>
        <v>0.63</v>
      </c>
      <c r="O18" s="23" t="n">
        <f aca="false">IF(O4&lt;&gt;0,O6/O4,0)</f>
        <v>0.63</v>
      </c>
      <c r="P18" s="23" t="n">
        <f aca="false">IF(P4&lt;&gt;0,P6/P4,0)</f>
        <v>0.63</v>
      </c>
      <c r="Q18" s="23" t="n">
        <f aca="false">IF(Q4&lt;&gt;0,Q6/Q4,0)</f>
        <v>0.63</v>
      </c>
      <c r="R18" s="23" t="n">
        <f aca="false">IF(R4&lt;&gt;0,R6/R4,0)</f>
        <v>0.63</v>
      </c>
      <c r="S18" s="23" t="n">
        <f aca="false">IF(S4&lt;&gt;0,S6/S4,0)</f>
        <v>0.63</v>
      </c>
      <c r="T18" s="23" t="n">
        <f aca="false">IF(T4&lt;&gt;0,T6/T4,0)</f>
        <v>0.63</v>
      </c>
      <c r="U18" s="23" t="n">
        <f aca="false">IF(U4&lt;&gt;0,U6/U4,0)</f>
        <v>0.63</v>
      </c>
      <c r="V18" s="23" t="n">
        <f aca="false">IF(V4&lt;&gt;0,V6/V4,0)</f>
        <v>0.63</v>
      </c>
      <c r="W18" s="23" t="n">
        <f aca="false">IF(W4&lt;&gt;0,W6/W4,0)</f>
        <v>0.63</v>
      </c>
      <c r="X18" s="23" t="n">
        <f aca="false">IF(X4&lt;&gt;0,X6/X4,0)</f>
        <v>0.63</v>
      </c>
      <c r="Y18" s="23" t="n">
        <f aca="false">IF(Y4&lt;&gt;0,Y6/Y4,0)</f>
        <v>0.63</v>
      </c>
      <c r="Z18" s="23" t="n">
        <f aca="false">IF(Z4&lt;&gt;0,Z6/Z4,0)</f>
        <v>0.63</v>
      </c>
      <c r="AA18" s="23" t="n">
        <f aca="false">IF(AA4&lt;&gt;0,AA6/AA4,0)</f>
        <v>0.63</v>
      </c>
      <c r="AB18" s="23" t="n">
        <f aca="false">IF(AB4&lt;&gt;0,AB6/AB4,0)</f>
        <v>0.63</v>
      </c>
      <c r="AC18" s="23" t="n">
        <f aca="false">IF(AC4&lt;&gt;0,AC6/AC4,0)</f>
        <v>0.63</v>
      </c>
      <c r="AD18" s="23" t="n">
        <f aca="false">IF(AD4&lt;&gt;0,AD6/AD4,0)</f>
        <v>0.63</v>
      </c>
      <c r="AE18" s="23" t="n">
        <f aca="false">IF(AE4&lt;&gt;0,AE6/AE4,0)</f>
        <v>0.63</v>
      </c>
      <c r="AF18" s="23" t="n">
        <f aca="false">IF(AF4&lt;&gt;0,AF6/AF4,0)</f>
        <v>0.63</v>
      </c>
      <c r="AG18" s="23" t="n">
        <f aca="false">IF(AG4&lt;&gt;0,AG6/AG4,0)</f>
        <v>0.63</v>
      </c>
      <c r="AH18" s="23" t="n">
        <f aca="false">IF(AH4&lt;&gt;0,AH6/AH4,0)</f>
        <v>0.63</v>
      </c>
      <c r="AI18" s="23" t="n">
        <f aca="false">IF(AI4&lt;&gt;0,AI6/AI4,0)</f>
        <v>0.63</v>
      </c>
      <c r="AJ18" s="23" t="n">
        <f aca="false">IF(AJ4&lt;&gt;0,AJ6/AJ4,0)</f>
        <v>0.63</v>
      </c>
      <c r="AK18" s="23" t="n">
        <f aca="false">IF(AK4&lt;&gt;0,AK6/AK4,0)</f>
        <v>0.63</v>
      </c>
      <c r="AL18" s="23" t="n">
        <f aca="false">IF(AL4&lt;&gt;0,AL6/AL4,0)</f>
        <v>0.63</v>
      </c>
      <c r="AM18" s="23" t="n">
        <f aca="false">IF(AM4&lt;&gt;0,AM6/AM4,0)</f>
        <v>0.63</v>
      </c>
      <c r="AN18" s="23" t="n">
        <f aca="false">IF(AN4&lt;&gt;0,AN6/AN4,0)</f>
        <v>0.63</v>
      </c>
      <c r="AO18" s="23" t="n">
        <f aca="false">IF(AO4&lt;&gt;0,AO6/AO4,0)</f>
        <v>0.63</v>
      </c>
      <c r="AP18" s="23" t="n">
        <f aca="false">IF(AP4&lt;&gt;0,AP6/AP4,0)</f>
        <v>0.63</v>
      </c>
      <c r="AQ18" s="23" t="n">
        <f aca="false">IF(AQ4&lt;&gt;0,AQ6/AQ4,0)</f>
        <v>0.63</v>
      </c>
      <c r="AR18" s="23" t="n">
        <f aca="false">IF(AR4&lt;&gt;0,AR6/AR4,0)</f>
        <v>0.63</v>
      </c>
      <c r="AS18" s="23" t="n">
        <f aca="false">IF(AS4&lt;&gt;0,AS6/AS4,0)</f>
        <v>0.63</v>
      </c>
      <c r="AT18" s="23" t="n">
        <f aca="false">IF(AT4&lt;&gt;0,AT6/AT4,0)</f>
        <v>0.63</v>
      </c>
      <c r="AU18" s="23" t="n">
        <f aca="false">IF(AU4&lt;&gt;0,AU6/AU4,0)</f>
        <v>0.63</v>
      </c>
      <c r="AV18" s="23" t="n">
        <f aca="false">IF(AV4&lt;&gt;0,AV6/AV4,0)</f>
        <v>0.63</v>
      </c>
      <c r="AW18" s="23" t="n">
        <f aca="false">IF(AW4&lt;&gt;0,AW6/AW4,0)</f>
        <v>0.63</v>
      </c>
      <c r="AX18" s="23" t="n">
        <f aca="false">IF(AX4&lt;&gt;0,AX6/AX4,0)</f>
        <v>0.63</v>
      </c>
      <c r="AY18" s="23" t="n">
        <f aca="false">IF(AY4&lt;&gt;0,AY6/AY4,0)</f>
        <v>0.63</v>
      </c>
      <c r="AZ18" s="23" t="n">
        <f aca="false">IF(AZ4&lt;&gt;0,AZ6/AZ4,0)</f>
        <v>0.63</v>
      </c>
      <c r="BA18" s="23" t="n">
        <f aca="false">IF(BA4&lt;&gt;0,BA6/BA4,0)</f>
        <v>0.63</v>
      </c>
      <c r="BB18" s="23" t="n">
        <f aca="false">IF(BB4&lt;&gt;0,BB6/BB4,0)</f>
        <v>0.63</v>
      </c>
      <c r="BC18" s="23" t="n">
        <f aca="false">IF(BC4&lt;&gt;0,BC6/BC4,0)</f>
        <v>0.63</v>
      </c>
      <c r="BD18" s="23" t="n">
        <f aca="false">IF(BD4&lt;&gt;0,BD6/BD4,0)</f>
        <v>0.63</v>
      </c>
      <c r="BE18" s="23" t="n">
        <f aca="false">IF(BE4&lt;&gt;0,BE6/BE4,0)</f>
        <v>0.63</v>
      </c>
      <c r="BF18" s="23" t="n">
        <f aca="false">IF(BF4&lt;&gt;0,BF6/BF4,0)</f>
        <v>0.63</v>
      </c>
      <c r="BG18" s="23" t="n">
        <f aca="false">IF(BG4&lt;&gt;0,BG6/BG4,0)</f>
        <v>0.63</v>
      </c>
      <c r="BH18" s="23" t="n">
        <f aca="false">IF(BH4&lt;&gt;0,BH6/BH4,0)</f>
        <v>0.63</v>
      </c>
      <c r="BI18" s="23" t="n">
        <f aca="false">IF(BI4&lt;&gt;0,BI6/BI4,0)</f>
        <v>0.63</v>
      </c>
      <c r="BJ18" s="23" t="n">
        <f aca="false">IF(BJ4&lt;&gt;0,BJ6/BJ4,0)</f>
        <v>0.63</v>
      </c>
      <c r="BK18" s="23" t="n">
        <f aca="false">IF(BK4&lt;&gt;0,BK6/BK4,0)</f>
        <v>0.63</v>
      </c>
      <c r="BL18" s="23" t="n">
        <f aca="false">IF(BL4&lt;&gt;0,BL6/BL4,0)</f>
        <v>0.63</v>
      </c>
      <c r="BM18" s="23" t="n">
        <f aca="false">IF(BM4&lt;&gt;0,BM6/BM4,0)</f>
        <v>0.63</v>
      </c>
      <c r="BN18" s="23" t="n">
        <f aca="false">IF(BN4&lt;&gt;0,BN6/BN4,0)</f>
        <v>0.63</v>
      </c>
      <c r="BO18" s="23" t="n">
        <f aca="false">IF(BO4&lt;&gt;0,BO6/BO4,0)</f>
        <v>0.63</v>
      </c>
      <c r="BP18" s="23" t="n">
        <f aca="false">IF(BP4&lt;&gt;0,BP6/BP4,0)</f>
        <v>0.63</v>
      </c>
      <c r="BQ18" s="23" t="n">
        <f aca="false">IF(BQ4&lt;&gt;0,BQ6/BQ4,0)</f>
        <v>0.63</v>
      </c>
      <c r="BR18" s="23" t="n">
        <f aca="false">IF(BR4&lt;&gt;0,BR6/BR4,0)</f>
        <v>0.63</v>
      </c>
      <c r="BS18" s="23" t="n">
        <f aca="false">IF(BS4&lt;&gt;0,BS6/BS4,0)</f>
        <v>0.63</v>
      </c>
      <c r="BT18" s="23" t="n">
        <f aca="false">IF(BT4&lt;&gt;0,BT6/BT4,0)</f>
        <v>0.63</v>
      </c>
      <c r="BU18" s="23" t="n">
        <f aca="false">IF(BU4&lt;&gt;0,BU6/BU4,0)</f>
        <v>0.63</v>
      </c>
      <c r="BV18" s="23" t="n">
        <f aca="false">IF(BV4&lt;&gt;0,BV6/BV4,0)</f>
        <v>0.63</v>
      </c>
      <c r="BW18" s="23" t="n">
        <f aca="false">IF(BW4&lt;&gt;0,BW6/BW4,0)</f>
        <v>0.63</v>
      </c>
      <c r="BX18" s="23" t="n">
        <f aca="false">IF(BX4&lt;&gt;0,BX6/BX4,0)</f>
        <v>0.63</v>
      </c>
      <c r="BY18" s="23" t="n">
        <f aca="false">IF(BY4&lt;&gt;0,BY6/BY4,0)</f>
        <v>0.63</v>
      </c>
      <c r="BZ18" s="23" t="n">
        <f aca="false">IF(BZ4&lt;&gt;0,BZ6/BZ4,0)</f>
        <v>0.63</v>
      </c>
      <c r="CA18" s="23" t="n">
        <f aca="false">IF(CA4&lt;&gt;0,CA6/CA4,0)</f>
        <v>0.63</v>
      </c>
      <c r="CB18" s="23" t="n">
        <f aca="false">IF(CB4&lt;&gt;0,CB6/CB4,0)</f>
        <v>0.63</v>
      </c>
      <c r="CC18" s="23" t="n">
        <f aca="false">IF(CC4&lt;&gt;0,CC6/CC4,0)</f>
        <v>0.63</v>
      </c>
      <c r="CD18" s="23" t="n">
        <f aca="false">IF(CD4&lt;&gt;0,CD6/CD4,0)</f>
        <v>0.63</v>
      </c>
      <c r="CE18" s="23" t="n">
        <f aca="false">IF(CE4&lt;&gt;0,CE6/CE4,0)</f>
        <v>0.63</v>
      </c>
      <c r="CF18" s="23" t="n">
        <f aca="false">IF(CF4&lt;&gt;0,CF6/CF4,0)</f>
        <v>0.63</v>
      </c>
      <c r="CG18" s="23" t="n">
        <f aca="false">IF(CG4&lt;&gt;0,CG6/CG4,0)</f>
        <v>0.63</v>
      </c>
      <c r="CH18" s="23" t="n">
        <f aca="false">IF(CH4&lt;&gt;0,CH6/CH4,0)</f>
        <v>0.63</v>
      </c>
      <c r="CI18" s="23" t="n">
        <f aca="false">IF(CI4&lt;&gt;0,CI6/CI4,0)</f>
        <v>0.63</v>
      </c>
      <c r="CJ18" s="23" t="n">
        <f aca="false">IF(CJ4&lt;&gt;0,CJ6/CJ4,0)</f>
        <v>0.63</v>
      </c>
      <c r="CK18" s="23" t="n">
        <f aca="false">IF(CK4&lt;&gt;0,CK6/CK4,0)</f>
        <v>0.63</v>
      </c>
      <c r="CL18" s="23" t="n">
        <f aca="false">IF(CL4&lt;&gt;0,CL6/CL4,0)</f>
        <v>0.63</v>
      </c>
      <c r="CM18" s="23" t="n">
        <f aca="false">IF(CM4&lt;&gt;0,CM6/CM4,0)</f>
        <v>0.63</v>
      </c>
      <c r="CN18" s="23" t="n">
        <f aca="false">IF(CN4&lt;&gt;0,CN6/CN4,0)</f>
        <v>0.63</v>
      </c>
      <c r="CO18" s="23" t="n">
        <f aca="false">IF(CO4&lt;&gt;0,CO6/CO4,0)</f>
        <v>0.63</v>
      </c>
      <c r="CP18" s="23" t="n">
        <f aca="false">IF(CP4&lt;&gt;0,CP6/CP4,0)</f>
        <v>0.63</v>
      </c>
      <c r="CQ18" s="23" t="n">
        <f aca="false">IF(CQ4&lt;&gt;0,CQ6/CQ4,0)</f>
        <v>0.63</v>
      </c>
      <c r="CR18" s="23" t="n">
        <f aca="false">IF(CR4&lt;&gt;0,CR6/CR4,0)</f>
        <v>0.63</v>
      </c>
      <c r="CS18" s="23" t="n">
        <f aca="false">IF(CS4&lt;&gt;0,CS6/CS4,0)</f>
        <v>0.63</v>
      </c>
      <c r="CT18" s="23" t="n">
        <f aca="false">IF(CT4&lt;&gt;0,CT6/CT4,0)</f>
        <v>0.63</v>
      </c>
      <c r="CU18" s="23" t="n">
        <f aca="false">IF(CU4&lt;&gt;0,CU6/CU4,0)</f>
        <v>0.63</v>
      </c>
      <c r="CV18" s="23" t="n">
        <f aca="false">IF(CV4&lt;&gt;0,CV6/CV4,0)</f>
        <v>0.63</v>
      </c>
      <c r="CW18" s="23" t="n">
        <f aca="false">IF(CW4&lt;&gt;0,CW6/CW4,0)</f>
        <v>0.63</v>
      </c>
      <c r="CX18" s="23" t="n">
        <f aca="false">IF(CX4&lt;&gt;0,CX6/CX4,0)</f>
        <v>0.63</v>
      </c>
      <c r="CY18" s="23" t="n">
        <f aca="false">IF(CY4&lt;&gt;0,CY6/CY4,0)</f>
        <v>0.63</v>
      </c>
      <c r="CZ18" s="23" t="n">
        <f aca="false">IF(CZ4&lt;&gt;0,CZ6/CZ4,0)</f>
        <v>0.63</v>
      </c>
      <c r="DA18" s="23" t="n">
        <f aca="false">IF(DA4&lt;&gt;0,DA6/DA4,0)</f>
        <v>0.63</v>
      </c>
      <c r="DB18" s="23" t="n">
        <f aca="false">IF(DB4&lt;&gt;0,DB6/DB4,0)</f>
        <v>0.63</v>
      </c>
      <c r="DC18" s="23" t="n">
        <f aca="false">IF(DC4&lt;&gt;0,DC6/DC4,0)</f>
        <v>0.63</v>
      </c>
      <c r="DD18" s="23" t="n">
        <f aca="false">IF(DD4&lt;&gt;0,DD6/DD4,0)</f>
        <v>0.63</v>
      </c>
      <c r="DE18" s="23" t="n">
        <f aca="false">IF(DE4&lt;&gt;0,DE6/DE4,0)</f>
        <v>0.63</v>
      </c>
      <c r="DF18" s="23" t="n">
        <f aca="false">IF(DF4&lt;&gt;0,DF6/DF4,0)</f>
        <v>0.63</v>
      </c>
      <c r="DG18" s="23" t="n">
        <f aca="false">IF(DG4&lt;&gt;0,DG6/DG4,0)</f>
        <v>0.63</v>
      </c>
      <c r="DH18" s="23" t="n">
        <f aca="false">IF(DH4&lt;&gt;0,DH6/DH4,0)</f>
        <v>0.63</v>
      </c>
      <c r="DI18" s="23" t="n">
        <f aca="false">IF(DI4&lt;&gt;0,DI6/DI4,0)</f>
        <v>0.63</v>
      </c>
      <c r="DJ18" s="23" t="n">
        <f aca="false">IF(DJ4&lt;&gt;0,DJ6/DJ4,0)</f>
        <v>0.63</v>
      </c>
      <c r="DK18" s="23" t="n">
        <f aca="false">IF(DK4&lt;&gt;0,DK6/DK4,0)</f>
        <v>0.63</v>
      </c>
      <c r="DL18" s="23" t="n">
        <f aca="false">IF(DL4&lt;&gt;0,DL6/DL4,0)</f>
        <v>0.63</v>
      </c>
      <c r="DM18" s="23" t="n">
        <f aca="false">IF(DM4&lt;&gt;0,DM6/DM4,0)</f>
        <v>0.63</v>
      </c>
      <c r="DN18" s="23" t="n">
        <f aca="false">IF(DN4&lt;&gt;0,DN6/DN4,0)</f>
        <v>0.63</v>
      </c>
      <c r="DO18" s="23" t="n">
        <f aca="false">IF(DO4&lt;&gt;0,DO6/DO4,0)</f>
        <v>0.63</v>
      </c>
      <c r="DP18" s="23" t="n">
        <f aca="false">IF(DP4&lt;&gt;0,DP6/DP4,0)</f>
        <v>0.63</v>
      </c>
      <c r="DQ18" s="23" t="n">
        <f aca="false">IF(DQ4&lt;&gt;0,DQ6/DQ4,0)</f>
        <v>0.63</v>
      </c>
      <c r="DR18" s="23" t="n">
        <f aca="false">IF(DR4&lt;&gt;0,DR6/DR4,0)</f>
        <v>0.63</v>
      </c>
      <c r="DS18" s="23" t="n">
        <f aca="false">IF(DS4&lt;&gt;0,DS6/DS4,0)</f>
        <v>0.63</v>
      </c>
      <c r="DT18" s="23" t="n">
        <f aca="false">IF(DT4&lt;&gt;0,DT6/DT4,0)</f>
        <v>0.63</v>
      </c>
      <c r="DU18" s="23" t="n">
        <f aca="false">IF(DU4&lt;&gt;0,DU6/DU4,0)</f>
        <v>0.63</v>
      </c>
      <c r="DV18" s="23" t="n">
        <f aca="false">IF(DV4&lt;&gt;0,DV6/DV4,0)</f>
        <v>0.63</v>
      </c>
      <c r="DW18" s="23" t="n">
        <f aca="false">IF(DW4&lt;&gt;0,DW6/DW4,0)</f>
        <v>0.63</v>
      </c>
      <c r="DX18" s="23" t="n">
        <f aca="false">IF(DX4&lt;&gt;0,DX6/DX4,0)</f>
        <v>0.63</v>
      </c>
      <c r="DY18" s="23" t="n">
        <f aca="false">IF(DY4&lt;&gt;0,DY6/DY4,0)</f>
        <v>0.63</v>
      </c>
      <c r="DZ18" s="23" t="n">
        <f aca="false">IF(DZ4&lt;&gt;0,DZ6/DZ4,0)</f>
        <v>0.63</v>
      </c>
      <c r="EA18" s="23" t="n">
        <f aca="false">IF(EA4&lt;&gt;0,EA6/EA4,0)</f>
        <v>0.63</v>
      </c>
      <c r="EB18" s="23" t="n">
        <f aca="false">IF(EB4&lt;&gt;0,EB6/EB4,0)</f>
        <v>0.63</v>
      </c>
      <c r="EC18" s="23" t="n">
        <f aca="false">IF(EC4&lt;&gt;0,EC6/EC4,0)</f>
        <v>0.63</v>
      </c>
      <c r="ED18" s="23" t="n">
        <f aca="false">IF(ED4&lt;&gt;0,ED6/ED4,0)</f>
        <v>0.63</v>
      </c>
      <c r="EE18" s="23" t="n">
        <f aca="false">IF(EE4&lt;&gt;0,EE6/EE4,0)</f>
        <v>0.63</v>
      </c>
      <c r="EF18" s="23" t="n">
        <f aca="false">IF(EF4&lt;&gt;0,EF6/EF4,0)</f>
        <v>0.63</v>
      </c>
      <c r="EG18" s="23" t="n">
        <f aca="false">IF(EG4&lt;&gt;0,EG6/EG4,0)</f>
        <v>0.63</v>
      </c>
      <c r="EH18" s="23" t="n">
        <f aca="false">IF(EH4&lt;&gt;0,EH6/EH4,0)</f>
        <v>0.63</v>
      </c>
      <c r="EI18" s="23" t="n">
        <f aca="false">IF(EI4&lt;&gt;0,EI6/EI4,0)</f>
        <v>0.63</v>
      </c>
      <c r="EJ18" s="23" t="n">
        <f aca="false">IF(EJ4&lt;&gt;0,EJ6/EJ4,0)</f>
        <v>0.63</v>
      </c>
      <c r="EK18" s="23" t="n">
        <f aca="false">IF(EK4&lt;&gt;0,EK6/EK4,0)</f>
        <v>0.63</v>
      </c>
      <c r="EL18" s="23" t="n">
        <f aca="false">IF(EL4&lt;&gt;0,EL6/EL4,0)</f>
        <v>0.63</v>
      </c>
      <c r="EM18" s="23" t="n">
        <f aca="false">IF(EM4&lt;&gt;0,EM6/EM4,0)</f>
        <v>0.63</v>
      </c>
      <c r="EN18" s="23" t="n">
        <f aca="false">IF(EN4&lt;&gt;0,EN6/EN4,0)</f>
        <v>0.63</v>
      </c>
      <c r="EO18" s="23" t="n">
        <f aca="false">IF(EO4&lt;&gt;0,EO6/EO4,0)</f>
        <v>0.63</v>
      </c>
      <c r="EP18" s="23" t="n">
        <f aca="false">IF(EP4&lt;&gt;0,EP6/EP4,0)</f>
        <v>0.63</v>
      </c>
      <c r="EQ18" s="23" t="n">
        <f aca="false">IF(EQ4&lt;&gt;0,EQ6/EQ4,0)</f>
        <v>0.63</v>
      </c>
      <c r="ER18" s="23" t="n">
        <f aca="false">IF(ER4&lt;&gt;0,ER6/ER4,0)</f>
        <v>0.63</v>
      </c>
      <c r="ES18" s="23" t="n">
        <f aca="false">IF(ES4&lt;&gt;0,ES6/ES4,0)</f>
        <v>0.63</v>
      </c>
      <c r="ET18" s="23" t="n">
        <f aca="false">IF(ET4&lt;&gt;0,ET6/ET4,0)</f>
        <v>0.63</v>
      </c>
      <c r="EU18" s="23" t="n">
        <f aca="false">IF(EU4&lt;&gt;0,EU6/EU4,0)</f>
        <v>0.63</v>
      </c>
      <c r="EV18" s="23" t="n">
        <f aca="false">IF(EV4&lt;&gt;0,EV6/EV4,0)</f>
        <v>0.63</v>
      </c>
      <c r="EW18" s="23" t="n">
        <f aca="false">IF(EW4&lt;&gt;0,EW6/EW4,0)</f>
        <v>0.63</v>
      </c>
      <c r="EX18" s="23" t="n">
        <f aca="false">IF(EX4&lt;&gt;0,EX6/EX4,0)</f>
        <v>0.63</v>
      </c>
      <c r="EY18" s="23" t="n">
        <f aca="false">IF(EY4&lt;&gt;0,EY6/EY4,0)</f>
        <v>0.63</v>
      </c>
      <c r="EZ18" s="23" t="n">
        <f aca="false">IF(EZ4&lt;&gt;0,EZ6/EZ4,0)</f>
        <v>0.63</v>
      </c>
      <c r="FA18" s="23" t="n">
        <f aca="false">IF(FA4&lt;&gt;0,FA6/FA4,0)</f>
        <v>0.63</v>
      </c>
      <c r="FB18" s="23" t="n">
        <f aca="false">IF(FB4&lt;&gt;0,FB6/FB4,0)</f>
        <v>0.63</v>
      </c>
      <c r="FC18" s="23" t="n">
        <f aca="false">IF(FC4&lt;&gt;0,FC6/FC4,0)</f>
        <v>0.63</v>
      </c>
      <c r="FD18" s="23" t="n">
        <f aca="false">IF(FD4&lt;&gt;0,FD6/FD4,0)</f>
        <v>0.63</v>
      </c>
      <c r="FE18" s="23" t="n">
        <f aca="false">IF(FE4&lt;&gt;0,FE6/FE4,0)</f>
        <v>0.63</v>
      </c>
      <c r="FF18" s="23" t="n">
        <f aca="false">IF(FF4&lt;&gt;0,FF6/FF4,0)</f>
        <v>0.63</v>
      </c>
      <c r="FG18" s="23" t="n">
        <f aca="false">IF(FG4&lt;&gt;0,FG6/FG4,0)</f>
        <v>0.63</v>
      </c>
      <c r="FH18" s="23" t="n">
        <f aca="false">IF(FH4&lt;&gt;0,FH6/FH4,0)</f>
        <v>0.63</v>
      </c>
      <c r="FI18" s="23" t="n">
        <f aca="false">IF(FI4&lt;&gt;0,FI6/FI4,0)</f>
        <v>0.63</v>
      </c>
      <c r="FJ18" s="23" t="n">
        <f aca="false">IF(FJ4&lt;&gt;0,FJ6/FJ4,0)</f>
        <v>0.63</v>
      </c>
      <c r="FK18" s="23" t="n">
        <f aca="false">IF(FK4&lt;&gt;0,FK6/FK4,0)</f>
        <v>0.63</v>
      </c>
      <c r="FL18" s="23" t="n">
        <f aca="false">IF(FL4&lt;&gt;0,FL6/FL4,0)</f>
        <v>0.63</v>
      </c>
      <c r="FM18" s="23" t="n">
        <f aca="false">IF(FM4&lt;&gt;0,FM6/FM4,0)</f>
        <v>0.63</v>
      </c>
      <c r="FN18" s="23" t="n">
        <f aca="false">IF(FN4&lt;&gt;0,FN6/FN4,0)</f>
        <v>0.63</v>
      </c>
      <c r="FO18" s="23" t="n">
        <f aca="false">IF(FO4&lt;&gt;0,FO6/FO4,0)</f>
        <v>0.63</v>
      </c>
      <c r="FP18" s="23" t="n">
        <f aca="false">IF(FP4&lt;&gt;0,FP6/FP4,0)</f>
        <v>0.63</v>
      </c>
      <c r="FQ18" s="23" t="n">
        <f aca="false">IF(FQ4&lt;&gt;0,FQ6/FQ4,0)</f>
        <v>0.63</v>
      </c>
      <c r="FR18" s="23" t="n">
        <f aca="false">IF(FR4&lt;&gt;0,FR6/FR4,0)</f>
        <v>0.63</v>
      </c>
      <c r="FS18" s="23" t="n">
        <f aca="false">IF(FS4&lt;&gt;0,FS6/FS4,0)</f>
        <v>0.63</v>
      </c>
      <c r="FT18" s="23" t="n">
        <f aca="false">IF(FT4&lt;&gt;0,FT6/FT4,0)</f>
        <v>0.63</v>
      </c>
      <c r="FU18" s="23" t="n">
        <f aca="false">IF(FU4&lt;&gt;0,FU6/FU4,0)</f>
        <v>0.63</v>
      </c>
      <c r="FV18" s="23" t="n">
        <f aca="false">IF(FV4&lt;&gt;0,FV6/FV4,0)</f>
        <v>0.63</v>
      </c>
      <c r="FW18" s="23" t="n">
        <f aca="false">IF(FW4&lt;&gt;0,FW6/FW4,0)</f>
        <v>0.63</v>
      </c>
      <c r="FX18" s="23" t="n">
        <f aca="false">IF(FX4&lt;&gt;0,FX6/FX4,0)</f>
        <v>0.63</v>
      </c>
      <c r="FY18" s="23" t="n">
        <f aca="false">IF(FY4&lt;&gt;0,FY6/FY4,0)</f>
        <v>0.63</v>
      </c>
      <c r="FZ18" s="23" t="n">
        <f aca="false">IF(FZ4&lt;&gt;0,FZ6/FZ4,0)</f>
        <v>0.63</v>
      </c>
      <c r="GA18" s="23" t="n">
        <f aca="false">IF(GA4&lt;&gt;0,GA6/GA4,0)</f>
        <v>0.63</v>
      </c>
      <c r="GB18" s="23" t="n">
        <f aca="false">IF(GB4&lt;&gt;0,GB6/GB4,0)</f>
        <v>0.63</v>
      </c>
      <c r="GC18" s="23" t="n">
        <f aca="false">IF(GC4&lt;&gt;0,GC6/GC4,0)</f>
        <v>0.63</v>
      </c>
      <c r="GD18" s="23" t="n">
        <f aca="false">IF(GD4&lt;&gt;0,GD6/GD4,0)</f>
        <v>0.63</v>
      </c>
      <c r="GE18" s="23" t="n">
        <f aca="false">IF(GE4&lt;&gt;0,GE6/GE4,0)</f>
        <v>0.63</v>
      </c>
      <c r="GF18" s="23" t="n">
        <f aca="false">IF(GF4&lt;&gt;0,GF6/GF4,0)</f>
        <v>0.63</v>
      </c>
      <c r="GG18" s="23" t="n">
        <f aca="false">IF(GG4&lt;&gt;0,GG6/GG4,0)</f>
        <v>0.63</v>
      </c>
      <c r="GH18" s="23" t="n">
        <f aca="false">IF(GH4&lt;&gt;0,GH6/GH4,0)</f>
        <v>0.63</v>
      </c>
      <c r="GI18" s="23" t="n">
        <f aca="false">IF(GI4&lt;&gt;0,GI6/GI4,0)</f>
        <v>0.63</v>
      </c>
      <c r="GJ18" s="23" t="n">
        <f aca="false">IF(GJ4&lt;&gt;0,GJ6/GJ4,0)</f>
        <v>0.63</v>
      </c>
      <c r="GK18" s="23" t="n">
        <f aca="false">IF(GK4&lt;&gt;0,GK6/GK4,0)</f>
        <v>0.63</v>
      </c>
      <c r="GL18" s="23" t="n">
        <f aca="false">IF(GL4&lt;&gt;0,GL6/GL4,0)</f>
        <v>0.63</v>
      </c>
      <c r="GM18" s="23" t="n">
        <f aca="false">IF(GM4&lt;&gt;0,GM6/GM4,0)</f>
        <v>0.63</v>
      </c>
      <c r="GN18" s="23" t="n">
        <f aca="false">IF(GN4&lt;&gt;0,GN6/GN4,0)</f>
        <v>0.63</v>
      </c>
      <c r="GO18" s="23" t="n">
        <f aca="false">IF(GO4&lt;&gt;0,GO6/GO4,0)</f>
        <v>0.63</v>
      </c>
      <c r="GP18" s="23" t="n">
        <f aca="false">IF(GP4&lt;&gt;0,GP6/GP4,0)</f>
        <v>0.63</v>
      </c>
      <c r="GQ18" s="23" t="n">
        <f aca="false">IF(GQ4&lt;&gt;0,GQ6/GQ4,0)</f>
        <v>0.63</v>
      </c>
      <c r="GR18" s="23" t="n">
        <f aca="false">IF(GR4&lt;&gt;0,GR6/GR4,0)</f>
        <v>0.63</v>
      </c>
      <c r="GS18" s="23" t="n">
        <f aca="false">IF(GS4&lt;&gt;0,GS6/GS4,0)</f>
        <v>0.63</v>
      </c>
      <c r="GT18" s="23" t="n">
        <f aca="false">IF(GT4&lt;&gt;0,GT6/GT4,0)</f>
        <v>0.63</v>
      </c>
      <c r="GU18" s="23" t="n">
        <f aca="false">IF(GU4&lt;&gt;0,GU6/GU4,0)</f>
        <v>0.63</v>
      </c>
      <c r="GV18" s="23" t="n">
        <f aca="false">IF(GV4&lt;&gt;0,GV6/GV4,0)</f>
        <v>0.63</v>
      </c>
      <c r="GW18" s="23" t="n">
        <f aca="false">IF(GW4&lt;&gt;0,GW6/GW4,0)</f>
        <v>0.63</v>
      </c>
      <c r="GX18" s="23" t="n">
        <f aca="false">IF(GX4&lt;&gt;0,GX6/GX4,0)</f>
        <v>0.63</v>
      </c>
      <c r="GY18" s="23" t="n">
        <f aca="false">IF(GY4&lt;&gt;0,GY6/GY4,0)</f>
        <v>0.63</v>
      </c>
      <c r="GZ18" s="23" t="n">
        <f aca="false">IF(GZ4&lt;&gt;0,GZ6/GZ4,0)</f>
        <v>0.63</v>
      </c>
      <c r="HA18" s="23" t="n">
        <f aca="false">IF(HA4&lt;&gt;0,HA6/HA4,0)</f>
        <v>0.63</v>
      </c>
      <c r="HB18" s="23" t="n">
        <f aca="false">IF(HB4&lt;&gt;0,HB6/HB4,0)</f>
        <v>0.63</v>
      </c>
      <c r="HC18" s="23" t="n">
        <f aca="false">IF(HC4&lt;&gt;0,HC6/HC4,0)</f>
        <v>0.63</v>
      </c>
      <c r="HD18" s="23" t="n">
        <f aca="false">IF(HD4&lt;&gt;0,HD6/HD4,0)</f>
        <v>0.63</v>
      </c>
      <c r="HE18" s="23" t="n">
        <f aca="false">IF(HE4&lt;&gt;0,HE6/HE4,0)</f>
        <v>0.63</v>
      </c>
      <c r="HF18" s="23" t="n">
        <f aca="false">IF(HF4&lt;&gt;0,HF6/HF4,0)</f>
        <v>0.63</v>
      </c>
      <c r="HG18" s="23" t="n">
        <f aca="false">IF(HG4&lt;&gt;0,HG6/HG4,0)</f>
        <v>0.63</v>
      </c>
      <c r="HH18" s="23" t="n">
        <f aca="false">IF(HH4&lt;&gt;0,HH6/HH4,0)</f>
        <v>0.63</v>
      </c>
      <c r="HI18" s="23" t="n">
        <f aca="false">IF(HI4&lt;&gt;0,HI6/HI4,0)</f>
        <v>0.63</v>
      </c>
      <c r="HJ18" s="23" t="n">
        <f aca="false">IF(HJ4&lt;&gt;0,HJ6/HJ4,0)</f>
        <v>0.63</v>
      </c>
      <c r="HK18" s="23" t="n">
        <f aca="false">IF(HK4&lt;&gt;0,HK6/HK4,0)</f>
        <v>0.63</v>
      </c>
      <c r="HL18" s="23" t="n">
        <f aca="false">IF(HL4&lt;&gt;0,HL6/HL4,0)</f>
        <v>0.63</v>
      </c>
      <c r="HM18" s="23" t="n">
        <f aca="false">IF(HM4&lt;&gt;0,HM6/HM4,0)</f>
        <v>0.63</v>
      </c>
      <c r="HN18" s="23" t="n">
        <f aca="false">IF(HN4&lt;&gt;0,HN6/HN4,0)</f>
        <v>0.63</v>
      </c>
      <c r="HO18" s="23" t="n">
        <f aca="false">IF(HO4&lt;&gt;0,HO6/HO4,0)</f>
        <v>0.63</v>
      </c>
      <c r="HP18" s="23" t="n">
        <f aca="false">IF(HP4&lt;&gt;0,HP6/HP4,0)</f>
        <v>0.63</v>
      </c>
      <c r="HQ18" s="23" t="n">
        <f aca="false">IF(HQ4&lt;&gt;0,HQ6/HQ4,0)</f>
        <v>0.63</v>
      </c>
      <c r="HR18" s="23" t="n">
        <f aca="false">IF(HR4&lt;&gt;0,HR6/HR4,0)</f>
        <v>0.63</v>
      </c>
      <c r="HS18" s="23" t="n">
        <f aca="false">IF(HS4&lt;&gt;0,HS6/HS4,0)</f>
        <v>0.63</v>
      </c>
      <c r="HT18" s="23" t="n">
        <f aca="false">IF(HT4&lt;&gt;0,HT6/HT4,0)</f>
        <v>0.63</v>
      </c>
      <c r="HU18" s="23" t="n">
        <f aca="false">IF(HU4&lt;&gt;0,HU6/HU4,0)</f>
        <v>0.63</v>
      </c>
      <c r="HV18" s="23" t="n">
        <f aca="false">IF(HV4&lt;&gt;0,HV6/HV4,0)</f>
        <v>0.63</v>
      </c>
      <c r="HW18" s="23" t="n">
        <f aca="false">IF(HW4&lt;&gt;0,HW6/HW4,0)</f>
        <v>0.63</v>
      </c>
      <c r="HX18" s="23" t="n">
        <f aca="false">IF(HX4&lt;&gt;0,HX6/HX4,0)</f>
        <v>0.63</v>
      </c>
      <c r="HY18" s="23" t="n">
        <f aca="false">IF(HY4&lt;&gt;0,HY6/HY4,0)</f>
        <v>0.63</v>
      </c>
      <c r="HZ18" s="23" t="n">
        <f aca="false">IF(HZ4&lt;&gt;0,HZ6/HZ4,0)</f>
        <v>0.63</v>
      </c>
      <c r="IA18" s="23" t="n">
        <f aca="false">IF(IA4&lt;&gt;0,IA6/IA4,0)</f>
        <v>0.63</v>
      </c>
      <c r="IB18" s="23" t="n">
        <f aca="false">IF(IB4&lt;&gt;0,IB6/IB4,0)</f>
        <v>0.63</v>
      </c>
      <c r="IC18" s="23" t="n">
        <f aca="false">IF(IC4&lt;&gt;0,IC6/IC4,0)</f>
        <v>0.63</v>
      </c>
      <c r="ID18" s="23" t="n">
        <f aca="false">IF(ID4&lt;&gt;0,ID6/ID4,0)</f>
        <v>0.63</v>
      </c>
      <c r="IE18" s="23" t="n">
        <f aca="false">IF(IE4&lt;&gt;0,IE6/IE4,0)</f>
        <v>0.63</v>
      </c>
      <c r="IF18" s="23" t="n">
        <f aca="false">IF(IF4&lt;&gt;0,IF6/IF4,0)</f>
        <v>0.63</v>
      </c>
      <c r="IG18" s="23" t="n">
        <f aca="false">IF(IG4&lt;&gt;0,IG6/IG4,0)</f>
        <v>0.63</v>
      </c>
      <c r="IH18" s="23" t="n">
        <f aca="false">IF(IH4&lt;&gt;0,IH6/IH4,0)</f>
        <v>0.63</v>
      </c>
      <c r="II18" s="23" t="n">
        <f aca="false">IF(II4&lt;&gt;0,II6/II4,0)</f>
        <v>0.63</v>
      </c>
      <c r="IJ18" s="23" t="n">
        <f aca="false">IF(IJ4&lt;&gt;0,IJ6/IJ4,0)</f>
        <v>0.63</v>
      </c>
      <c r="IK18" s="23" t="n">
        <f aca="false">IF(IK4&lt;&gt;0,IK6/IK4,0)</f>
        <v>0.63</v>
      </c>
      <c r="IL18" s="23" t="n">
        <f aca="false">IF(IL4&lt;&gt;0,IL6/IL4,0)</f>
        <v>0.63</v>
      </c>
      <c r="IM18" s="23" t="n">
        <f aca="false">IF(IM4&lt;&gt;0,IM6/IM4,0)</f>
        <v>0.63</v>
      </c>
      <c r="IN18" s="23" t="n">
        <f aca="false">IF(IN4&lt;&gt;0,IN6/IN4,0)</f>
        <v>0.63</v>
      </c>
      <c r="IO18" s="23" t="n">
        <f aca="false">IF(IO4&lt;&gt;0,IO6/IO4,0)</f>
        <v>0.63</v>
      </c>
      <c r="IP18" s="23" t="n">
        <f aca="false">IF(IP4&lt;&gt;0,IP6/IP4,0)</f>
        <v>0.63</v>
      </c>
      <c r="IQ18" s="23" t="n">
        <f aca="false">IF(IQ4&lt;&gt;0,IQ6/IQ4,0)</f>
        <v>0.63</v>
      </c>
      <c r="IR18" s="23" t="n">
        <f aca="false">IF(IR4&lt;&gt;0,IR6/IR4,0)</f>
        <v>0.63</v>
      </c>
      <c r="IS18" s="23" t="n">
        <f aca="false">IF(IS4&lt;&gt;0,IS6/IS4,0)</f>
        <v>0.63</v>
      </c>
      <c r="IT18" s="23" t="n">
        <f aca="false">IF(IT4&lt;&gt;0,IT6/IT4,0)</f>
        <v>0.63</v>
      </c>
      <c r="IU18" s="23" t="n">
        <f aca="false">IF(IU4&lt;&gt;0,IU6/IU4,0)</f>
        <v>0.63</v>
      </c>
      <c r="IV18" s="23" t="n">
        <f aca="false">IF(IV4&lt;&gt;0,IV6/IV4,0)</f>
        <v>0.63</v>
      </c>
      <c r="IW18" s="23" t="n">
        <f aca="false">IF(IW4&lt;&gt;0,IW6/IW4,0)</f>
        <v>0.63</v>
      </c>
      <c r="IX18" s="23" t="n">
        <f aca="false">IF(IX4&lt;&gt;0,IX6/IX4,0)</f>
        <v>0.63</v>
      </c>
      <c r="IY18" s="23" t="n">
        <f aca="false">IF(IY4&lt;&gt;0,IY6/IY4,0)</f>
        <v>0.63</v>
      </c>
      <c r="IZ18" s="23" t="n">
        <f aca="false">IF(IZ4&lt;&gt;0,IZ6/IZ4,0)</f>
        <v>0.63</v>
      </c>
      <c r="JA18" s="23" t="n">
        <f aca="false">IF(JA4&lt;&gt;0,JA6/JA4,0)</f>
        <v>0.63</v>
      </c>
      <c r="JB18" s="23" t="n">
        <f aca="false">IF(JB4&lt;&gt;0,JB6/JB4,0)</f>
        <v>0.63</v>
      </c>
      <c r="JC18" s="23" t="n">
        <f aca="false">IF(JC4&lt;&gt;0,JC6/JC4,0)</f>
        <v>0.63</v>
      </c>
      <c r="JD18" s="23" t="n">
        <f aca="false">IF(JD4&lt;&gt;0,JD6/JD4,0)</f>
        <v>0.63</v>
      </c>
      <c r="JE18" s="23" t="n">
        <f aca="false">IF(JE4&lt;&gt;0,JE6/JE4,0)</f>
        <v>0.63</v>
      </c>
      <c r="JF18" s="23" t="n">
        <f aca="false">IF(JF4&lt;&gt;0,JF6/JF4,0)</f>
        <v>0.63</v>
      </c>
      <c r="JG18" s="23" t="n">
        <f aca="false">IF(JG4&lt;&gt;0,JG6/JG4,0)</f>
        <v>0.63</v>
      </c>
      <c r="JH18" s="23" t="n">
        <f aca="false">IF(JH4&lt;&gt;0,JH6/JH4,0)</f>
        <v>0.63</v>
      </c>
      <c r="JI18" s="23" t="n">
        <f aca="false">IF(JI4&lt;&gt;0,JI6/JI4,0)</f>
        <v>0.63</v>
      </c>
      <c r="JJ18" s="23" t="n">
        <f aca="false">IF(JJ4&lt;&gt;0,JJ6/JJ4,0)</f>
        <v>0.63</v>
      </c>
      <c r="JK18" s="23" t="n">
        <f aca="false">IF(JK4&lt;&gt;0,JK6/JK4,0)</f>
        <v>0.63</v>
      </c>
      <c r="JL18" s="23" t="n">
        <f aca="false">IF(JL4&lt;&gt;0,JL6/JL4,0)</f>
        <v>0.63</v>
      </c>
      <c r="JM18" s="23" t="n">
        <f aca="false">IF(JM4&lt;&gt;0,JM6/JM4,0)</f>
        <v>0.63</v>
      </c>
      <c r="JN18" s="23" t="n">
        <f aca="false">IF(JN4&lt;&gt;0,JN6/JN4,0)</f>
        <v>0.63</v>
      </c>
      <c r="JO18" s="23" t="n">
        <f aca="false">IF(JO4&lt;&gt;0,JO6/JO4,0)</f>
        <v>0.63</v>
      </c>
      <c r="JP18" s="23" t="n">
        <f aca="false">IF(JP4&lt;&gt;0,JP6/JP4,0)</f>
        <v>0.63</v>
      </c>
      <c r="JQ18" s="23" t="n">
        <f aca="false">IF(JQ4&lt;&gt;0,JQ6/JQ4,0)</f>
        <v>0.63</v>
      </c>
      <c r="JR18" s="23" t="n">
        <f aca="false">IF(JR4&lt;&gt;0,JR6/JR4,0)</f>
        <v>0.63</v>
      </c>
      <c r="JS18" s="23" t="n">
        <f aca="false">IF(JS4&lt;&gt;0,JS6/JS4,0)</f>
        <v>0.63</v>
      </c>
      <c r="JT18" s="23" t="n">
        <f aca="false">IF(JT4&lt;&gt;0,JT6/JT4,0)</f>
        <v>0.63</v>
      </c>
      <c r="JU18" s="23" t="n">
        <f aca="false">IF(JU4&lt;&gt;0,JU6/JU4,0)</f>
        <v>0.63</v>
      </c>
      <c r="JV18" s="23" t="n">
        <f aca="false">IF(JV4&lt;&gt;0,JV6/JV4,0)</f>
        <v>0.63</v>
      </c>
      <c r="JW18" s="23" t="n">
        <f aca="false">IF(JW4&lt;&gt;0,JW6/JW4,0)</f>
        <v>0.63</v>
      </c>
      <c r="JX18" s="23" t="n">
        <f aca="false">IF(JX4&lt;&gt;0,JX6/JX4,0)</f>
        <v>0.63</v>
      </c>
      <c r="JY18" s="23" t="n">
        <f aca="false">IF(JY4&lt;&gt;0,JY6/JY4,0)</f>
        <v>0.63</v>
      </c>
      <c r="JZ18" s="23" t="n">
        <f aca="false">IF(JZ4&lt;&gt;0,JZ6/JZ4,0)</f>
        <v>0.63</v>
      </c>
      <c r="KA18" s="23" t="n">
        <f aca="false">IF(KA4&lt;&gt;0,KA6/KA4,0)</f>
        <v>0.63</v>
      </c>
      <c r="KB18" s="23" t="n">
        <f aca="false">IF(KB4&lt;&gt;0,KB6/KB4,0)</f>
        <v>0.63</v>
      </c>
      <c r="KC18" s="23" t="n">
        <f aca="false">IF(KC4&lt;&gt;0,KC6/KC4,0)</f>
        <v>0.63</v>
      </c>
      <c r="KD18" s="23" t="n">
        <f aca="false">IF(KD4&lt;&gt;0,KD6/KD4,0)</f>
        <v>0.63</v>
      </c>
      <c r="KE18" s="23" t="n">
        <f aca="false">IF(KE4&lt;&gt;0,KE6/KE4,0)</f>
        <v>0.63</v>
      </c>
      <c r="KF18" s="23" t="n">
        <f aca="false">IF(KF4&lt;&gt;0,KF6/KF4,0)</f>
        <v>0.63</v>
      </c>
      <c r="KG18" s="23" t="n">
        <f aca="false">IF(KG4&lt;&gt;0,KG6/KG4,0)</f>
        <v>0.63</v>
      </c>
      <c r="KH18" s="23" t="n">
        <f aca="false">IF(KH4&lt;&gt;0,KH6/KH4,0)</f>
        <v>0.63</v>
      </c>
      <c r="KI18" s="23" t="n">
        <f aca="false">IF(KI4&lt;&gt;0,KI6/KI4,0)</f>
        <v>0.63</v>
      </c>
      <c r="KJ18" s="23" t="n">
        <f aca="false">IF(KJ4&lt;&gt;0,KJ6/KJ4,0)</f>
        <v>0.63</v>
      </c>
      <c r="KK18" s="23" t="n">
        <f aca="false">IF(KK4&lt;&gt;0,KK6/KK4,0)</f>
        <v>0.63</v>
      </c>
      <c r="KL18" s="23" t="n">
        <f aca="false">IF(KL4&lt;&gt;0,KL6/KL4,0)</f>
        <v>0.63</v>
      </c>
      <c r="KM18" s="23" t="n">
        <f aca="false">IF(KM4&lt;&gt;0,KM6/KM4,0)</f>
        <v>0.63</v>
      </c>
      <c r="KN18" s="23" t="n">
        <f aca="false">IF(KN4&lt;&gt;0,KN6/KN4,0)</f>
        <v>0.63</v>
      </c>
      <c r="KO18" s="23" t="n">
        <f aca="false">IF(KO4&lt;&gt;0,KO6/KO4,0)</f>
        <v>0.63</v>
      </c>
    </row>
    <row r="19" customFormat="false" ht="14.25" hidden="false" customHeight="false" outlineLevel="0" collapsed="false">
      <c r="A19" s="0" t="s">
        <v>406</v>
      </c>
      <c r="B19" s="23" t="n">
        <f aca="false">IF(B4&lt;&gt;0,B9/B4,0)</f>
        <v>-0.0148598130841121</v>
      </c>
      <c r="C19" s="23" t="n">
        <f aca="false">IF(C4&lt;&gt;0,C9/C4,0)</f>
        <v>-0.0148598130841121</v>
      </c>
      <c r="D19" s="23" t="n">
        <f aca="false">IF(D4&lt;&gt;0,D9/D4,0)</f>
        <v>-0.0148598130841121</v>
      </c>
      <c r="E19" s="23" t="n">
        <f aca="false">IF(E4&lt;&gt;0,E9/E4,0)</f>
        <v>-0.0148598130841121</v>
      </c>
      <c r="F19" s="23" t="n">
        <f aca="false">IF(F4&lt;&gt;0,F9/F4,0)</f>
        <v>-0.0148598130841121</v>
      </c>
      <c r="G19" s="23" t="n">
        <f aca="false">IF(G4&lt;&gt;0,G9/G4,0)</f>
        <v>-0.0148598130841121</v>
      </c>
      <c r="H19" s="23" t="n">
        <f aca="false">IF(H4&lt;&gt;0,H9/H4,0)</f>
        <v>-0.0148598130841121</v>
      </c>
      <c r="I19" s="23" t="n">
        <f aca="false">IF(I4&lt;&gt;0,I9/I4,0)</f>
        <v>-0.0148598130841121</v>
      </c>
      <c r="J19" s="23" t="n">
        <f aca="false">IF(J4&lt;&gt;0,J9/J4,0)</f>
        <v>-0.0148598130841121</v>
      </c>
      <c r="K19" s="23" t="n">
        <f aca="false">IF(K4&lt;&gt;0,K9/K4,0)</f>
        <v>-0.0148598130841121</v>
      </c>
      <c r="L19" s="23" t="n">
        <f aca="false">IF(L4&lt;&gt;0,L9/L4,0)</f>
        <v>-0.0148598130841121</v>
      </c>
      <c r="M19" s="23" t="n">
        <f aca="false">IF(M4&lt;&gt;0,M9/M4,0)</f>
        <v>-0.0148598130841121</v>
      </c>
      <c r="N19" s="23" t="n">
        <f aca="false">IF(N4&lt;&gt;0,N9/N4,0)</f>
        <v>0.027327277491484</v>
      </c>
      <c r="O19" s="23" t="n">
        <f aca="false">IF(O4&lt;&gt;0,O9/O4,0)</f>
        <v>0.027327277491484</v>
      </c>
      <c r="P19" s="23" t="n">
        <f aca="false">IF(P4&lt;&gt;0,P9/P4,0)</f>
        <v>0.027327277491484</v>
      </c>
      <c r="Q19" s="23" t="n">
        <f aca="false">IF(Q4&lt;&gt;0,Q9/Q4,0)</f>
        <v>0.027327277491484</v>
      </c>
      <c r="R19" s="23" t="n">
        <f aca="false">IF(R4&lt;&gt;0,R9/R4,0)</f>
        <v>0.027327277491484</v>
      </c>
      <c r="S19" s="23" t="n">
        <f aca="false">IF(S4&lt;&gt;0,S9/S4,0)</f>
        <v>0.027327277491484</v>
      </c>
      <c r="T19" s="23" t="n">
        <f aca="false">IF(T4&lt;&gt;0,T9/T4,0)</f>
        <v>0.027327277491484</v>
      </c>
      <c r="U19" s="23" t="n">
        <f aca="false">IF(U4&lt;&gt;0,U9/U4,0)</f>
        <v>0.027327277491484</v>
      </c>
      <c r="V19" s="23" t="n">
        <f aca="false">IF(V4&lt;&gt;0,V9/V4,0)</f>
        <v>0.027327277491484</v>
      </c>
      <c r="W19" s="23" t="n">
        <f aca="false">IF(W4&lt;&gt;0,W9/W4,0)</f>
        <v>0.027327277491484</v>
      </c>
      <c r="X19" s="23" t="n">
        <f aca="false">IF(X4&lt;&gt;0,X9/X4,0)</f>
        <v>0.027327277491484</v>
      </c>
      <c r="Y19" s="23" t="n">
        <f aca="false">IF(Y4&lt;&gt;0,Y9/Y4,0)</f>
        <v>0.027327277491484</v>
      </c>
      <c r="Z19" s="23" t="n">
        <f aca="false">IF(Z4&lt;&gt;0,Z9/Z4,0)</f>
        <v>0.0667544649453122</v>
      </c>
      <c r="AA19" s="23" t="n">
        <f aca="false">IF(AA4&lt;&gt;0,AA9/AA4,0)</f>
        <v>0.0667544649453122</v>
      </c>
      <c r="AB19" s="23" t="n">
        <f aca="false">IF(AB4&lt;&gt;0,AB9/AB4,0)</f>
        <v>0.0667544649453122</v>
      </c>
      <c r="AC19" s="23" t="n">
        <f aca="false">IF(AC4&lt;&gt;0,AC9/AC4,0)</f>
        <v>0.0667544649453122</v>
      </c>
      <c r="AD19" s="23" t="n">
        <f aca="false">IF(AD4&lt;&gt;0,AD9/AD4,0)</f>
        <v>0.0667544649453122</v>
      </c>
      <c r="AE19" s="23" t="n">
        <f aca="false">IF(AE4&lt;&gt;0,AE9/AE4,0)</f>
        <v>0.0667544649453122</v>
      </c>
      <c r="AF19" s="23" t="n">
        <f aca="false">IF(AF4&lt;&gt;0,AF9/AF4,0)</f>
        <v>0.0667544649453122</v>
      </c>
      <c r="AG19" s="23" t="n">
        <f aca="false">IF(AG4&lt;&gt;0,AG9/AG4,0)</f>
        <v>0.0667544649453122</v>
      </c>
      <c r="AH19" s="23" t="n">
        <f aca="false">IF(AH4&lt;&gt;0,AH9/AH4,0)</f>
        <v>0.0667544649453122</v>
      </c>
      <c r="AI19" s="23" t="n">
        <f aca="false">IF(AI4&lt;&gt;0,AI9/AI4,0)</f>
        <v>0.0667544649453122</v>
      </c>
      <c r="AJ19" s="23" t="n">
        <f aca="false">IF(AJ4&lt;&gt;0,AJ9/AJ4,0)</f>
        <v>0.0667544649453122</v>
      </c>
      <c r="AK19" s="23" t="n">
        <f aca="false">IF(AK4&lt;&gt;0,AK9/AK4,0)</f>
        <v>0.0667544649453122</v>
      </c>
      <c r="AL19" s="23" t="n">
        <f aca="false">IF(AL4&lt;&gt;0,AL9/AL4,0)</f>
        <v>0.103602303687208</v>
      </c>
      <c r="AM19" s="23" t="n">
        <f aca="false">IF(AM4&lt;&gt;0,AM9/AM4,0)</f>
        <v>0.103602303687208</v>
      </c>
      <c r="AN19" s="23" t="n">
        <f aca="false">IF(AN4&lt;&gt;0,AN9/AN4,0)</f>
        <v>0.103602303687208</v>
      </c>
      <c r="AO19" s="23" t="n">
        <f aca="false">IF(AO4&lt;&gt;0,AO9/AO4,0)</f>
        <v>0.103602303687208</v>
      </c>
      <c r="AP19" s="23" t="n">
        <f aca="false">IF(AP4&lt;&gt;0,AP9/AP4,0)</f>
        <v>0.103602303687208</v>
      </c>
      <c r="AQ19" s="23" t="n">
        <f aca="false">IF(AQ4&lt;&gt;0,AQ9/AQ4,0)</f>
        <v>0.103602303687208</v>
      </c>
      <c r="AR19" s="23" t="n">
        <f aca="false">IF(AR4&lt;&gt;0,AR9/AR4,0)</f>
        <v>0.103602303687208</v>
      </c>
      <c r="AS19" s="23" t="n">
        <f aca="false">IF(AS4&lt;&gt;0,AS9/AS4,0)</f>
        <v>0.103602303687208</v>
      </c>
      <c r="AT19" s="23" t="n">
        <f aca="false">IF(AT4&lt;&gt;0,AT9/AT4,0)</f>
        <v>0.103602303687208</v>
      </c>
      <c r="AU19" s="23" t="n">
        <f aca="false">IF(AU4&lt;&gt;0,AU9/AU4,0)</f>
        <v>0.103602303687208</v>
      </c>
      <c r="AV19" s="23" t="n">
        <f aca="false">IF(AV4&lt;&gt;0,AV9/AV4,0)</f>
        <v>0.103602303687208</v>
      </c>
      <c r="AW19" s="23" t="n">
        <f aca="false">IF(AW4&lt;&gt;0,AW9/AW4,0)</f>
        <v>0.103602303687208</v>
      </c>
      <c r="AX19" s="23" t="n">
        <f aca="false">IF(AX4&lt;&gt;0,AX9/AX4,0)</f>
        <v>0.138039536156269</v>
      </c>
      <c r="AY19" s="23" t="n">
        <f aca="false">IF(AY4&lt;&gt;0,AY9/AY4,0)</f>
        <v>0.138039536156269</v>
      </c>
      <c r="AZ19" s="23" t="n">
        <f aca="false">IF(AZ4&lt;&gt;0,AZ9/AZ4,0)</f>
        <v>0.138039536156269</v>
      </c>
      <c r="BA19" s="23" t="n">
        <f aca="false">IF(BA4&lt;&gt;0,BA9/BA4,0)</f>
        <v>0.138039536156269</v>
      </c>
      <c r="BB19" s="23" t="n">
        <f aca="false">IF(BB4&lt;&gt;0,BB9/BB4,0)</f>
        <v>0.138039536156269</v>
      </c>
      <c r="BC19" s="23" t="n">
        <f aca="false">IF(BC4&lt;&gt;0,BC9/BC4,0)</f>
        <v>0.138039536156269</v>
      </c>
      <c r="BD19" s="23" t="n">
        <f aca="false">IF(BD4&lt;&gt;0,BD9/BD4,0)</f>
        <v>0.138039536156269</v>
      </c>
      <c r="BE19" s="23" t="n">
        <f aca="false">IF(BE4&lt;&gt;0,BE9/BE4,0)</f>
        <v>0.138039536156269</v>
      </c>
      <c r="BF19" s="23" t="n">
        <f aca="false">IF(BF4&lt;&gt;0,BF9/BF4,0)</f>
        <v>0.138039536156269</v>
      </c>
      <c r="BG19" s="23" t="n">
        <f aca="false">IF(BG4&lt;&gt;0,BG9/BG4,0)</f>
        <v>0.138039536156269</v>
      </c>
      <c r="BH19" s="23" t="n">
        <f aca="false">IF(BH4&lt;&gt;0,BH9/BH4,0)</f>
        <v>0.138039536156269</v>
      </c>
      <c r="BI19" s="23" t="n">
        <f aca="false">IF(BI4&lt;&gt;0,BI9/BI4,0)</f>
        <v>0.138039536156269</v>
      </c>
      <c r="BJ19" s="23" t="n">
        <f aca="false">IF(BJ4&lt;&gt;0,BJ9/BJ4,0)</f>
        <v>0.170223865566606</v>
      </c>
      <c r="BK19" s="23" t="n">
        <f aca="false">IF(BK4&lt;&gt;0,BK9/BK4,0)</f>
        <v>0.170223865566606</v>
      </c>
      <c r="BL19" s="23" t="n">
        <f aca="false">IF(BL4&lt;&gt;0,BL9/BL4,0)</f>
        <v>0.170223865566606</v>
      </c>
      <c r="BM19" s="23" t="n">
        <f aca="false">IF(BM4&lt;&gt;0,BM9/BM4,0)</f>
        <v>0.170223865566606</v>
      </c>
      <c r="BN19" s="23" t="n">
        <f aca="false">IF(BN4&lt;&gt;0,BN9/BN4,0)</f>
        <v>0.170223865566606</v>
      </c>
      <c r="BO19" s="23" t="n">
        <f aca="false">IF(BO4&lt;&gt;0,BO9/BO4,0)</f>
        <v>0.170223865566606</v>
      </c>
      <c r="BP19" s="23" t="n">
        <f aca="false">IF(BP4&lt;&gt;0,BP9/BP4,0)</f>
        <v>0.170223865566606</v>
      </c>
      <c r="BQ19" s="23" t="n">
        <f aca="false">IF(BQ4&lt;&gt;0,BQ9/BQ4,0)</f>
        <v>0.170223865566606</v>
      </c>
      <c r="BR19" s="23" t="n">
        <f aca="false">IF(BR4&lt;&gt;0,BR9/BR4,0)</f>
        <v>0.170223865566606</v>
      </c>
      <c r="BS19" s="23" t="n">
        <f aca="false">IF(BS4&lt;&gt;0,BS9/BS4,0)</f>
        <v>0.170223865566606</v>
      </c>
      <c r="BT19" s="23" t="n">
        <f aca="false">IF(BT4&lt;&gt;0,BT9/BT4,0)</f>
        <v>0.170223865566606</v>
      </c>
      <c r="BU19" s="23" t="n">
        <f aca="false">IF(BU4&lt;&gt;0,BU9/BU4,0)</f>
        <v>0.170223865566606</v>
      </c>
      <c r="BV19" s="23" t="n">
        <f aca="false">IF(BV4&lt;&gt;0,BV9/BV4,0)</f>
        <v>0.200302678099632</v>
      </c>
      <c r="BW19" s="23" t="n">
        <f aca="false">IF(BW4&lt;&gt;0,BW9/BW4,0)</f>
        <v>0.200302678099632</v>
      </c>
      <c r="BX19" s="23" t="n">
        <f aca="false">IF(BX4&lt;&gt;0,BX9/BX4,0)</f>
        <v>0.200302678099632</v>
      </c>
      <c r="BY19" s="23" t="n">
        <f aca="false">IF(BY4&lt;&gt;0,BY9/BY4,0)</f>
        <v>0.200302678099632</v>
      </c>
      <c r="BZ19" s="23" t="n">
        <f aca="false">IF(BZ4&lt;&gt;0,BZ9/BZ4,0)</f>
        <v>0.200302678099632</v>
      </c>
      <c r="CA19" s="23" t="n">
        <f aca="false">IF(CA4&lt;&gt;0,CA9/CA4,0)</f>
        <v>0.200302678099632</v>
      </c>
      <c r="CB19" s="23" t="n">
        <f aca="false">IF(CB4&lt;&gt;0,CB9/CB4,0)</f>
        <v>0.200302678099632</v>
      </c>
      <c r="CC19" s="23" t="n">
        <f aca="false">IF(CC4&lt;&gt;0,CC9/CC4,0)</f>
        <v>0.200302678099632</v>
      </c>
      <c r="CD19" s="23" t="n">
        <f aca="false">IF(CD4&lt;&gt;0,CD9/CD4,0)</f>
        <v>0.200302678099632</v>
      </c>
      <c r="CE19" s="23" t="n">
        <f aca="false">IF(CE4&lt;&gt;0,CE9/CE4,0)</f>
        <v>0.200302678099632</v>
      </c>
      <c r="CF19" s="23" t="n">
        <f aca="false">IF(CF4&lt;&gt;0,CF9/CF4,0)</f>
        <v>0.200302678099632</v>
      </c>
      <c r="CG19" s="23" t="n">
        <f aca="false">IF(CG4&lt;&gt;0,CG9/CG4,0)</f>
        <v>0.200302678099632</v>
      </c>
      <c r="CH19" s="23" t="n">
        <f aca="false">IF(CH4&lt;&gt;0,CH9/CH4,0)</f>
        <v>0.228413717850124</v>
      </c>
      <c r="CI19" s="23" t="n">
        <f aca="false">IF(CI4&lt;&gt;0,CI9/CI4,0)</f>
        <v>0.228413717850124</v>
      </c>
      <c r="CJ19" s="23" t="n">
        <f aca="false">IF(CJ4&lt;&gt;0,CJ9/CJ4,0)</f>
        <v>0.228413717850124</v>
      </c>
      <c r="CK19" s="23" t="n">
        <f aca="false">IF(CK4&lt;&gt;0,CK9/CK4,0)</f>
        <v>0.228413717850124</v>
      </c>
      <c r="CL19" s="23" t="n">
        <f aca="false">IF(CL4&lt;&gt;0,CL9/CL4,0)</f>
        <v>0.228413717850124</v>
      </c>
      <c r="CM19" s="23" t="n">
        <f aca="false">IF(CM4&lt;&gt;0,CM9/CM4,0)</f>
        <v>0.228413717850124</v>
      </c>
      <c r="CN19" s="23" t="n">
        <f aca="false">IF(CN4&lt;&gt;0,CN9/CN4,0)</f>
        <v>0.228413717850124</v>
      </c>
      <c r="CO19" s="23" t="n">
        <f aca="false">IF(CO4&lt;&gt;0,CO9/CO4,0)</f>
        <v>0.228413717850124</v>
      </c>
      <c r="CP19" s="23" t="n">
        <f aca="false">IF(CP4&lt;&gt;0,CP9/CP4,0)</f>
        <v>0.228413717850124</v>
      </c>
      <c r="CQ19" s="23" t="n">
        <f aca="false">IF(CQ4&lt;&gt;0,CQ9/CQ4,0)</f>
        <v>0.228413717850124</v>
      </c>
      <c r="CR19" s="23" t="n">
        <f aca="false">IF(CR4&lt;&gt;0,CR9/CR4,0)</f>
        <v>0.228413717850124</v>
      </c>
      <c r="CS19" s="23" t="n">
        <f aca="false">IF(CS4&lt;&gt;0,CS9/CS4,0)</f>
        <v>0.228413717850124</v>
      </c>
      <c r="CT19" s="23" t="n">
        <f aca="false">IF(CT4&lt;&gt;0,CT9/CT4,0)</f>
        <v>0.254685717616938</v>
      </c>
      <c r="CU19" s="23" t="n">
        <f aca="false">IF(CU4&lt;&gt;0,CU9/CU4,0)</f>
        <v>0.254685717616938</v>
      </c>
      <c r="CV19" s="23" t="n">
        <f aca="false">IF(CV4&lt;&gt;0,CV9/CV4,0)</f>
        <v>0.254685717616938</v>
      </c>
      <c r="CW19" s="23" t="n">
        <f aca="false">IF(CW4&lt;&gt;0,CW9/CW4,0)</f>
        <v>0.254685717616938</v>
      </c>
      <c r="CX19" s="23" t="n">
        <f aca="false">IF(CX4&lt;&gt;0,CX9/CX4,0)</f>
        <v>0.254685717616938</v>
      </c>
      <c r="CY19" s="23" t="n">
        <f aca="false">IF(CY4&lt;&gt;0,CY9/CY4,0)</f>
        <v>0.254685717616938</v>
      </c>
      <c r="CZ19" s="23" t="n">
        <f aca="false">IF(CZ4&lt;&gt;0,CZ9/CZ4,0)</f>
        <v>0.254685717616938</v>
      </c>
      <c r="DA19" s="23" t="n">
        <f aca="false">IF(DA4&lt;&gt;0,DA9/DA4,0)</f>
        <v>0.254685717616938</v>
      </c>
      <c r="DB19" s="23" t="n">
        <f aca="false">IF(DB4&lt;&gt;0,DB9/DB4,0)</f>
        <v>0.254685717616938</v>
      </c>
      <c r="DC19" s="23" t="n">
        <f aca="false">IF(DC4&lt;&gt;0,DC9/DC4,0)</f>
        <v>0.254685717616938</v>
      </c>
      <c r="DD19" s="23" t="n">
        <f aca="false">IF(DD4&lt;&gt;0,DD9/DD4,0)</f>
        <v>0.254685717616938</v>
      </c>
      <c r="DE19" s="23" t="n">
        <f aca="false">IF(DE4&lt;&gt;0,DE9/DE4,0)</f>
        <v>0.254685717616938</v>
      </c>
      <c r="DF19" s="23" t="n">
        <f aca="false">IF(DF4&lt;&gt;0,DF9/DF4,0)</f>
        <v>0.279238988427045</v>
      </c>
      <c r="DG19" s="23" t="n">
        <f aca="false">IF(DG4&lt;&gt;0,DG9/DG4,0)</f>
        <v>0.279238988427045</v>
      </c>
      <c r="DH19" s="23" t="n">
        <f aca="false">IF(DH4&lt;&gt;0,DH9/DH4,0)</f>
        <v>0.279238988427045</v>
      </c>
      <c r="DI19" s="23" t="n">
        <f aca="false">IF(DI4&lt;&gt;0,DI9/DI4,0)</f>
        <v>0.279238988427045</v>
      </c>
      <c r="DJ19" s="23" t="n">
        <f aca="false">IF(DJ4&lt;&gt;0,DJ9/DJ4,0)</f>
        <v>0.279238988427045</v>
      </c>
      <c r="DK19" s="23" t="n">
        <f aca="false">IF(DK4&lt;&gt;0,DK9/DK4,0)</f>
        <v>0.279238988427045</v>
      </c>
      <c r="DL19" s="23" t="n">
        <f aca="false">IF(DL4&lt;&gt;0,DL9/DL4,0)</f>
        <v>0.279238988427045</v>
      </c>
      <c r="DM19" s="23" t="n">
        <f aca="false">IF(DM4&lt;&gt;0,DM9/DM4,0)</f>
        <v>0.279238988427045</v>
      </c>
      <c r="DN19" s="23" t="n">
        <f aca="false">IF(DN4&lt;&gt;0,DN9/DN4,0)</f>
        <v>0.279238988427045</v>
      </c>
      <c r="DO19" s="23" t="n">
        <f aca="false">IF(DO4&lt;&gt;0,DO9/DO4,0)</f>
        <v>0.279238988427045</v>
      </c>
      <c r="DP19" s="23" t="n">
        <f aca="false">IF(DP4&lt;&gt;0,DP9/DP4,0)</f>
        <v>0.279238988427045</v>
      </c>
      <c r="DQ19" s="23" t="n">
        <f aca="false">IF(DQ4&lt;&gt;0,DQ9/DQ4,0)</f>
        <v>0.279238988427045</v>
      </c>
      <c r="DR19" s="23" t="n">
        <f aca="false">IF(DR4&lt;&gt;0,DR9/DR4,0)</f>
        <v>0.302185970492565</v>
      </c>
      <c r="DS19" s="23" t="n">
        <f aca="false">IF(DS4&lt;&gt;0,DS9/DS4,0)</f>
        <v>0.302185970492565</v>
      </c>
      <c r="DT19" s="23" t="n">
        <f aca="false">IF(DT4&lt;&gt;0,DT9/DT4,0)</f>
        <v>0.302185970492565</v>
      </c>
      <c r="DU19" s="23" t="n">
        <f aca="false">IF(DU4&lt;&gt;0,DU9/DU4,0)</f>
        <v>0.302185970492565</v>
      </c>
      <c r="DV19" s="23" t="n">
        <f aca="false">IF(DV4&lt;&gt;0,DV9/DV4,0)</f>
        <v>0.302185970492565</v>
      </c>
      <c r="DW19" s="23" t="n">
        <f aca="false">IF(DW4&lt;&gt;0,DW9/DW4,0)</f>
        <v>0.302185970492565</v>
      </c>
      <c r="DX19" s="23" t="n">
        <f aca="false">IF(DX4&lt;&gt;0,DX9/DX4,0)</f>
        <v>0.302185970492565</v>
      </c>
      <c r="DY19" s="23" t="n">
        <f aca="false">IF(DY4&lt;&gt;0,DY9/DY4,0)</f>
        <v>0.302185970492565</v>
      </c>
      <c r="DZ19" s="23" t="n">
        <f aca="false">IF(DZ4&lt;&gt;0,DZ9/DZ4,0)</f>
        <v>0.302185970492565</v>
      </c>
      <c r="EA19" s="23" t="n">
        <f aca="false">IF(EA4&lt;&gt;0,EA9/EA4,0)</f>
        <v>0.302185970492565</v>
      </c>
      <c r="EB19" s="23" t="n">
        <f aca="false">IF(EB4&lt;&gt;0,EB9/EB4,0)</f>
        <v>0.302185970492565</v>
      </c>
      <c r="EC19" s="23" t="n">
        <f aca="false">IF(EC4&lt;&gt;0,EC9/EC4,0)</f>
        <v>0.302185970492565</v>
      </c>
      <c r="ED19" s="23" t="n">
        <f aca="false">IF(ED4&lt;&gt;0,ED9/ED4,0)</f>
        <v>0.323631748123893</v>
      </c>
      <c r="EE19" s="23" t="n">
        <f aca="false">IF(EE4&lt;&gt;0,EE9/EE4,0)</f>
        <v>0.323631748123893</v>
      </c>
      <c r="EF19" s="23" t="n">
        <f aca="false">IF(EF4&lt;&gt;0,EF9/EF4,0)</f>
        <v>0.323631748123893</v>
      </c>
      <c r="EG19" s="23" t="n">
        <f aca="false">IF(EG4&lt;&gt;0,EG9/EG4,0)</f>
        <v>0.323631748123893</v>
      </c>
      <c r="EH19" s="23" t="n">
        <f aca="false">IF(EH4&lt;&gt;0,EH9/EH4,0)</f>
        <v>0.323631748123893</v>
      </c>
      <c r="EI19" s="23" t="n">
        <f aca="false">IF(EI4&lt;&gt;0,EI9/EI4,0)</f>
        <v>0.323631748123893</v>
      </c>
      <c r="EJ19" s="23" t="n">
        <f aca="false">IF(EJ4&lt;&gt;0,EJ9/EJ4,0)</f>
        <v>0.323631748123893</v>
      </c>
      <c r="EK19" s="23" t="n">
        <f aca="false">IF(EK4&lt;&gt;0,EK9/EK4,0)</f>
        <v>0.323631748123893</v>
      </c>
      <c r="EL19" s="23" t="n">
        <f aca="false">IF(EL4&lt;&gt;0,EL9/EL4,0)</f>
        <v>0.323631748123893</v>
      </c>
      <c r="EM19" s="23" t="n">
        <f aca="false">IF(EM4&lt;&gt;0,EM9/EM4,0)</f>
        <v>0.323631748123893</v>
      </c>
      <c r="EN19" s="23" t="n">
        <f aca="false">IF(EN4&lt;&gt;0,EN9/EN4,0)</f>
        <v>0.323631748123893</v>
      </c>
      <c r="EO19" s="23" t="n">
        <f aca="false">IF(EO4&lt;&gt;0,EO9/EO4,0)</f>
        <v>0.323631748123893</v>
      </c>
      <c r="EP19" s="23" t="n">
        <f aca="false">IF(EP4&lt;&gt;0,EP9/EP4,0)</f>
        <v>0.343674530956909</v>
      </c>
      <c r="EQ19" s="23" t="n">
        <f aca="false">IF(EQ4&lt;&gt;0,EQ9/EQ4,0)</f>
        <v>0.343674530956909</v>
      </c>
      <c r="ER19" s="23" t="n">
        <f aca="false">IF(ER4&lt;&gt;0,ER9/ER4,0)</f>
        <v>0.343674530956909</v>
      </c>
      <c r="ES19" s="23" t="n">
        <f aca="false">IF(ES4&lt;&gt;0,ES9/ES4,0)</f>
        <v>0.343674530956909</v>
      </c>
      <c r="ET19" s="23" t="n">
        <f aca="false">IF(ET4&lt;&gt;0,ET9/ET4,0)</f>
        <v>0.343674530956909</v>
      </c>
      <c r="EU19" s="23" t="n">
        <f aca="false">IF(EU4&lt;&gt;0,EU9/EU4,0)</f>
        <v>0.343674530956909</v>
      </c>
      <c r="EV19" s="23" t="n">
        <f aca="false">IF(EV4&lt;&gt;0,EV9/EV4,0)</f>
        <v>0.343674530956909</v>
      </c>
      <c r="EW19" s="23" t="n">
        <f aca="false">IF(EW4&lt;&gt;0,EW9/EW4,0)</f>
        <v>0.343674530956909</v>
      </c>
      <c r="EX19" s="23" t="n">
        <f aca="false">IF(EX4&lt;&gt;0,EX9/EX4,0)</f>
        <v>0.343674530956909</v>
      </c>
      <c r="EY19" s="23" t="n">
        <f aca="false">IF(EY4&lt;&gt;0,EY9/EY4,0)</f>
        <v>0.343674530956909</v>
      </c>
      <c r="EZ19" s="23" t="n">
        <f aca="false">IF(EZ4&lt;&gt;0,EZ9/EZ4,0)</f>
        <v>0.343674530956909</v>
      </c>
      <c r="FA19" s="23" t="n">
        <f aca="false">IF(FA4&lt;&gt;0,FA9/FA4,0)</f>
        <v>0.343674530956909</v>
      </c>
      <c r="FB19" s="23" t="n">
        <f aca="false">IF(FB4&lt;&gt;0,FB9/FB4,0)</f>
        <v>0.362406103698046</v>
      </c>
      <c r="FC19" s="23" t="n">
        <f aca="false">IF(FC4&lt;&gt;0,FC9/FC4,0)</f>
        <v>0.362406103698046</v>
      </c>
      <c r="FD19" s="23" t="n">
        <f aca="false">IF(FD4&lt;&gt;0,FD9/FD4,0)</f>
        <v>0.362406103698046</v>
      </c>
      <c r="FE19" s="23" t="n">
        <f aca="false">IF(FE4&lt;&gt;0,FE9/FE4,0)</f>
        <v>0.362406103698046</v>
      </c>
      <c r="FF19" s="23" t="n">
        <f aca="false">IF(FF4&lt;&gt;0,FF9/FF4,0)</f>
        <v>0.362406103698046</v>
      </c>
      <c r="FG19" s="23" t="n">
        <f aca="false">IF(FG4&lt;&gt;0,FG9/FG4,0)</f>
        <v>0.362406103698046</v>
      </c>
      <c r="FH19" s="23" t="n">
        <f aca="false">IF(FH4&lt;&gt;0,FH9/FH4,0)</f>
        <v>0.362406103698046</v>
      </c>
      <c r="FI19" s="23" t="n">
        <f aca="false">IF(FI4&lt;&gt;0,FI9/FI4,0)</f>
        <v>0.362406103698046</v>
      </c>
      <c r="FJ19" s="23" t="n">
        <f aca="false">IF(FJ4&lt;&gt;0,FJ9/FJ4,0)</f>
        <v>0.362406103698046</v>
      </c>
      <c r="FK19" s="23" t="n">
        <f aca="false">IF(FK4&lt;&gt;0,FK9/FK4,0)</f>
        <v>0.362406103698046</v>
      </c>
      <c r="FL19" s="23" t="n">
        <f aca="false">IF(FL4&lt;&gt;0,FL9/FL4,0)</f>
        <v>0.362406103698046</v>
      </c>
      <c r="FM19" s="23" t="n">
        <f aca="false">IF(FM4&lt;&gt;0,FM9/FM4,0)</f>
        <v>0.362406103698046</v>
      </c>
      <c r="FN19" s="23" t="n">
        <f aca="false">IF(FN4&lt;&gt;0,FN9/FN4,0)</f>
        <v>0.379912246446772</v>
      </c>
      <c r="FO19" s="23" t="n">
        <f aca="false">IF(FO4&lt;&gt;0,FO9/FO4,0)</f>
        <v>0.379912246446772</v>
      </c>
      <c r="FP19" s="23" t="n">
        <f aca="false">IF(FP4&lt;&gt;0,FP9/FP4,0)</f>
        <v>0.379912246446772</v>
      </c>
      <c r="FQ19" s="23" t="n">
        <f aca="false">IF(FQ4&lt;&gt;0,FQ9/FQ4,0)</f>
        <v>0.379912246446772</v>
      </c>
      <c r="FR19" s="23" t="n">
        <f aca="false">IF(FR4&lt;&gt;0,FR9/FR4,0)</f>
        <v>0.379912246446772</v>
      </c>
      <c r="FS19" s="23" t="n">
        <f aca="false">IF(FS4&lt;&gt;0,FS9/FS4,0)</f>
        <v>0.379912246446772</v>
      </c>
      <c r="FT19" s="23" t="n">
        <f aca="false">IF(FT4&lt;&gt;0,FT9/FT4,0)</f>
        <v>0.379912246446772</v>
      </c>
      <c r="FU19" s="23" t="n">
        <f aca="false">IF(FU4&lt;&gt;0,FU9/FU4,0)</f>
        <v>0.379912246446772</v>
      </c>
      <c r="FV19" s="23" t="n">
        <f aca="false">IF(FV4&lt;&gt;0,FV9/FV4,0)</f>
        <v>0.379912246446772</v>
      </c>
      <c r="FW19" s="23" t="n">
        <f aca="false">IF(FW4&lt;&gt;0,FW9/FW4,0)</f>
        <v>0.379912246446772</v>
      </c>
      <c r="FX19" s="23" t="n">
        <f aca="false">IF(FX4&lt;&gt;0,FX9/FX4,0)</f>
        <v>0.379912246446772</v>
      </c>
      <c r="FY19" s="23" t="n">
        <f aca="false">IF(FY4&lt;&gt;0,FY9/FY4,0)</f>
        <v>0.379912246446772</v>
      </c>
      <c r="FZ19" s="23" t="n">
        <f aca="false">IF(FZ4&lt;&gt;0,FZ9/FZ4,0)</f>
        <v>0.396273127520348</v>
      </c>
      <c r="GA19" s="23" t="n">
        <f aca="false">IF(GA4&lt;&gt;0,GA9/GA4,0)</f>
        <v>0.396273127520348</v>
      </c>
      <c r="GB19" s="23" t="n">
        <f aca="false">IF(GB4&lt;&gt;0,GB9/GB4,0)</f>
        <v>0.396273127520348</v>
      </c>
      <c r="GC19" s="23" t="n">
        <f aca="false">IF(GC4&lt;&gt;0,GC9/GC4,0)</f>
        <v>0.396273127520348</v>
      </c>
      <c r="GD19" s="23" t="n">
        <f aca="false">IF(GD4&lt;&gt;0,GD9/GD4,0)</f>
        <v>0.396273127520348</v>
      </c>
      <c r="GE19" s="23" t="n">
        <f aca="false">IF(GE4&lt;&gt;0,GE9/GE4,0)</f>
        <v>0.396273127520348</v>
      </c>
      <c r="GF19" s="23" t="n">
        <f aca="false">IF(GF4&lt;&gt;0,GF9/GF4,0)</f>
        <v>0.396273127520348</v>
      </c>
      <c r="GG19" s="23" t="n">
        <f aca="false">IF(GG4&lt;&gt;0,GG9/GG4,0)</f>
        <v>0.396273127520348</v>
      </c>
      <c r="GH19" s="23" t="n">
        <f aca="false">IF(GH4&lt;&gt;0,GH9/GH4,0)</f>
        <v>0.396273127520348</v>
      </c>
      <c r="GI19" s="23" t="n">
        <f aca="false">IF(GI4&lt;&gt;0,GI9/GI4,0)</f>
        <v>0.396273127520348</v>
      </c>
      <c r="GJ19" s="23" t="n">
        <f aca="false">IF(GJ4&lt;&gt;0,GJ9/GJ4,0)</f>
        <v>0.396273127520348</v>
      </c>
      <c r="GK19" s="23" t="n">
        <f aca="false">IF(GK4&lt;&gt;0,GK9/GK4,0)</f>
        <v>0.396273127520348</v>
      </c>
      <c r="GL19" s="23" t="n">
        <f aca="false">IF(GL4&lt;&gt;0,GL9/GL4,0)</f>
        <v>0.411563670579764</v>
      </c>
      <c r="GM19" s="23" t="n">
        <f aca="false">IF(GM4&lt;&gt;0,GM9/GM4,0)</f>
        <v>0.411563670579764</v>
      </c>
      <c r="GN19" s="23" t="n">
        <f aca="false">IF(GN4&lt;&gt;0,GN9/GN4,0)</f>
        <v>0.411563670579764</v>
      </c>
      <c r="GO19" s="23" t="n">
        <f aca="false">IF(GO4&lt;&gt;0,GO9/GO4,0)</f>
        <v>0.411563670579764</v>
      </c>
      <c r="GP19" s="23" t="n">
        <f aca="false">IF(GP4&lt;&gt;0,GP9/GP4,0)</f>
        <v>0.411563670579764</v>
      </c>
      <c r="GQ19" s="23" t="n">
        <f aca="false">IF(GQ4&lt;&gt;0,GQ9/GQ4,0)</f>
        <v>0.411563670579764</v>
      </c>
      <c r="GR19" s="23" t="n">
        <f aca="false">IF(GR4&lt;&gt;0,GR9/GR4,0)</f>
        <v>0.411563670579764</v>
      </c>
      <c r="GS19" s="23" t="n">
        <f aca="false">IF(GS4&lt;&gt;0,GS9/GS4,0)</f>
        <v>0.411563670579764</v>
      </c>
      <c r="GT19" s="23" t="n">
        <f aca="false">IF(GT4&lt;&gt;0,GT9/GT4,0)</f>
        <v>0.411563670579764</v>
      </c>
      <c r="GU19" s="23" t="n">
        <f aca="false">IF(GU4&lt;&gt;0,GU9/GU4,0)</f>
        <v>0.411563670579764</v>
      </c>
      <c r="GV19" s="23" t="n">
        <f aca="false">IF(GV4&lt;&gt;0,GV9/GV4,0)</f>
        <v>0.411563670579764</v>
      </c>
      <c r="GW19" s="23" t="n">
        <f aca="false">IF(GW4&lt;&gt;0,GW9/GW4,0)</f>
        <v>0.411563670579764</v>
      </c>
      <c r="GX19" s="23" t="n">
        <f aca="false">IF(GX4&lt;&gt;0,GX9/GX4,0)</f>
        <v>0.425853897738097</v>
      </c>
      <c r="GY19" s="23" t="n">
        <f aca="false">IF(GY4&lt;&gt;0,GY9/GY4,0)</f>
        <v>0.425853897738097</v>
      </c>
      <c r="GZ19" s="23" t="n">
        <f aca="false">IF(GZ4&lt;&gt;0,GZ9/GZ4,0)</f>
        <v>0.425853897738097</v>
      </c>
      <c r="HA19" s="23" t="n">
        <f aca="false">IF(HA4&lt;&gt;0,HA9/HA4,0)</f>
        <v>0.425853897738097</v>
      </c>
      <c r="HB19" s="23" t="n">
        <f aca="false">IF(HB4&lt;&gt;0,HB9/HB4,0)</f>
        <v>0.425853897738097</v>
      </c>
      <c r="HC19" s="23" t="n">
        <f aca="false">IF(HC4&lt;&gt;0,HC9/HC4,0)</f>
        <v>0.425853897738097</v>
      </c>
      <c r="HD19" s="23" t="n">
        <f aca="false">IF(HD4&lt;&gt;0,HD9/HD4,0)</f>
        <v>0.425853897738097</v>
      </c>
      <c r="HE19" s="23" t="n">
        <f aca="false">IF(HE4&lt;&gt;0,HE9/HE4,0)</f>
        <v>0.425853897738097</v>
      </c>
      <c r="HF19" s="23" t="n">
        <f aca="false">IF(HF4&lt;&gt;0,HF9/HF4,0)</f>
        <v>0.425853897738097</v>
      </c>
      <c r="HG19" s="23" t="n">
        <f aca="false">IF(HG4&lt;&gt;0,HG9/HG4,0)</f>
        <v>0.425853897738097</v>
      </c>
      <c r="HH19" s="23" t="n">
        <f aca="false">IF(HH4&lt;&gt;0,HH9/HH4,0)</f>
        <v>0.425853897738097</v>
      </c>
      <c r="HI19" s="23" t="n">
        <f aca="false">IF(HI4&lt;&gt;0,HI9/HI4,0)</f>
        <v>0.425853897738097</v>
      </c>
      <c r="HJ19" s="23" t="n">
        <f aca="false">IF(HJ4&lt;&gt;0,HJ9/HJ4,0)</f>
        <v>0.439209250222521</v>
      </c>
      <c r="HK19" s="23" t="n">
        <f aca="false">IF(HK4&lt;&gt;0,HK9/HK4,0)</f>
        <v>0.439209250222521</v>
      </c>
      <c r="HL19" s="23" t="n">
        <f aca="false">IF(HL4&lt;&gt;0,HL9/HL4,0)</f>
        <v>0.439209250222521</v>
      </c>
      <c r="HM19" s="23" t="n">
        <f aca="false">IF(HM4&lt;&gt;0,HM9/HM4,0)</f>
        <v>0.439209250222521</v>
      </c>
      <c r="HN19" s="23" t="n">
        <f aca="false">IF(HN4&lt;&gt;0,HN9/HN4,0)</f>
        <v>0.439209250222521</v>
      </c>
      <c r="HO19" s="23" t="n">
        <f aca="false">IF(HO4&lt;&gt;0,HO9/HO4,0)</f>
        <v>0.439209250222521</v>
      </c>
      <c r="HP19" s="23" t="n">
        <f aca="false">IF(HP4&lt;&gt;0,HP9/HP4,0)</f>
        <v>0.439209250222521</v>
      </c>
      <c r="HQ19" s="23" t="n">
        <f aca="false">IF(HQ4&lt;&gt;0,HQ9/HQ4,0)</f>
        <v>0.439209250222521</v>
      </c>
      <c r="HR19" s="23" t="n">
        <f aca="false">IF(HR4&lt;&gt;0,HR9/HR4,0)</f>
        <v>0.439209250222521</v>
      </c>
      <c r="HS19" s="23" t="n">
        <f aca="false">IF(HS4&lt;&gt;0,HS9/HS4,0)</f>
        <v>0.439209250222521</v>
      </c>
      <c r="HT19" s="23" t="n">
        <f aca="false">IF(HT4&lt;&gt;0,HT9/HT4,0)</f>
        <v>0.439209250222521</v>
      </c>
      <c r="HU19" s="23" t="n">
        <f aca="false">IF(HU4&lt;&gt;0,HU9/HU4,0)</f>
        <v>0.439209250222521</v>
      </c>
      <c r="HV19" s="23" t="n">
        <f aca="false">IF(HV4&lt;&gt;0,HV9/HV4,0)</f>
        <v>0.451690888058431</v>
      </c>
      <c r="HW19" s="23" t="n">
        <f aca="false">IF(HW4&lt;&gt;0,HW9/HW4,0)</f>
        <v>0.451690888058431</v>
      </c>
      <c r="HX19" s="23" t="n">
        <f aca="false">IF(HX4&lt;&gt;0,HX9/HX4,0)</f>
        <v>0.451690888058431</v>
      </c>
      <c r="HY19" s="23" t="n">
        <f aca="false">IF(HY4&lt;&gt;0,HY9/HY4,0)</f>
        <v>0.451690888058431</v>
      </c>
      <c r="HZ19" s="23" t="n">
        <f aca="false">IF(HZ4&lt;&gt;0,HZ9/HZ4,0)</f>
        <v>0.451690888058431</v>
      </c>
      <c r="IA19" s="23" t="n">
        <f aca="false">IF(IA4&lt;&gt;0,IA9/IA4,0)</f>
        <v>0.451690888058431</v>
      </c>
      <c r="IB19" s="23" t="n">
        <f aca="false">IF(IB4&lt;&gt;0,IB9/IB4,0)</f>
        <v>0.451690888058431</v>
      </c>
      <c r="IC19" s="23" t="n">
        <f aca="false">IF(IC4&lt;&gt;0,IC9/IC4,0)</f>
        <v>0.451690888058431</v>
      </c>
      <c r="ID19" s="23" t="n">
        <f aca="false">IF(ID4&lt;&gt;0,ID9/ID4,0)</f>
        <v>0.451690888058431</v>
      </c>
      <c r="IE19" s="23" t="n">
        <f aca="false">IF(IE4&lt;&gt;0,IE9/IE4,0)</f>
        <v>0.451690888058431</v>
      </c>
      <c r="IF19" s="23" t="n">
        <f aca="false">IF(IF4&lt;&gt;0,IF9/IF4,0)</f>
        <v>0.451690888058431</v>
      </c>
      <c r="IG19" s="23" t="n">
        <f aca="false">IF(IG4&lt;&gt;0,IG9/IG4,0)</f>
        <v>0.451690888058431</v>
      </c>
      <c r="IH19" s="23" t="n">
        <f aca="false">IF(IH4&lt;&gt;0,IH9/IH4,0)</f>
        <v>0.463355970148066</v>
      </c>
      <c r="II19" s="23" t="n">
        <f aca="false">IF(II4&lt;&gt;0,II9/II4,0)</f>
        <v>0.463355970148066</v>
      </c>
      <c r="IJ19" s="23" t="n">
        <f aca="false">IF(IJ4&lt;&gt;0,IJ9/IJ4,0)</f>
        <v>0.463355970148066</v>
      </c>
      <c r="IK19" s="23" t="n">
        <f aca="false">IF(IK4&lt;&gt;0,IK9/IK4,0)</f>
        <v>0.463355970148066</v>
      </c>
      <c r="IL19" s="23" t="n">
        <f aca="false">IF(IL4&lt;&gt;0,IL9/IL4,0)</f>
        <v>0.463355970148066</v>
      </c>
      <c r="IM19" s="23" t="n">
        <f aca="false">IF(IM4&lt;&gt;0,IM9/IM4,0)</f>
        <v>0.463355970148066</v>
      </c>
      <c r="IN19" s="23" t="n">
        <f aca="false">IF(IN4&lt;&gt;0,IN9/IN4,0)</f>
        <v>0.463355970148066</v>
      </c>
      <c r="IO19" s="23" t="n">
        <f aca="false">IF(IO4&lt;&gt;0,IO9/IO4,0)</f>
        <v>0.463355970148066</v>
      </c>
      <c r="IP19" s="23" t="n">
        <f aca="false">IF(IP4&lt;&gt;0,IP9/IP4,0)</f>
        <v>0.463355970148066</v>
      </c>
      <c r="IQ19" s="23" t="n">
        <f aca="false">IF(IQ4&lt;&gt;0,IQ9/IQ4,0)</f>
        <v>0.463355970148066</v>
      </c>
      <c r="IR19" s="23" t="n">
        <f aca="false">IF(IR4&lt;&gt;0,IR9/IR4,0)</f>
        <v>0.463355970148066</v>
      </c>
      <c r="IS19" s="23" t="n">
        <f aca="false">IF(IS4&lt;&gt;0,IS9/IS4,0)</f>
        <v>0.463355970148066</v>
      </c>
      <c r="IT19" s="23" t="n">
        <f aca="false">IF(IT4&lt;&gt;0,IT9/IT4,0)</f>
        <v>0.47425791602623</v>
      </c>
      <c r="IU19" s="23" t="n">
        <f aca="false">IF(IU4&lt;&gt;0,IU9/IU4,0)</f>
        <v>0.47425791602623</v>
      </c>
      <c r="IV19" s="23" t="n">
        <f aca="false">IF(IV4&lt;&gt;0,IV9/IV4,0)</f>
        <v>0.47425791602623</v>
      </c>
      <c r="IW19" s="23" t="n">
        <f aca="false">IF(IW4&lt;&gt;0,IW9/IW4,0)</f>
        <v>0.47425791602623</v>
      </c>
      <c r="IX19" s="23" t="n">
        <f aca="false">IF(IX4&lt;&gt;0,IX9/IX4,0)</f>
        <v>0.47425791602623</v>
      </c>
      <c r="IY19" s="23" t="n">
        <f aca="false">IF(IY4&lt;&gt;0,IY9/IY4,0)</f>
        <v>0.47425791602623</v>
      </c>
      <c r="IZ19" s="23" t="n">
        <f aca="false">IF(IZ4&lt;&gt;0,IZ9/IZ4,0)</f>
        <v>0.47425791602623</v>
      </c>
      <c r="JA19" s="23" t="n">
        <f aca="false">IF(JA4&lt;&gt;0,JA9/JA4,0)</f>
        <v>0.47425791602623</v>
      </c>
      <c r="JB19" s="23" t="n">
        <f aca="false">IF(JB4&lt;&gt;0,JB9/JB4,0)</f>
        <v>0.47425791602623</v>
      </c>
      <c r="JC19" s="23" t="n">
        <f aca="false">IF(JC4&lt;&gt;0,JC9/JC4,0)</f>
        <v>0.47425791602623</v>
      </c>
      <c r="JD19" s="23" t="n">
        <f aca="false">IF(JD4&lt;&gt;0,JD9/JD4,0)</f>
        <v>0.47425791602623</v>
      </c>
      <c r="JE19" s="23" t="n">
        <f aca="false">IF(JE4&lt;&gt;0,JE9/JE4,0)</f>
        <v>0.47425791602623</v>
      </c>
      <c r="JF19" s="23" t="n">
        <f aca="false">IF(JF4&lt;&gt;0,JF9/JF4,0)</f>
        <v>0.484446650491804</v>
      </c>
      <c r="JG19" s="23" t="n">
        <f aca="false">IF(JG4&lt;&gt;0,JG9/JG4,0)</f>
        <v>0.484446650491804</v>
      </c>
      <c r="JH19" s="23" t="n">
        <f aca="false">IF(JH4&lt;&gt;0,JH9/JH4,0)</f>
        <v>0.484446650491804</v>
      </c>
      <c r="JI19" s="23" t="n">
        <f aca="false">IF(JI4&lt;&gt;0,JI9/JI4,0)</f>
        <v>0.484446650491804</v>
      </c>
      <c r="JJ19" s="23" t="n">
        <f aca="false">IF(JJ4&lt;&gt;0,JJ9/JJ4,0)</f>
        <v>0.484446650491804</v>
      </c>
      <c r="JK19" s="23" t="n">
        <f aca="false">IF(JK4&lt;&gt;0,JK9/JK4,0)</f>
        <v>0.484446650491804</v>
      </c>
      <c r="JL19" s="23" t="n">
        <f aca="false">IF(JL4&lt;&gt;0,JL9/JL4,0)</f>
        <v>0.484446650491804</v>
      </c>
      <c r="JM19" s="23" t="n">
        <f aca="false">IF(JM4&lt;&gt;0,JM9/JM4,0)</f>
        <v>0.484446650491804</v>
      </c>
      <c r="JN19" s="23" t="n">
        <f aca="false">IF(JN4&lt;&gt;0,JN9/JN4,0)</f>
        <v>0.484446650491804</v>
      </c>
      <c r="JO19" s="23" t="n">
        <f aca="false">IF(JO4&lt;&gt;0,JO9/JO4,0)</f>
        <v>0.484446650491804</v>
      </c>
      <c r="JP19" s="23" t="n">
        <f aca="false">IF(JP4&lt;&gt;0,JP9/JP4,0)</f>
        <v>0.484446650491804</v>
      </c>
      <c r="JQ19" s="23" t="n">
        <f aca="false">IF(JQ4&lt;&gt;0,JQ9/JQ4,0)</f>
        <v>0.484446650491804</v>
      </c>
      <c r="JR19" s="23" t="n">
        <f aca="false">IF(JR4&lt;&gt;0,JR9/JR4,0)</f>
        <v>0.493968832235331</v>
      </c>
      <c r="JS19" s="23" t="n">
        <f aca="false">IF(JS4&lt;&gt;0,JS9/JS4,0)</f>
        <v>0.493968832235331</v>
      </c>
      <c r="JT19" s="23" t="n">
        <f aca="false">IF(JT4&lt;&gt;0,JT9/JT4,0)</f>
        <v>0.493968832235331</v>
      </c>
      <c r="JU19" s="23" t="n">
        <f aca="false">IF(JU4&lt;&gt;0,JU9/JU4,0)</f>
        <v>0.493968832235331</v>
      </c>
      <c r="JV19" s="23" t="n">
        <f aca="false">IF(JV4&lt;&gt;0,JV9/JV4,0)</f>
        <v>0.493968832235331</v>
      </c>
      <c r="JW19" s="23" t="n">
        <f aca="false">IF(JW4&lt;&gt;0,JW9/JW4,0)</f>
        <v>0.493968832235331</v>
      </c>
      <c r="JX19" s="23" t="n">
        <f aca="false">IF(JX4&lt;&gt;0,JX9/JX4,0)</f>
        <v>0.493968832235331</v>
      </c>
      <c r="JY19" s="23" t="n">
        <f aca="false">IF(JY4&lt;&gt;0,JY9/JY4,0)</f>
        <v>0.493968832235331</v>
      </c>
      <c r="JZ19" s="23" t="n">
        <f aca="false">IF(JZ4&lt;&gt;0,JZ9/JZ4,0)</f>
        <v>0.493968832235331</v>
      </c>
      <c r="KA19" s="23" t="n">
        <f aca="false">IF(KA4&lt;&gt;0,KA9/KA4,0)</f>
        <v>0.493968832235331</v>
      </c>
      <c r="KB19" s="23" t="n">
        <f aca="false">IF(KB4&lt;&gt;0,KB9/KB4,0)</f>
        <v>0.493968832235331</v>
      </c>
      <c r="KC19" s="23" t="n">
        <f aca="false">IF(KC4&lt;&gt;0,KC9/KC4,0)</f>
        <v>0.493968832235331</v>
      </c>
      <c r="KD19" s="23" t="n">
        <f aca="false">IF(KD4&lt;&gt;0,KD9/KD4,0)</f>
        <v>0.502868067509655</v>
      </c>
      <c r="KE19" s="23" t="n">
        <f aca="false">IF(KE4&lt;&gt;0,KE9/KE4,0)</f>
        <v>0.502868067509655</v>
      </c>
      <c r="KF19" s="23" t="n">
        <f aca="false">IF(KF4&lt;&gt;0,KF9/KF4,0)</f>
        <v>0.502868067509655</v>
      </c>
      <c r="KG19" s="23" t="n">
        <f aca="false">IF(KG4&lt;&gt;0,KG9/KG4,0)</f>
        <v>0.502868067509655</v>
      </c>
      <c r="KH19" s="23" t="n">
        <f aca="false">IF(KH4&lt;&gt;0,KH9/KH4,0)</f>
        <v>0.502868067509655</v>
      </c>
      <c r="KI19" s="23" t="n">
        <f aca="false">IF(KI4&lt;&gt;0,KI9/KI4,0)</f>
        <v>0.502868067509655</v>
      </c>
      <c r="KJ19" s="23" t="n">
        <f aca="false">IF(KJ4&lt;&gt;0,KJ9/KJ4,0)</f>
        <v>0.502868067509655</v>
      </c>
      <c r="KK19" s="23" t="n">
        <f aca="false">IF(KK4&lt;&gt;0,KK9/KK4,0)</f>
        <v>0.502868067509655</v>
      </c>
      <c r="KL19" s="23" t="n">
        <f aca="false">IF(KL4&lt;&gt;0,KL9/KL4,0)</f>
        <v>0.502868067509655</v>
      </c>
      <c r="KM19" s="23" t="n">
        <f aca="false">IF(KM4&lt;&gt;0,KM9/KM4,0)</f>
        <v>0.502868067509655</v>
      </c>
      <c r="KN19" s="23" t="n">
        <f aca="false">IF(KN4&lt;&gt;0,KN9/KN4,0)</f>
        <v>0.502868067509655</v>
      </c>
      <c r="KO19" s="23" t="n">
        <f aca="false">IF(KO4&lt;&gt;0,KO9/KO4,0)</f>
        <v>0.502868067509655</v>
      </c>
    </row>
    <row r="20" customFormat="false" ht="14.25" hidden="false" customHeight="false" outlineLevel="0" collapsed="false">
      <c r="A20" s="0" t="s">
        <v>407</v>
      </c>
      <c r="B20" s="23" t="n">
        <f aca="false">IF(B4&lt;&gt;0,B15/B4,0)</f>
        <v>-0.055981308411215</v>
      </c>
      <c r="C20" s="23" t="n">
        <f aca="false">IF(C4&lt;&gt;0,C15/C4,0)</f>
        <v>-0.0559508488920719</v>
      </c>
      <c r="D20" s="23" t="n">
        <f aca="false">IF(D4&lt;&gt;0,D15/D4,0)</f>
        <v>-0.0559202116924006</v>
      </c>
      <c r="E20" s="23" t="n">
        <f aca="false">IF(E4&lt;&gt;0,E15/E4,0)</f>
        <v>-0.0558893957757311</v>
      </c>
      <c r="F20" s="23" t="n">
        <f aca="false">IF(F4&lt;&gt;0,F15/F4,0)</f>
        <v>-0.0558584000995478</v>
      </c>
      <c r="G20" s="23" t="n">
        <f aca="false">IF(G4&lt;&gt;0,G15/G4,0)</f>
        <v>-0.0558272236152534</v>
      </c>
      <c r="H20" s="23" t="n">
        <f aca="false">IF(H4&lt;&gt;0,H15/H4,0)</f>
        <v>-0.0557958652681339</v>
      </c>
      <c r="I20" s="23" t="n">
        <f aca="false">IF(I4&lt;&gt;0,I15/I4,0)</f>
        <v>-0.0557643239973229</v>
      </c>
      <c r="J20" s="23" t="n">
        <f aca="false">IF(J4&lt;&gt;0,J15/J4,0)</f>
        <v>-0.0557325987357655</v>
      </c>
      <c r="K20" s="23" t="n">
        <f aca="false">IF(K4&lt;&gt;0,K15/K4,0)</f>
        <v>-0.0557006884101824</v>
      </c>
      <c r="L20" s="23" t="n">
        <f aca="false">IF(L4&lt;&gt;0,L15/L4,0)</f>
        <v>-0.0556685919410333</v>
      </c>
      <c r="M20" s="23" t="n">
        <f aca="false">IF(M4&lt;&gt;0,M15/M4,0)</f>
        <v>-0.0556363082424809</v>
      </c>
      <c r="N20" s="23" t="n">
        <f aca="false">IF(N4&lt;&gt;0,N15/N4,0)</f>
        <v>-0.0107512488059379</v>
      </c>
      <c r="O20" s="23" t="n">
        <f aca="false">IF(O4&lt;&gt;0,O15/O4,0)</f>
        <v>-0.0107207240954288</v>
      </c>
      <c r="P20" s="23" t="n">
        <f aca="false">IF(P4&lt;&gt;0,P15/P4,0)</f>
        <v>-0.0106900213241085</v>
      </c>
      <c r="Q20" s="23" t="n">
        <f aca="false">IF(Q4&lt;&gt;0,Q15/Q4,0)</f>
        <v>-0.0106591394532887</v>
      </c>
      <c r="R20" s="23" t="n">
        <f aca="false">IF(R4&lt;&gt;0,R15/R4,0)</f>
        <v>-0.0106280774382225</v>
      </c>
      <c r="S20" s="23" t="n">
        <f aca="false">IF(S4&lt;&gt;0,S15/S4,0)</f>
        <v>-0.0105968342280684</v>
      </c>
      <c r="T20" s="23" t="n">
        <f aca="false">IF(T4&lt;&gt;0,T15/T4,0)</f>
        <v>-0.0105654087658551</v>
      </c>
      <c r="U20" s="23" t="n">
        <f aca="false">IF(U4&lt;&gt;0,U15/U4,0)</f>
        <v>-0.0105337999884455</v>
      </c>
      <c r="V20" s="23" t="n">
        <f aca="false">IF(V4&lt;&gt;0,V15/V4,0)</f>
        <v>-0.0105020068265011</v>
      </c>
      <c r="W20" s="23" t="n">
        <f aca="false">IF(W4&lt;&gt;0,W15/W4,0)</f>
        <v>-0.0104700282044453</v>
      </c>
      <c r="X20" s="23" t="n">
        <f aca="false">IF(X4&lt;&gt;0,X15/X4,0)</f>
        <v>-0.0104378630404275</v>
      </c>
      <c r="Y20" s="23" t="n">
        <f aca="false">IF(Y4&lt;&gt;0,Y15/Y4,0)</f>
        <v>-0.0104055102462863</v>
      </c>
      <c r="Z20" s="23" t="n">
        <f aca="false">IF(Z4&lt;&gt;0,Z15/Z4,0)</f>
        <v>0.0230100306812298</v>
      </c>
      <c r="AA20" s="23" t="n">
        <f aca="false">IF(AA4&lt;&gt;0,AA15/AA4,0)</f>
        <v>0.0230323614114531</v>
      </c>
      <c r="AB20" s="23" t="n">
        <f aca="false">IF(AB4&lt;&gt;0,AB15/AB4,0)</f>
        <v>0.0230548224042693</v>
      </c>
      <c r="AC20" s="23" t="n">
        <f aca="false">IF(AC4&lt;&gt;0,AC15/AC4,0)</f>
        <v>0.0230774144195437</v>
      </c>
      <c r="AD20" s="23" t="n">
        <f aca="false">IF(AD4&lt;&gt;0,AD15/AD4,0)</f>
        <v>0.0231001382215738</v>
      </c>
      <c r="AE20" s="23" t="n">
        <f aca="false">IF(AE4&lt;&gt;0,AE15/AE4,0)</f>
        <v>0.0231229945791158</v>
      </c>
      <c r="AF20" s="23" t="n">
        <f aca="false">IF(AF4&lt;&gt;0,AF15/AF4,0)</f>
        <v>0.0231459842654101</v>
      </c>
      <c r="AG20" s="23" t="n">
        <f aca="false">IF(AG4&lt;&gt;0,AG15/AG4,0)</f>
        <v>0.0231691080582078</v>
      </c>
      <c r="AH20" s="23" t="n">
        <f aca="false">IF(AH4&lt;&gt;0,AH15/AH4,0)</f>
        <v>0.0231923667397968</v>
      </c>
      <c r="AI20" s="23" t="n">
        <f aca="false">IF(AI4&lt;&gt;0,AI15/AI4,0)</f>
        <v>0.0232157610970284</v>
      </c>
      <c r="AJ20" s="23" t="n">
        <f aca="false">IF(AJ4&lt;&gt;0,AJ15/AJ4,0)</f>
        <v>0.0232392919213438</v>
      </c>
      <c r="AK20" s="23" t="n">
        <f aca="false">IF(AK4&lt;&gt;0,AK15/AK4,0)</f>
        <v>0.0232629600088011</v>
      </c>
      <c r="AL20" s="23" t="n">
        <f aca="false">IF(AL4&lt;&gt;0,AL15/AL4,0)</f>
        <v>0.0518502487477588</v>
      </c>
      <c r="AM20" s="23" t="n">
        <f aca="false">IF(AM4&lt;&gt;0,AM15/AM4,0)</f>
        <v>0.0518726272716062</v>
      </c>
      <c r="AN20" s="23" t="n">
        <f aca="false">IF(AN4&lt;&gt;0,AN15/AN4,0)</f>
        <v>0.0518951363368427</v>
      </c>
      <c r="AO20" s="23" t="n">
        <f aca="false">IF(AO4&lt;&gt;0,AO15/AO4,0)</f>
        <v>0.0519177767049598</v>
      </c>
      <c r="AP20" s="23" t="n">
        <f aca="false">IF(AP4&lt;&gt;0,AP15/AP4,0)</f>
        <v>0.0519405491418908</v>
      </c>
      <c r="AQ20" s="23" t="n">
        <f aca="false">IF(AQ4&lt;&gt;0,AQ15/AQ4,0)</f>
        <v>0.0519634544180373</v>
      </c>
      <c r="AR20" s="23" t="n">
        <f aca="false">IF(AR4&lt;&gt;0,AR15/AR4,0)</f>
        <v>0.0519864933082947</v>
      </c>
      <c r="AS20" s="23" t="n">
        <f aca="false">IF(AS4&lt;&gt;0,AS15/AS4,0)</f>
        <v>0.0520096665920785</v>
      </c>
      <c r="AT20" s="23" t="n">
        <f aca="false">IF(AT4&lt;&gt;0,AT15/AT4,0)</f>
        <v>0.0520329750533511</v>
      </c>
      <c r="AU20" s="23" t="n">
        <f aca="false">IF(AU4&lt;&gt;0,AU15/AU4,0)</f>
        <v>0.0520564194806478</v>
      </c>
      <c r="AV20" s="23" t="n">
        <f aca="false">IF(AV4&lt;&gt;0,AV15/AV4,0)</f>
        <v>0.0520800006671037</v>
      </c>
      <c r="AW20" s="23" t="n">
        <f aca="false">IF(AW4&lt;&gt;0,AW15/AW4,0)</f>
        <v>0.0521037194104806</v>
      </c>
      <c r="AX20" s="23" t="n">
        <f aca="false">IF(AX4&lt;&gt;0,AX15/AX4,0)</f>
        <v>0.0788042771151346</v>
      </c>
      <c r="AY20" s="23" t="n">
        <f aca="false">IF(AY4&lt;&gt;0,AY15/AY4,0)</f>
        <v>0.078826703534897</v>
      </c>
      <c r="AZ20" s="23" t="n">
        <f aca="false">IF(AZ4&lt;&gt;0,AZ15/AZ4,0)</f>
        <v>0.0788492607754413</v>
      </c>
      <c r="BA20" s="23" t="n">
        <f aca="false">IF(BA4&lt;&gt;0,BA15/BA4,0)</f>
        <v>0.0788719495998889</v>
      </c>
      <c r="BB20" s="23" t="n">
        <f aca="false">IF(BB4&lt;&gt;0,BB15/BB4,0)</f>
        <v>0.0788947707758123</v>
      </c>
      <c r="BC20" s="23" t="n">
        <f aca="false">IF(BC4&lt;&gt;0,BC15/BC4,0)</f>
        <v>0.078917725075262</v>
      </c>
      <c r="BD20" s="23" t="n">
        <f aca="false">IF(BD4&lt;&gt;0,BD15/BD4,0)</f>
        <v>0.0789408132747918</v>
      </c>
      <c r="BE20" s="23" t="n">
        <f aca="false">IF(BE4&lt;&gt;0,BE15/BE4,0)</f>
        <v>0.0789640361554856</v>
      </c>
      <c r="BF20" s="23" t="n">
        <f aca="false">IF(BF4&lt;&gt;0,BF15/BF4,0)</f>
        <v>0.0789873945029833</v>
      </c>
      <c r="BG20" s="23" t="n">
        <f aca="false">IF(BG4&lt;&gt;0,BG15/BG4,0)</f>
        <v>0.0790108891075082</v>
      </c>
      <c r="BH20" s="23" t="n">
        <f aca="false">IF(BH4&lt;&gt;0,BH15/BH4,0)</f>
        <v>0.0790345207638928</v>
      </c>
      <c r="BI20" s="23" t="n">
        <f aca="false">IF(BI4&lt;&gt;0,BI15/BI4,0)</f>
        <v>0.0790582902716063</v>
      </c>
      <c r="BJ20" s="23" t="n">
        <f aca="false">IF(BJ4&lt;&gt;0,BJ15/BJ4,0)</f>
        <v>0.10399551255587</v>
      </c>
      <c r="BK20" s="23" t="n">
        <f aca="false">IF(BK4&lt;&gt;0,BK15/BK4,0)</f>
        <v>0.10399551255587</v>
      </c>
      <c r="BL20" s="23" t="n">
        <f aca="false">IF(BL4&lt;&gt;0,BL15/BL4,0)</f>
        <v>0.10399551255587</v>
      </c>
      <c r="BM20" s="23" t="n">
        <f aca="false">IF(BM4&lt;&gt;0,BM15/BM4,0)</f>
        <v>0.10399551255587</v>
      </c>
      <c r="BN20" s="23" t="n">
        <f aca="false">IF(BN4&lt;&gt;0,BN15/BN4,0)</f>
        <v>0.10399551255587</v>
      </c>
      <c r="BO20" s="23" t="n">
        <f aca="false">IF(BO4&lt;&gt;0,BO15/BO4,0)</f>
        <v>0.10399551255587</v>
      </c>
      <c r="BP20" s="23" t="n">
        <f aca="false">IF(BP4&lt;&gt;0,BP15/BP4,0)</f>
        <v>0.10399551255587</v>
      </c>
      <c r="BQ20" s="23" t="n">
        <f aca="false">IF(BQ4&lt;&gt;0,BQ15/BQ4,0)</f>
        <v>0.10399551255587</v>
      </c>
      <c r="BR20" s="23" t="n">
        <f aca="false">IF(BR4&lt;&gt;0,BR15/BR4,0)</f>
        <v>0.10399551255587</v>
      </c>
      <c r="BS20" s="23" t="n">
        <f aca="false">IF(BS4&lt;&gt;0,BS15/BS4,0)</f>
        <v>0.10399551255587</v>
      </c>
      <c r="BT20" s="23" t="n">
        <f aca="false">IF(BT4&lt;&gt;0,BT15/BT4,0)</f>
        <v>0.10399551255587</v>
      </c>
      <c r="BU20" s="23" t="n">
        <f aca="false">IF(BU4&lt;&gt;0,BU15/BU4,0)</f>
        <v>0.10399551255587</v>
      </c>
      <c r="BV20" s="23" t="n">
        <f aca="false">IF(BV4&lt;&gt;0,BV15/BV4,0)</f>
        <v>0.127278983697075</v>
      </c>
      <c r="BW20" s="23" t="n">
        <f aca="false">IF(BW4&lt;&gt;0,BW15/BW4,0)</f>
        <v>0.127278983697075</v>
      </c>
      <c r="BX20" s="23" t="n">
        <f aca="false">IF(BX4&lt;&gt;0,BX15/BX4,0)</f>
        <v>0.127278983697075</v>
      </c>
      <c r="BY20" s="23" t="n">
        <f aca="false">IF(BY4&lt;&gt;0,BY15/BY4,0)</f>
        <v>0.127278983697075</v>
      </c>
      <c r="BZ20" s="23" t="n">
        <f aca="false">IF(BZ4&lt;&gt;0,BZ15/BZ4,0)</f>
        <v>0.127278983697075</v>
      </c>
      <c r="CA20" s="23" t="n">
        <f aca="false">IF(CA4&lt;&gt;0,CA15/CA4,0)</f>
        <v>0.127278983697075</v>
      </c>
      <c r="CB20" s="23" t="n">
        <f aca="false">IF(CB4&lt;&gt;0,CB15/CB4,0)</f>
        <v>0.127278983697075</v>
      </c>
      <c r="CC20" s="23" t="n">
        <f aca="false">IF(CC4&lt;&gt;0,CC15/CC4,0)</f>
        <v>0.127278983697075</v>
      </c>
      <c r="CD20" s="23" t="n">
        <f aca="false">IF(CD4&lt;&gt;0,CD15/CD4,0)</f>
        <v>0.127278983697075</v>
      </c>
      <c r="CE20" s="23" t="n">
        <f aca="false">IF(CE4&lt;&gt;0,CE15/CE4,0)</f>
        <v>0.127278983697075</v>
      </c>
      <c r="CF20" s="23" t="n">
        <f aca="false">IF(CF4&lt;&gt;0,CF15/CF4,0)</f>
        <v>0.127278983697075</v>
      </c>
      <c r="CG20" s="23" t="n">
        <f aca="false">IF(CG4&lt;&gt;0,CG15/CG4,0)</f>
        <v>0.127278983697075</v>
      </c>
      <c r="CH20" s="23" t="n">
        <f aca="false">IF(CH4&lt;&gt;0,CH15/CH4,0)</f>
        <v>0.14903923710007</v>
      </c>
      <c r="CI20" s="23" t="n">
        <f aca="false">IF(CI4&lt;&gt;0,CI15/CI4,0)</f>
        <v>0.14903923710007</v>
      </c>
      <c r="CJ20" s="23" t="n">
        <f aca="false">IF(CJ4&lt;&gt;0,CJ15/CJ4,0)</f>
        <v>0.14903923710007</v>
      </c>
      <c r="CK20" s="23" t="n">
        <f aca="false">IF(CK4&lt;&gt;0,CK15/CK4,0)</f>
        <v>0.14903923710007</v>
      </c>
      <c r="CL20" s="23" t="n">
        <f aca="false">IF(CL4&lt;&gt;0,CL15/CL4,0)</f>
        <v>0.14903923710007</v>
      </c>
      <c r="CM20" s="23" t="n">
        <f aca="false">IF(CM4&lt;&gt;0,CM15/CM4,0)</f>
        <v>0.14903923710007</v>
      </c>
      <c r="CN20" s="23" t="n">
        <f aca="false">IF(CN4&lt;&gt;0,CN15/CN4,0)</f>
        <v>0.14903923710007</v>
      </c>
      <c r="CO20" s="23" t="n">
        <f aca="false">IF(CO4&lt;&gt;0,CO15/CO4,0)</f>
        <v>0.14903923710007</v>
      </c>
      <c r="CP20" s="23" t="n">
        <f aca="false">IF(CP4&lt;&gt;0,CP15/CP4,0)</f>
        <v>0.14903923710007</v>
      </c>
      <c r="CQ20" s="23" t="n">
        <f aca="false">IF(CQ4&lt;&gt;0,CQ15/CQ4,0)</f>
        <v>0.14903923710007</v>
      </c>
      <c r="CR20" s="23" t="n">
        <f aca="false">IF(CR4&lt;&gt;0,CR15/CR4,0)</f>
        <v>0.14903923710007</v>
      </c>
      <c r="CS20" s="23" t="n">
        <f aca="false">IF(CS4&lt;&gt;0,CS15/CS4,0)</f>
        <v>0.14903923710007</v>
      </c>
      <c r="CT20" s="23" t="n">
        <f aca="false">IF(CT4&lt;&gt;0,CT15/CT4,0)</f>
        <v>0.16937592252343</v>
      </c>
      <c r="CU20" s="23" t="n">
        <f aca="false">IF(CU4&lt;&gt;0,CU15/CU4,0)</f>
        <v>0.16937592252343</v>
      </c>
      <c r="CV20" s="23" t="n">
        <f aca="false">IF(CV4&lt;&gt;0,CV15/CV4,0)</f>
        <v>0.16937592252343</v>
      </c>
      <c r="CW20" s="23" t="n">
        <f aca="false">IF(CW4&lt;&gt;0,CW15/CW4,0)</f>
        <v>0.16937592252343</v>
      </c>
      <c r="CX20" s="23" t="n">
        <f aca="false">IF(CX4&lt;&gt;0,CX15/CX4,0)</f>
        <v>0.16937592252343</v>
      </c>
      <c r="CY20" s="23" t="n">
        <f aca="false">IF(CY4&lt;&gt;0,CY15/CY4,0)</f>
        <v>0.16937592252343</v>
      </c>
      <c r="CZ20" s="23" t="n">
        <f aca="false">IF(CZ4&lt;&gt;0,CZ15/CZ4,0)</f>
        <v>0.16937592252343</v>
      </c>
      <c r="DA20" s="23" t="n">
        <f aca="false">IF(DA4&lt;&gt;0,DA15/DA4,0)</f>
        <v>0.16937592252343</v>
      </c>
      <c r="DB20" s="23" t="n">
        <f aca="false">IF(DB4&lt;&gt;0,DB15/DB4,0)</f>
        <v>0.16937592252343</v>
      </c>
      <c r="DC20" s="23" t="n">
        <f aca="false">IF(DC4&lt;&gt;0,DC15/DC4,0)</f>
        <v>0.16937592252343</v>
      </c>
      <c r="DD20" s="23" t="n">
        <f aca="false">IF(DD4&lt;&gt;0,DD15/DD4,0)</f>
        <v>0.16937592252343</v>
      </c>
      <c r="DE20" s="23" t="n">
        <f aca="false">IF(DE4&lt;&gt;0,DE15/DE4,0)</f>
        <v>0.16937592252343</v>
      </c>
      <c r="DF20" s="23" t="n">
        <f aca="false">IF(DF4&lt;&gt;0,DF15/DF4,0)</f>
        <v>0.188382170582645</v>
      </c>
      <c r="DG20" s="23" t="n">
        <f aca="false">IF(DG4&lt;&gt;0,DG15/DG4,0)</f>
        <v>0.188382170582645</v>
      </c>
      <c r="DH20" s="23" t="n">
        <f aca="false">IF(DH4&lt;&gt;0,DH15/DH4,0)</f>
        <v>0.188382170582645</v>
      </c>
      <c r="DI20" s="23" t="n">
        <f aca="false">IF(DI4&lt;&gt;0,DI15/DI4,0)</f>
        <v>0.188382170582645</v>
      </c>
      <c r="DJ20" s="23" t="n">
        <f aca="false">IF(DJ4&lt;&gt;0,DJ15/DJ4,0)</f>
        <v>0.188382170582645</v>
      </c>
      <c r="DK20" s="23" t="n">
        <f aca="false">IF(DK4&lt;&gt;0,DK15/DK4,0)</f>
        <v>0.188382170582645</v>
      </c>
      <c r="DL20" s="23" t="n">
        <f aca="false">IF(DL4&lt;&gt;0,DL15/DL4,0)</f>
        <v>0.188382170582645</v>
      </c>
      <c r="DM20" s="23" t="n">
        <f aca="false">IF(DM4&lt;&gt;0,DM15/DM4,0)</f>
        <v>0.188382170582645</v>
      </c>
      <c r="DN20" s="23" t="n">
        <f aca="false">IF(DN4&lt;&gt;0,DN15/DN4,0)</f>
        <v>0.188382170582645</v>
      </c>
      <c r="DO20" s="23" t="n">
        <f aca="false">IF(DO4&lt;&gt;0,DO15/DO4,0)</f>
        <v>0.188382170582645</v>
      </c>
      <c r="DP20" s="23" t="n">
        <f aca="false">IF(DP4&lt;&gt;0,DP15/DP4,0)</f>
        <v>0.188382170582645</v>
      </c>
      <c r="DQ20" s="23" t="n">
        <f aca="false">IF(DQ4&lt;&gt;0,DQ15/DQ4,0)</f>
        <v>0.188382170582645</v>
      </c>
      <c r="DR20" s="23" t="n">
        <f aca="false">IF(DR4&lt;&gt;0,DR15/DR4,0)</f>
        <v>0.220595758459573</v>
      </c>
      <c r="DS20" s="23" t="n">
        <f aca="false">IF(DS4&lt;&gt;0,DS15/DS4,0)</f>
        <v>0.220595758459573</v>
      </c>
      <c r="DT20" s="23" t="n">
        <f aca="false">IF(DT4&lt;&gt;0,DT15/DT4,0)</f>
        <v>0.220595758459573</v>
      </c>
      <c r="DU20" s="23" t="n">
        <f aca="false">IF(DU4&lt;&gt;0,DU15/DU4,0)</f>
        <v>0.220595758459573</v>
      </c>
      <c r="DV20" s="23" t="n">
        <f aca="false">IF(DV4&lt;&gt;0,DV15/DV4,0)</f>
        <v>0.220595758459573</v>
      </c>
      <c r="DW20" s="23" t="n">
        <f aca="false">IF(DW4&lt;&gt;0,DW15/DW4,0)</f>
        <v>0.220595758459573</v>
      </c>
      <c r="DX20" s="23" t="n">
        <f aca="false">IF(DX4&lt;&gt;0,DX15/DX4,0)</f>
        <v>0.220595758459573</v>
      </c>
      <c r="DY20" s="23" t="n">
        <f aca="false">IF(DY4&lt;&gt;0,DY15/DY4,0)</f>
        <v>0.220595758459573</v>
      </c>
      <c r="DZ20" s="23" t="n">
        <f aca="false">IF(DZ4&lt;&gt;0,DZ15/DZ4,0)</f>
        <v>0.220595758459573</v>
      </c>
      <c r="EA20" s="23" t="n">
        <f aca="false">IF(EA4&lt;&gt;0,EA15/EA4,0)</f>
        <v>0.220595758459573</v>
      </c>
      <c r="EB20" s="23" t="n">
        <f aca="false">IF(EB4&lt;&gt;0,EB15/EB4,0)</f>
        <v>0.220595758459573</v>
      </c>
      <c r="EC20" s="23" t="n">
        <f aca="false">IF(EC4&lt;&gt;0,EC15/EC4,0)</f>
        <v>0.220595758459573</v>
      </c>
      <c r="ED20" s="23" t="n">
        <f aca="false">IF(ED4&lt;&gt;0,ED15/ED4,0)</f>
        <v>0.236251176130442</v>
      </c>
      <c r="EE20" s="23" t="n">
        <f aca="false">IF(EE4&lt;&gt;0,EE15/EE4,0)</f>
        <v>0.236251176130442</v>
      </c>
      <c r="EF20" s="23" t="n">
        <f aca="false">IF(EF4&lt;&gt;0,EF15/EF4,0)</f>
        <v>0.236251176130442</v>
      </c>
      <c r="EG20" s="23" t="n">
        <f aca="false">IF(EG4&lt;&gt;0,EG15/EG4,0)</f>
        <v>0.236251176130442</v>
      </c>
      <c r="EH20" s="23" t="n">
        <f aca="false">IF(EH4&lt;&gt;0,EH15/EH4,0)</f>
        <v>0.236251176130442</v>
      </c>
      <c r="EI20" s="23" t="n">
        <f aca="false">IF(EI4&lt;&gt;0,EI15/EI4,0)</f>
        <v>0.236251176130442</v>
      </c>
      <c r="EJ20" s="23" t="n">
        <f aca="false">IF(EJ4&lt;&gt;0,EJ15/EJ4,0)</f>
        <v>0.236251176130442</v>
      </c>
      <c r="EK20" s="23" t="n">
        <f aca="false">IF(EK4&lt;&gt;0,EK15/EK4,0)</f>
        <v>0.236251176130442</v>
      </c>
      <c r="EL20" s="23" t="n">
        <f aca="false">IF(EL4&lt;&gt;0,EL15/EL4,0)</f>
        <v>0.236251176130442</v>
      </c>
      <c r="EM20" s="23" t="n">
        <f aca="false">IF(EM4&lt;&gt;0,EM15/EM4,0)</f>
        <v>0.236251176130442</v>
      </c>
      <c r="EN20" s="23" t="n">
        <f aca="false">IF(EN4&lt;&gt;0,EN15/EN4,0)</f>
        <v>0.236251176130442</v>
      </c>
      <c r="EO20" s="23" t="n">
        <f aca="false">IF(EO4&lt;&gt;0,EO15/EO4,0)</f>
        <v>0.236251176130442</v>
      </c>
      <c r="EP20" s="23" t="n">
        <f aca="false">IF(EP4&lt;&gt;0,EP15/EP4,0)</f>
        <v>0.250882407598544</v>
      </c>
      <c r="EQ20" s="23" t="n">
        <f aca="false">IF(EQ4&lt;&gt;0,EQ15/EQ4,0)</f>
        <v>0.250882407598544</v>
      </c>
      <c r="ER20" s="23" t="n">
        <f aca="false">IF(ER4&lt;&gt;0,ER15/ER4,0)</f>
        <v>0.250882407598544</v>
      </c>
      <c r="ES20" s="23" t="n">
        <f aca="false">IF(ES4&lt;&gt;0,ES15/ES4,0)</f>
        <v>0.250882407598544</v>
      </c>
      <c r="ET20" s="23" t="n">
        <f aca="false">IF(ET4&lt;&gt;0,ET15/ET4,0)</f>
        <v>0.250882407598544</v>
      </c>
      <c r="EU20" s="23" t="n">
        <f aca="false">IF(EU4&lt;&gt;0,EU15/EU4,0)</f>
        <v>0.250882407598544</v>
      </c>
      <c r="EV20" s="23" t="n">
        <f aca="false">IF(EV4&lt;&gt;0,EV15/EV4,0)</f>
        <v>0.250882407598544</v>
      </c>
      <c r="EW20" s="23" t="n">
        <f aca="false">IF(EW4&lt;&gt;0,EW15/EW4,0)</f>
        <v>0.250882407598544</v>
      </c>
      <c r="EX20" s="23" t="n">
        <f aca="false">IF(EX4&lt;&gt;0,EX15/EX4,0)</f>
        <v>0.250882407598544</v>
      </c>
      <c r="EY20" s="23" t="n">
        <f aca="false">IF(EY4&lt;&gt;0,EY15/EY4,0)</f>
        <v>0.250882407598544</v>
      </c>
      <c r="EZ20" s="23" t="n">
        <f aca="false">IF(EZ4&lt;&gt;0,EZ15/EZ4,0)</f>
        <v>0.250882407598544</v>
      </c>
      <c r="FA20" s="23" t="n">
        <f aca="false">IF(FA4&lt;&gt;0,FA15/FA4,0)</f>
        <v>0.250882407598544</v>
      </c>
      <c r="FB20" s="23" t="n">
        <f aca="false">IF(FB4&lt;&gt;0,FB15/FB4,0)</f>
        <v>0.264556455699574</v>
      </c>
      <c r="FC20" s="23" t="n">
        <f aca="false">IF(FC4&lt;&gt;0,FC15/FC4,0)</f>
        <v>0.264556455699574</v>
      </c>
      <c r="FD20" s="23" t="n">
        <f aca="false">IF(FD4&lt;&gt;0,FD15/FD4,0)</f>
        <v>0.264556455699574</v>
      </c>
      <c r="FE20" s="23" t="n">
        <f aca="false">IF(FE4&lt;&gt;0,FE15/FE4,0)</f>
        <v>0.264556455699574</v>
      </c>
      <c r="FF20" s="23" t="n">
        <f aca="false">IF(FF4&lt;&gt;0,FF15/FF4,0)</f>
        <v>0.264556455699574</v>
      </c>
      <c r="FG20" s="23" t="n">
        <f aca="false">IF(FG4&lt;&gt;0,FG15/FG4,0)</f>
        <v>0.264556455699574</v>
      </c>
      <c r="FH20" s="23" t="n">
        <f aca="false">IF(FH4&lt;&gt;0,FH15/FH4,0)</f>
        <v>0.264556455699574</v>
      </c>
      <c r="FI20" s="23" t="n">
        <f aca="false">IF(FI4&lt;&gt;0,FI15/FI4,0)</f>
        <v>0.264556455699574</v>
      </c>
      <c r="FJ20" s="23" t="n">
        <f aca="false">IF(FJ4&lt;&gt;0,FJ15/FJ4,0)</f>
        <v>0.264556455699574</v>
      </c>
      <c r="FK20" s="23" t="n">
        <f aca="false">IF(FK4&lt;&gt;0,FK15/FK4,0)</f>
        <v>0.264556455699574</v>
      </c>
      <c r="FL20" s="23" t="n">
        <f aca="false">IF(FL4&lt;&gt;0,FL15/FL4,0)</f>
        <v>0.264556455699574</v>
      </c>
      <c r="FM20" s="23" t="n">
        <f aca="false">IF(FM4&lt;&gt;0,FM15/FM4,0)</f>
        <v>0.264556455699574</v>
      </c>
      <c r="FN20" s="23" t="n">
        <f aca="false">IF(FN4&lt;&gt;0,FN15/FN4,0)</f>
        <v>0.277335939906144</v>
      </c>
      <c r="FO20" s="23" t="n">
        <f aca="false">IF(FO4&lt;&gt;0,FO15/FO4,0)</f>
        <v>0.277335939906144</v>
      </c>
      <c r="FP20" s="23" t="n">
        <f aca="false">IF(FP4&lt;&gt;0,FP15/FP4,0)</f>
        <v>0.277335939906144</v>
      </c>
      <c r="FQ20" s="23" t="n">
        <f aca="false">IF(FQ4&lt;&gt;0,FQ15/FQ4,0)</f>
        <v>0.277335939906144</v>
      </c>
      <c r="FR20" s="23" t="n">
        <f aca="false">IF(FR4&lt;&gt;0,FR15/FR4,0)</f>
        <v>0.277335939906144</v>
      </c>
      <c r="FS20" s="23" t="n">
        <f aca="false">IF(FS4&lt;&gt;0,FS15/FS4,0)</f>
        <v>0.277335939906144</v>
      </c>
      <c r="FT20" s="23" t="n">
        <f aca="false">IF(FT4&lt;&gt;0,FT15/FT4,0)</f>
        <v>0.277335939906144</v>
      </c>
      <c r="FU20" s="23" t="n">
        <f aca="false">IF(FU4&lt;&gt;0,FU15/FU4,0)</f>
        <v>0.277335939906144</v>
      </c>
      <c r="FV20" s="23" t="n">
        <f aca="false">IF(FV4&lt;&gt;0,FV15/FV4,0)</f>
        <v>0.277335939906144</v>
      </c>
      <c r="FW20" s="23" t="n">
        <f aca="false">IF(FW4&lt;&gt;0,FW15/FW4,0)</f>
        <v>0.277335939906144</v>
      </c>
      <c r="FX20" s="23" t="n">
        <f aca="false">IF(FX4&lt;&gt;0,FX15/FX4,0)</f>
        <v>0.277335939906144</v>
      </c>
      <c r="FY20" s="23" t="n">
        <f aca="false">IF(FY4&lt;&gt;0,FY15/FY4,0)</f>
        <v>0.277335939906144</v>
      </c>
      <c r="FZ20" s="23" t="n">
        <f aca="false">IF(FZ4&lt;&gt;0,FZ15/FZ4,0)</f>
        <v>0.289279383089854</v>
      </c>
      <c r="GA20" s="23" t="n">
        <f aca="false">IF(GA4&lt;&gt;0,GA15/GA4,0)</f>
        <v>0.289279383089854</v>
      </c>
      <c r="GB20" s="23" t="n">
        <f aca="false">IF(GB4&lt;&gt;0,GB15/GB4,0)</f>
        <v>0.289279383089854</v>
      </c>
      <c r="GC20" s="23" t="n">
        <f aca="false">IF(GC4&lt;&gt;0,GC15/GC4,0)</f>
        <v>0.289279383089854</v>
      </c>
      <c r="GD20" s="23" t="n">
        <f aca="false">IF(GD4&lt;&gt;0,GD15/GD4,0)</f>
        <v>0.289279383089854</v>
      </c>
      <c r="GE20" s="23" t="n">
        <f aca="false">IF(GE4&lt;&gt;0,GE15/GE4,0)</f>
        <v>0.289279383089854</v>
      </c>
      <c r="GF20" s="23" t="n">
        <f aca="false">IF(GF4&lt;&gt;0,GF15/GF4,0)</f>
        <v>0.289279383089854</v>
      </c>
      <c r="GG20" s="23" t="n">
        <f aca="false">IF(GG4&lt;&gt;0,GG15/GG4,0)</f>
        <v>0.289279383089854</v>
      </c>
      <c r="GH20" s="23" t="n">
        <f aca="false">IF(GH4&lt;&gt;0,GH15/GH4,0)</f>
        <v>0.289279383089854</v>
      </c>
      <c r="GI20" s="23" t="n">
        <f aca="false">IF(GI4&lt;&gt;0,GI15/GI4,0)</f>
        <v>0.289279383089854</v>
      </c>
      <c r="GJ20" s="23" t="n">
        <f aca="false">IF(GJ4&lt;&gt;0,GJ15/GJ4,0)</f>
        <v>0.289279383089854</v>
      </c>
      <c r="GK20" s="23" t="n">
        <f aca="false">IF(GK4&lt;&gt;0,GK15/GK4,0)</f>
        <v>0.289279383089854</v>
      </c>
      <c r="GL20" s="23" t="n">
        <f aca="false">IF(GL4&lt;&gt;0,GL15/GL4,0)</f>
        <v>0.300441479523228</v>
      </c>
      <c r="GM20" s="23" t="n">
        <f aca="false">IF(GM4&lt;&gt;0,GM15/GM4,0)</f>
        <v>0.300441479523228</v>
      </c>
      <c r="GN20" s="23" t="n">
        <f aca="false">IF(GN4&lt;&gt;0,GN15/GN4,0)</f>
        <v>0.300441479523228</v>
      </c>
      <c r="GO20" s="23" t="n">
        <f aca="false">IF(GO4&lt;&gt;0,GO15/GO4,0)</f>
        <v>0.300441479523228</v>
      </c>
      <c r="GP20" s="23" t="n">
        <f aca="false">IF(GP4&lt;&gt;0,GP15/GP4,0)</f>
        <v>0.300441479523228</v>
      </c>
      <c r="GQ20" s="23" t="n">
        <f aca="false">IF(GQ4&lt;&gt;0,GQ15/GQ4,0)</f>
        <v>0.300441479523228</v>
      </c>
      <c r="GR20" s="23" t="n">
        <f aca="false">IF(GR4&lt;&gt;0,GR15/GR4,0)</f>
        <v>0.300441479523228</v>
      </c>
      <c r="GS20" s="23" t="n">
        <f aca="false">IF(GS4&lt;&gt;0,GS15/GS4,0)</f>
        <v>0.300441479523228</v>
      </c>
      <c r="GT20" s="23" t="n">
        <f aca="false">IF(GT4&lt;&gt;0,GT15/GT4,0)</f>
        <v>0.300441479523228</v>
      </c>
      <c r="GU20" s="23" t="n">
        <f aca="false">IF(GU4&lt;&gt;0,GU15/GU4,0)</f>
        <v>0.300441479523228</v>
      </c>
      <c r="GV20" s="23" t="n">
        <f aca="false">IF(GV4&lt;&gt;0,GV15/GV4,0)</f>
        <v>0.300441479523228</v>
      </c>
      <c r="GW20" s="23" t="n">
        <f aca="false">IF(GW4&lt;&gt;0,GW15/GW4,0)</f>
        <v>0.300441479523228</v>
      </c>
      <c r="GX20" s="23" t="n">
        <f aca="false">IF(GX4&lt;&gt;0,GX15/GX4,0)</f>
        <v>0.310873345348811</v>
      </c>
      <c r="GY20" s="23" t="n">
        <f aca="false">IF(GY4&lt;&gt;0,GY15/GY4,0)</f>
        <v>0.310873345348811</v>
      </c>
      <c r="GZ20" s="23" t="n">
        <f aca="false">IF(GZ4&lt;&gt;0,GZ15/GZ4,0)</f>
        <v>0.310873345348811</v>
      </c>
      <c r="HA20" s="23" t="n">
        <f aca="false">IF(HA4&lt;&gt;0,HA15/HA4,0)</f>
        <v>0.310873345348811</v>
      </c>
      <c r="HB20" s="23" t="n">
        <f aca="false">IF(HB4&lt;&gt;0,HB15/HB4,0)</f>
        <v>0.310873345348811</v>
      </c>
      <c r="HC20" s="23" t="n">
        <f aca="false">IF(HC4&lt;&gt;0,HC15/HC4,0)</f>
        <v>0.310873345348811</v>
      </c>
      <c r="HD20" s="23" t="n">
        <f aca="false">IF(HD4&lt;&gt;0,HD15/HD4,0)</f>
        <v>0.310873345348811</v>
      </c>
      <c r="HE20" s="23" t="n">
        <f aca="false">IF(HE4&lt;&gt;0,HE15/HE4,0)</f>
        <v>0.310873345348811</v>
      </c>
      <c r="HF20" s="23" t="n">
        <f aca="false">IF(HF4&lt;&gt;0,HF15/HF4,0)</f>
        <v>0.310873345348811</v>
      </c>
      <c r="HG20" s="23" t="n">
        <f aca="false">IF(HG4&lt;&gt;0,HG15/HG4,0)</f>
        <v>0.310873345348811</v>
      </c>
      <c r="HH20" s="23" t="n">
        <f aca="false">IF(HH4&lt;&gt;0,HH15/HH4,0)</f>
        <v>0.310873345348811</v>
      </c>
      <c r="HI20" s="23" t="n">
        <f aca="false">IF(HI4&lt;&gt;0,HI15/HI4,0)</f>
        <v>0.310873345348811</v>
      </c>
      <c r="HJ20" s="23" t="n">
        <f aca="false">IF(HJ4&lt;&gt;0,HJ15/HJ4,0)</f>
        <v>0.32062275266244</v>
      </c>
      <c r="HK20" s="23" t="n">
        <f aca="false">IF(HK4&lt;&gt;0,HK15/HK4,0)</f>
        <v>0.32062275266244</v>
      </c>
      <c r="HL20" s="23" t="n">
        <f aca="false">IF(HL4&lt;&gt;0,HL15/HL4,0)</f>
        <v>0.32062275266244</v>
      </c>
      <c r="HM20" s="23" t="n">
        <f aca="false">IF(HM4&lt;&gt;0,HM15/HM4,0)</f>
        <v>0.32062275266244</v>
      </c>
      <c r="HN20" s="23" t="n">
        <f aca="false">IF(HN4&lt;&gt;0,HN15/HN4,0)</f>
        <v>0.32062275266244</v>
      </c>
      <c r="HO20" s="23" t="n">
        <f aca="false">IF(HO4&lt;&gt;0,HO15/HO4,0)</f>
        <v>0.32062275266244</v>
      </c>
      <c r="HP20" s="23" t="n">
        <f aca="false">IF(HP4&lt;&gt;0,HP15/HP4,0)</f>
        <v>0.32062275266244</v>
      </c>
      <c r="HQ20" s="23" t="n">
        <f aca="false">IF(HQ4&lt;&gt;0,HQ15/HQ4,0)</f>
        <v>0.32062275266244</v>
      </c>
      <c r="HR20" s="23" t="n">
        <f aca="false">IF(HR4&lt;&gt;0,HR15/HR4,0)</f>
        <v>0.32062275266244</v>
      </c>
      <c r="HS20" s="23" t="n">
        <f aca="false">IF(HS4&lt;&gt;0,HS15/HS4,0)</f>
        <v>0.32062275266244</v>
      </c>
      <c r="HT20" s="23" t="n">
        <f aca="false">IF(HT4&lt;&gt;0,HT15/HT4,0)</f>
        <v>0.32062275266244</v>
      </c>
      <c r="HU20" s="23" t="n">
        <f aca="false">IF(HU4&lt;&gt;0,HU15/HU4,0)</f>
        <v>0.32062275266244</v>
      </c>
      <c r="HV20" s="23" t="n">
        <f aca="false">IF(HV4&lt;&gt;0,HV15/HV4,0)</f>
        <v>0.329734348282654</v>
      </c>
      <c r="HW20" s="23" t="n">
        <f aca="false">IF(HW4&lt;&gt;0,HW15/HW4,0)</f>
        <v>0.329734348282654</v>
      </c>
      <c r="HX20" s="23" t="n">
        <f aca="false">IF(HX4&lt;&gt;0,HX15/HX4,0)</f>
        <v>0.329734348282654</v>
      </c>
      <c r="HY20" s="23" t="n">
        <f aca="false">IF(HY4&lt;&gt;0,HY15/HY4,0)</f>
        <v>0.329734348282654</v>
      </c>
      <c r="HZ20" s="23" t="n">
        <f aca="false">IF(HZ4&lt;&gt;0,HZ15/HZ4,0)</f>
        <v>0.329734348282654</v>
      </c>
      <c r="IA20" s="23" t="n">
        <f aca="false">IF(IA4&lt;&gt;0,IA15/IA4,0)</f>
        <v>0.329734348282654</v>
      </c>
      <c r="IB20" s="23" t="n">
        <f aca="false">IF(IB4&lt;&gt;0,IB15/IB4,0)</f>
        <v>0.329734348282654</v>
      </c>
      <c r="IC20" s="23" t="n">
        <f aca="false">IF(IC4&lt;&gt;0,IC15/IC4,0)</f>
        <v>0.329734348282654</v>
      </c>
      <c r="ID20" s="23" t="n">
        <f aca="false">IF(ID4&lt;&gt;0,ID15/ID4,0)</f>
        <v>0.329734348282654</v>
      </c>
      <c r="IE20" s="23" t="n">
        <f aca="false">IF(IE4&lt;&gt;0,IE15/IE4,0)</f>
        <v>0.329734348282654</v>
      </c>
      <c r="IF20" s="23" t="n">
        <f aca="false">IF(IF4&lt;&gt;0,IF15/IF4,0)</f>
        <v>0.329734348282654</v>
      </c>
      <c r="IG20" s="23" t="n">
        <f aca="false">IF(IG4&lt;&gt;0,IG15/IG4,0)</f>
        <v>0.329734348282654</v>
      </c>
      <c r="IH20" s="23" t="n">
        <f aca="false">IF(IH4&lt;&gt;0,IH15/IH4,0)</f>
        <v>0.338249858208088</v>
      </c>
      <c r="II20" s="23" t="n">
        <f aca="false">IF(II4&lt;&gt;0,II15/II4,0)</f>
        <v>0.338249858208088</v>
      </c>
      <c r="IJ20" s="23" t="n">
        <f aca="false">IF(IJ4&lt;&gt;0,IJ15/IJ4,0)</f>
        <v>0.338249858208088</v>
      </c>
      <c r="IK20" s="23" t="n">
        <f aca="false">IF(IK4&lt;&gt;0,IK15/IK4,0)</f>
        <v>0.338249858208088</v>
      </c>
      <c r="IL20" s="23" t="n">
        <f aca="false">IF(IL4&lt;&gt;0,IL15/IL4,0)</f>
        <v>0.338249858208088</v>
      </c>
      <c r="IM20" s="23" t="n">
        <f aca="false">IF(IM4&lt;&gt;0,IM15/IM4,0)</f>
        <v>0.338249858208088</v>
      </c>
      <c r="IN20" s="23" t="n">
        <f aca="false">IF(IN4&lt;&gt;0,IN15/IN4,0)</f>
        <v>0.338249858208088</v>
      </c>
      <c r="IO20" s="23" t="n">
        <f aca="false">IF(IO4&lt;&gt;0,IO15/IO4,0)</f>
        <v>0.338249858208088</v>
      </c>
      <c r="IP20" s="23" t="n">
        <f aca="false">IF(IP4&lt;&gt;0,IP15/IP4,0)</f>
        <v>0.338249858208088</v>
      </c>
      <c r="IQ20" s="23" t="n">
        <f aca="false">IF(IQ4&lt;&gt;0,IQ15/IQ4,0)</f>
        <v>0.338249858208088</v>
      </c>
      <c r="IR20" s="23" t="n">
        <f aca="false">IF(IR4&lt;&gt;0,IR15/IR4,0)</f>
        <v>0.338249858208088</v>
      </c>
      <c r="IS20" s="23" t="n">
        <f aca="false">IF(IS4&lt;&gt;0,IS15/IS4,0)</f>
        <v>0.338249858208088</v>
      </c>
      <c r="IT20" s="23" t="n">
        <f aca="false">IF(IT4&lt;&gt;0,IT15/IT4,0)</f>
        <v>0.346208278699148</v>
      </c>
      <c r="IU20" s="23" t="n">
        <f aca="false">IF(IU4&lt;&gt;0,IU15/IU4,0)</f>
        <v>0.346208278699148</v>
      </c>
      <c r="IV20" s="23" t="n">
        <f aca="false">IF(IV4&lt;&gt;0,IV15/IV4,0)</f>
        <v>0.346208278699148</v>
      </c>
      <c r="IW20" s="23" t="n">
        <f aca="false">IF(IW4&lt;&gt;0,IW15/IW4,0)</f>
        <v>0.346208278699148</v>
      </c>
      <c r="IX20" s="23" t="n">
        <f aca="false">IF(IX4&lt;&gt;0,IX15/IX4,0)</f>
        <v>0.346208278699148</v>
      </c>
      <c r="IY20" s="23" t="n">
        <f aca="false">IF(IY4&lt;&gt;0,IY15/IY4,0)</f>
        <v>0.346208278699148</v>
      </c>
      <c r="IZ20" s="23" t="n">
        <f aca="false">IF(IZ4&lt;&gt;0,IZ15/IZ4,0)</f>
        <v>0.346208278699148</v>
      </c>
      <c r="JA20" s="23" t="n">
        <f aca="false">IF(JA4&lt;&gt;0,JA15/JA4,0)</f>
        <v>0.346208278699148</v>
      </c>
      <c r="JB20" s="23" t="n">
        <f aca="false">IF(JB4&lt;&gt;0,JB15/JB4,0)</f>
        <v>0.346208278699148</v>
      </c>
      <c r="JC20" s="23" t="n">
        <f aca="false">IF(JC4&lt;&gt;0,JC15/JC4,0)</f>
        <v>0.346208278699148</v>
      </c>
      <c r="JD20" s="23" t="n">
        <f aca="false">IF(JD4&lt;&gt;0,JD15/JD4,0)</f>
        <v>0.346208278699148</v>
      </c>
      <c r="JE20" s="23" t="n">
        <f aca="false">IF(JE4&lt;&gt;0,JE15/JE4,0)</f>
        <v>0.346208278699148</v>
      </c>
      <c r="JF20" s="23" t="n">
        <f aca="false">IF(JF4&lt;&gt;0,JF15/JF4,0)</f>
        <v>0.353646054859017</v>
      </c>
      <c r="JG20" s="23" t="n">
        <f aca="false">IF(JG4&lt;&gt;0,JG15/JG4,0)</f>
        <v>0.353646054859017</v>
      </c>
      <c r="JH20" s="23" t="n">
        <f aca="false">IF(JH4&lt;&gt;0,JH15/JH4,0)</f>
        <v>0.353646054859017</v>
      </c>
      <c r="JI20" s="23" t="n">
        <f aca="false">IF(JI4&lt;&gt;0,JI15/JI4,0)</f>
        <v>0.353646054859017</v>
      </c>
      <c r="JJ20" s="23" t="n">
        <f aca="false">IF(JJ4&lt;&gt;0,JJ15/JJ4,0)</f>
        <v>0.353646054859017</v>
      </c>
      <c r="JK20" s="23" t="n">
        <f aca="false">IF(JK4&lt;&gt;0,JK15/JK4,0)</f>
        <v>0.353646054859017</v>
      </c>
      <c r="JL20" s="23" t="n">
        <f aca="false">IF(JL4&lt;&gt;0,JL15/JL4,0)</f>
        <v>0.353646054859017</v>
      </c>
      <c r="JM20" s="23" t="n">
        <f aca="false">IF(JM4&lt;&gt;0,JM15/JM4,0)</f>
        <v>0.353646054859017</v>
      </c>
      <c r="JN20" s="23" t="n">
        <f aca="false">IF(JN4&lt;&gt;0,JN15/JN4,0)</f>
        <v>0.353646054859017</v>
      </c>
      <c r="JO20" s="23" t="n">
        <f aca="false">IF(JO4&lt;&gt;0,JO15/JO4,0)</f>
        <v>0.353646054859017</v>
      </c>
      <c r="JP20" s="23" t="n">
        <f aca="false">IF(JP4&lt;&gt;0,JP15/JP4,0)</f>
        <v>0.353646054859017</v>
      </c>
      <c r="JQ20" s="23" t="n">
        <f aca="false">IF(JQ4&lt;&gt;0,JQ15/JQ4,0)</f>
        <v>0.353646054859017</v>
      </c>
      <c r="JR20" s="23" t="n">
        <f aca="false">IF(JR4&lt;&gt;0,JR15/JR4,0)</f>
        <v>0.360597247531791</v>
      </c>
      <c r="JS20" s="23" t="n">
        <f aca="false">IF(JS4&lt;&gt;0,JS15/JS4,0)</f>
        <v>0.360597247531791</v>
      </c>
      <c r="JT20" s="23" t="n">
        <f aca="false">IF(JT4&lt;&gt;0,JT15/JT4,0)</f>
        <v>0.360597247531791</v>
      </c>
      <c r="JU20" s="23" t="n">
        <f aca="false">IF(JU4&lt;&gt;0,JU15/JU4,0)</f>
        <v>0.360597247531791</v>
      </c>
      <c r="JV20" s="23" t="n">
        <f aca="false">IF(JV4&lt;&gt;0,JV15/JV4,0)</f>
        <v>0.360597247531791</v>
      </c>
      <c r="JW20" s="23" t="n">
        <f aca="false">IF(JW4&lt;&gt;0,JW15/JW4,0)</f>
        <v>0.360597247531791</v>
      </c>
      <c r="JX20" s="23" t="n">
        <f aca="false">IF(JX4&lt;&gt;0,JX15/JX4,0)</f>
        <v>0.360597247531791</v>
      </c>
      <c r="JY20" s="23" t="n">
        <f aca="false">IF(JY4&lt;&gt;0,JY15/JY4,0)</f>
        <v>0.360597247531791</v>
      </c>
      <c r="JZ20" s="23" t="n">
        <f aca="false">IF(JZ4&lt;&gt;0,JZ15/JZ4,0)</f>
        <v>0.360597247531791</v>
      </c>
      <c r="KA20" s="23" t="n">
        <f aca="false">IF(KA4&lt;&gt;0,KA15/KA4,0)</f>
        <v>0.360597247531791</v>
      </c>
      <c r="KB20" s="23" t="n">
        <f aca="false">IF(KB4&lt;&gt;0,KB15/KB4,0)</f>
        <v>0.360597247531791</v>
      </c>
      <c r="KC20" s="23" t="n">
        <f aca="false">IF(KC4&lt;&gt;0,KC15/KC4,0)</f>
        <v>0.360597247531791</v>
      </c>
      <c r="KD20" s="23" t="n">
        <f aca="false">IF(KD4&lt;&gt;0,KD15/KD4,0)</f>
        <v>0.367093689282048</v>
      </c>
      <c r="KE20" s="23" t="n">
        <f aca="false">IF(KE4&lt;&gt;0,KE15/KE4,0)</f>
        <v>0.367093689282048</v>
      </c>
      <c r="KF20" s="23" t="n">
        <f aca="false">IF(KF4&lt;&gt;0,KF15/KF4,0)</f>
        <v>0.367093689282048</v>
      </c>
      <c r="KG20" s="23" t="n">
        <f aca="false">IF(KG4&lt;&gt;0,KG15/KG4,0)</f>
        <v>0.367093689282048</v>
      </c>
      <c r="KH20" s="23" t="n">
        <f aca="false">IF(KH4&lt;&gt;0,KH15/KH4,0)</f>
        <v>0.367093689282048</v>
      </c>
      <c r="KI20" s="23" t="n">
        <f aca="false">IF(KI4&lt;&gt;0,KI15/KI4,0)</f>
        <v>0.367093689282048</v>
      </c>
      <c r="KJ20" s="23" t="n">
        <f aca="false">IF(KJ4&lt;&gt;0,KJ15/KJ4,0)</f>
        <v>0.367093689282048</v>
      </c>
      <c r="KK20" s="23" t="n">
        <f aca="false">IF(KK4&lt;&gt;0,KK15/KK4,0)</f>
        <v>0.367093689282048</v>
      </c>
      <c r="KL20" s="23" t="n">
        <f aca="false">IF(KL4&lt;&gt;0,KL15/KL4,0)</f>
        <v>0.367093689282048</v>
      </c>
      <c r="KM20" s="23" t="n">
        <f aca="false">IF(KM4&lt;&gt;0,KM15/KM4,0)</f>
        <v>0.367093689282048</v>
      </c>
      <c r="KN20" s="23" t="n">
        <f aca="false">IF(KN4&lt;&gt;0,KN15/KN4,0)</f>
        <v>0.367093689282048</v>
      </c>
      <c r="KO20" s="23" t="n">
        <f aca="false">IF(KO4&lt;&gt;0,KO15/KO4,0)</f>
        <v>0.367093689282048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O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301" min="2" style="0" width="12"/>
  </cols>
  <sheetData>
    <row r="1" customFormat="false" ht="18" hidden="false" customHeight="true" outlineLevel="0" collapsed="false">
      <c r="A1" s="13" t="s">
        <v>408</v>
      </c>
    </row>
    <row r="3" customFormat="false" ht="14.25" hidden="false" customHeight="false" outlineLevel="0" collapsed="false">
      <c r="A3" s="16" t="s">
        <v>78</v>
      </c>
      <c r="B3" s="17" t="s">
        <v>79</v>
      </c>
      <c r="C3" s="17" t="s">
        <v>80</v>
      </c>
      <c r="D3" s="17" t="s">
        <v>81</v>
      </c>
      <c r="E3" s="17" t="s">
        <v>82</v>
      </c>
      <c r="F3" s="17" t="s">
        <v>83</v>
      </c>
      <c r="G3" s="17" t="s">
        <v>84</v>
      </c>
      <c r="H3" s="17" t="s">
        <v>85</v>
      </c>
      <c r="I3" s="17" t="s">
        <v>86</v>
      </c>
      <c r="J3" s="17" t="s">
        <v>87</v>
      </c>
      <c r="K3" s="17" t="s">
        <v>88</v>
      </c>
      <c r="L3" s="17" t="s">
        <v>89</v>
      </c>
      <c r="M3" s="17" t="s">
        <v>90</v>
      </c>
      <c r="N3" s="17" t="s">
        <v>91</v>
      </c>
      <c r="O3" s="17" t="s">
        <v>92</v>
      </c>
      <c r="P3" s="17" t="s">
        <v>93</v>
      </c>
      <c r="Q3" s="17" t="s">
        <v>94</v>
      </c>
      <c r="R3" s="17" t="s">
        <v>95</v>
      </c>
      <c r="S3" s="17" t="s">
        <v>96</v>
      </c>
      <c r="T3" s="17" t="s">
        <v>97</v>
      </c>
      <c r="U3" s="17" t="s">
        <v>98</v>
      </c>
      <c r="V3" s="17" t="s">
        <v>99</v>
      </c>
      <c r="W3" s="17" t="s">
        <v>100</v>
      </c>
      <c r="X3" s="17" t="s">
        <v>101</v>
      </c>
      <c r="Y3" s="17" t="s">
        <v>102</v>
      </c>
      <c r="Z3" s="17" t="s">
        <v>103</v>
      </c>
      <c r="AA3" s="17" t="s">
        <v>104</v>
      </c>
      <c r="AB3" s="17" t="s">
        <v>105</v>
      </c>
      <c r="AC3" s="17" t="s">
        <v>106</v>
      </c>
      <c r="AD3" s="17" t="s">
        <v>107</v>
      </c>
      <c r="AE3" s="17" t="s">
        <v>108</v>
      </c>
      <c r="AF3" s="17" t="s">
        <v>109</v>
      </c>
      <c r="AG3" s="17" t="s">
        <v>110</v>
      </c>
      <c r="AH3" s="17" t="s">
        <v>111</v>
      </c>
      <c r="AI3" s="17" t="s">
        <v>112</v>
      </c>
      <c r="AJ3" s="17" t="s">
        <v>113</v>
      </c>
      <c r="AK3" s="17" t="s">
        <v>114</v>
      </c>
      <c r="AL3" s="17" t="s">
        <v>115</v>
      </c>
      <c r="AM3" s="17" t="s">
        <v>116</v>
      </c>
      <c r="AN3" s="17" t="s">
        <v>117</v>
      </c>
      <c r="AO3" s="17" t="s">
        <v>118</v>
      </c>
      <c r="AP3" s="17" t="s">
        <v>119</v>
      </c>
      <c r="AQ3" s="17" t="s">
        <v>120</v>
      </c>
      <c r="AR3" s="17" t="s">
        <v>121</v>
      </c>
      <c r="AS3" s="17" t="s">
        <v>122</v>
      </c>
      <c r="AT3" s="17" t="s">
        <v>123</v>
      </c>
      <c r="AU3" s="17" t="s">
        <v>124</v>
      </c>
      <c r="AV3" s="17" t="s">
        <v>125</v>
      </c>
      <c r="AW3" s="17" t="s">
        <v>126</v>
      </c>
      <c r="AX3" s="17" t="s">
        <v>127</v>
      </c>
      <c r="AY3" s="17" t="s">
        <v>128</v>
      </c>
      <c r="AZ3" s="17" t="s">
        <v>129</v>
      </c>
      <c r="BA3" s="17" t="s">
        <v>130</v>
      </c>
      <c r="BB3" s="17" t="s">
        <v>131</v>
      </c>
      <c r="BC3" s="17" t="s">
        <v>132</v>
      </c>
      <c r="BD3" s="17" t="s">
        <v>133</v>
      </c>
      <c r="BE3" s="17" t="s">
        <v>134</v>
      </c>
      <c r="BF3" s="17" t="s">
        <v>135</v>
      </c>
      <c r="BG3" s="17" t="s">
        <v>136</v>
      </c>
      <c r="BH3" s="17" t="s">
        <v>137</v>
      </c>
      <c r="BI3" s="17" t="s">
        <v>138</v>
      </c>
      <c r="BJ3" s="17" t="s">
        <v>139</v>
      </c>
      <c r="BK3" s="17" t="s">
        <v>140</v>
      </c>
      <c r="BL3" s="17" t="s">
        <v>141</v>
      </c>
      <c r="BM3" s="17" t="s">
        <v>142</v>
      </c>
      <c r="BN3" s="17" t="s">
        <v>143</v>
      </c>
      <c r="BO3" s="17" t="s">
        <v>144</v>
      </c>
      <c r="BP3" s="17" t="s">
        <v>145</v>
      </c>
      <c r="BQ3" s="17" t="s">
        <v>146</v>
      </c>
      <c r="BR3" s="17" t="s">
        <v>147</v>
      </c>
      <c r="BS3" s="17" t="s">
        <v>148</v>
      </c>
      <c r="BT3" s="17" t="s">
        <v>149</v>
      </c>
      <c r="BU3" s="17" t="s">
        <v>150</v>
      </c>
      <c r="BV3" s="17" t="s">
        <v>151</v>
      </c>
      <c r="BW3" s="17" t="s">
        <v>152</v>
      </c>
      <c r="BX3" s="17" t="s">
        <v>153</v>
      </c>
      <c r="BY3" s="17" t="s">
        <v>154</v>
      </c>
      <c r="BZ3" s="17" t="s">
        <v>155</v>
      </c>
      <c r="CA3" s="17" t="s">
        <v>156</v>
      </c>
      <c r="CB3" s="17" t="s">
        <v>157</v>
      </c>
      <c r="CC3" s="17" t="s">
        <v>158</v>
      </c>
      <c r="CD3" s="17" t="s">
        <v>159</v>
      </c>
      <c r="CE3" s="17" t="s">
        <v>160</v>
      </c>
      <c r="CF3" s="17" t="s">
        <v>161</v>
      </c>
      <c r="CG3" s="17" t="s">
        <v>162</v>
      </c>
      <c r="CH3" s="17" t="s">
        <v>163</v>
      </c>
      <c r="CI3" s="17" t="s">
        <v>164</v>
      </c>
      <c r="CJ3" s="17" t="s">
        <v>165</v>
      </c>
      <c r="CK3" s="17" t="s">
        <v>166</v>
      </c>
      <c r="CL3" s="17" t="s">
        <v>167</v>
      </c>
      <c r="CM3" s="17" t="s">
        <v>168</v>
      </c>
      <c r="CN3" s="17" t="s">
        <v>169</v>
      </c>
      <c r="CO3" s="17" t="s">
        <v>170</v>
      </c>
      <c r="CP3" s="17" t="s">
        <v>171</v>
      </c>
      <c r="CQ3" s="17" t="s">
        <v>172</v>
      </c>
      <c r="CR3" s="17" t="s">
        <v>173</v>
      </c>
      <c r="CS3" s="17" t="s">
        <v>174</v>
      </c>
      <c r="CT3" s="17" t="s">
        <v>175</v>
      </c>
      <c r="CU3" s="17" t="s">
        <v>176</v>
      </c>
      <c r="CV3" s="17" t="s">
        <v>177</v>
      </c>
      <c r="CW3" s="17" t="s">
        <v>178</v>
      </c>
      <c r="CX3" s="17" t="s">
        <v>179</v>
      </c>
      <c r="CY3" s="17" t="s">
        <v>180</v>
      </c>
      <c r="CZ3" s="17" t="s">
        <v>181</v>
      </c>
      <c r="DA3" s="17" t="s">
        <v>182</v>
      </c>
      <c r="DB3" s="17" t="s">
        <v>183</v>
      </c>
      <c r="DC3" s="17" t="s">
        <v>184</v>
      </c>
      <c r="DD3" s="17" t="s">
        <v>185</v>
      </c>
      <c r="DE3" s="17" t="s">
        <v>186</v>
      </c>
      <c r="DF3" s="17" t="s">
        <v>187</v>
      </c>
      <c r="DG3" s="17" t="s">
        <v>188</v>
      </c>
      <c r="DH3" s="17" t="s">
        <v>189</v>
      </c>
      <c r="DI3" s="17" t="s">
        <v>190</v>
      </c>
      <c r="DJ3" s="17" t="s">
        <v>191</v>
      </c>
      <c r="DK3" s="17" t="s">
        <v>192</v>
      </c>
      <c r="DL3" s="17" t="s">
        <v>193</v>
      </c>
      <c r="DM3" s="17" t="s">
        <v>194</v>
      </c>
      <c r="DN3" s="17" t="s">
        <v>195</v>
      </c>
      <c r="DO3" s="17" t="s">
        <v>196</v>
      </c>
      <c r="DP3" s="17" t="s">
        <v>197</v>
      </c>
      <c r="DQ3" s="17" t="s">
        <v>198</v>
      </c>
      <c r="DR3" s="17" t="s">
        <v>199</v>
      </c>
      <c r="DS3" s="17" t="s">
        <v>200</v>
      </c>
      <c r="DT3" s="17" t="s">
        <v>201</v>
      </c>
      <c r="DU3" s="17" t="s">
        <v>202</v>
      </c>
      <c r="DV3" s="17" t="s">
        <v>203</v>
      </c>
      <c r="DW3" s="17" t="s">
        <v>204</v>
      </c>
      <c r="DX3" s="17" t="s">
        <v>205</v>
      </c>
      <c r="DY3" s="17" t="s">
        <v>206</v>
      </c>
      <c r="DZ3" s="17" t="s">
        <v>207</v>
      </c>
      <c r="EA3" s="17" t="s">
        <v>208</v>
      </c>
      <c r="EB3" s="17" t="s">
        <v>209</v>
      </c>
      <c r="EC3" s="17" t="s">
        <v>210</v>
      </c>
      <c r="ED3" s="17" t="s">
        <v>211</v>
      </c>
      <c r="EE3" s="17" t="s">
        <v>212</v>
      </c>
      <c r="EF3" s="17" t="s">
        <v>213</v>
      </c>
      <c r="EG3" s="17" t="s">
        <v>214</v>
      </c>
      <c r="EH3" s="17" t="s">
        <v>215</v>
      </c>
      <c r="EI3" s="17" t="s">
        <v>216</v>
      </c>
      <c r="EJ3" s="17" t="s">
        <v>217</v>
      </c>
      <c r="EK3" s="17" t="s">
        <v>218</v>
      </c>
      <c r="EL3" s="17" t="s">
        <v>219</v>
      </c>
      <c r="EM3" s="17" t="s">
        <v>220</v>
      </c>
      <c r="EN3" s="17" t="s">
        <v>221</v>
      </c>
      <c r="EO3" s="17" t="s">
        <v>222</v>
      </c>
      <c r="EP3" s="17" t="s">
        <v>223</v>
      </c>
      <c r="EQ3" s="17" t="s">
        <v>224</v>
      </c>
      <c r="ER3" s="17" t="s">
        <v>225</v>
      </c>
      <c r="ES3" s="17" t="s">
        <v>226</v>
      </c>
      <c r="ET3" s="17" t="s">
        <v>227</v>
      </c>
      <c r="EU3" s="17" t="s">
        <v>228</v>
      </c>
      <c r="EV3" s="17" t="s">
        <v>229</v>
      </c>
      <c r="EW3" s="17" t="s">
        <v>230</v>
      </c>
      <c r="EX3" s="17" t="s">
        <v>231</v>
      </c>
      <c r="EY3" s="17" t="s">
        <v>232</v>
      </c>
      <c r="EZ3" s="17" t="s">
        <v>233</v>
      </c>
      <c r="FA3" s="17" t="s">
        <v>234</v>
      </c>
      <c r="FB3" s="17" t="s">
        <v>235</v>
      </c>
      <c r="FC3" s="17" t="s">
        <v>236</v>
      </c>
      <c r="FD3" s="17" t="s">
        <v>237</v>
      </c>
      <c r="FE3" s="17" t="s">
        <v>238</v>
      </c>
      <c r="FF3" s="17" t="s">
        <v>239</v>
      </c>
      <c r="FG3" s="17" t="s">
        <v>240</v>
      </c>
      <c r="FH3" s="17" t="s">
        <v>241</v>
      </c>
      <c r="FI3" s="17" t="s">
        <v>242</v>
      </c>
      <c r="FJ3" s="17" t="s">
        <v>243</v>
      </c>
      <c r="FK3" s="17" t="s">
        <v>244</v>
      </c>
      <c r="FL3" s="17" t="s">
        <v>245</v>
      </c>
      <c r="FM3" s="17" t="s">
        <v>246</v>
      </c>
      <c r="FN3" s="17" t="s">
        <v>247</v>
      </c>
      <c r="FO3" s="17" t="s">
        <v>248</v>
      </c>
      <c r="FP3" s="17" t="s">
        <v>249</v>
      </c>
      <c r="FQ3" s="17" t="s">
        <v>250</v>
      </c>
      <c r="FR3" s="17" t="s">
        <v>251</v>
      </c>
      <c r="FS3" s="17" t="s">
        <v>252</v>
      </c>
      <c r="FT3" s="17" t="s">
        <v>253</v>
      </c>
      <c r="FU3" s="17" t="s">
        <v>254</v>
      </c>
      <c r="FV3" s="17" t="s">
        <v>255</v>
      </c>
      <c r="FW3" s="17" t="s">
        <v>256</v>
      </c>
      <c r="FX3" s="17" t="s">
        <v>257</v>
      </c>
      <c r="FY3" s="17" t="s">
        <v>258</v>
      </c>
      <c r="FZ3" s="17" t="s">
        <v>259</v>
      </c>
      <c r="GA3" s="17" t="s">
        <v>260</v>
      </c>
      <c r="GB3" s="17" t="s">
        <v>261</v>
      </c>
      <c r="GC3" s="17" t="s">
        <v>262</v>
      </c>
      <c r="GD3" s="17" t="s">
        <v>263</v>
      </c>
      <c r="GE3" s="17" t="s">
        <v>264</v>
      </c>
      <c r="GF3" s="17" t="s">
        <v>265</v>
      </c>
      <c r="GG3" s="17" t="s">
        <v>266</v>
      </c>
      <c r="GH3" s="17" t="s">
        <v>267</v>
      </c>
      <c r="GI3" s="17" t="s">
        <v>268</v>
      </c>
      <c r="GJ3" s="17" t="s">
        <v>269</v>
      </c>
      <c r="GK3" s="17" t="s">
        <v>270</v>
      </c>
      <c r="GL3" s="17" t="s">
        <v>271</v>
      </c>
      <c r="GM3" s="17" t="s">
        <v>272</v>
      </c>
      <c r="GN3" s="17" t="s">
        <v>273</v>
      </c>
      <c r="GO3" s="17" t="s">
        <v>274</v>
      </c>
      <c r="GP3" s="17" t="s">
        <v>275</v>
      </c>
      <c r="GQ3" s="17" t="s">
        <v>276</v>
      </c>
      <c r="GR3" s="17" t="s">
        <v>277</v>
      </c>
      <c r="GS3" s="17" t="s">
        <v>278</v>
      </c>
      <c r="GT3" s="17" t="s">
        <v>279</v>
      </c>
      <c r="GU3" s="17" t="s">
        <v>280</v>
      </c>
      <c r="GV3" s="17" t="s">
        <v>281</v>
      </c>
      <c r="GW3" s="17" t="s">
        <v>282</v>
      </c>
      <c r="GX3" s="17" t="s">
        <v>283</v>
      </c>
      <c r="GY3" s="17" t="s">
        <v>284</v>
      </c>
      <c r="GZ3" s="17" t="s">
        <v>285</v>
      </c>
      <c r="HA3" s="17" t="s">
        <v>286</v>
      </c>
      <c r="HB3" s="17" t="s">
        <v>287</v>
      </c>
      <c r="HC3" s="17" t="s">
        <v>288</v>
      </c>
      <c r="HD3" s="17" t="s">
        <v>289</v>
      </c>
      <c r="HE3" s="17" t="s">
        <v>290</v>
      </c>
      <c r="HF3" s="17" t="s">
        <v>291</v>
      </c>
      <c r="HG3" s="17" t="s">
        <v>292</v>
      </c>
      <c r="HH3" s="17" t="s">
        <v>293</v>
      </c>
      <c r="HI3" s="17" t="s">
        <v>294</v>
      </c>
      <c r="HJ3" s="17" t="s">
        <v>295</v>
      </c>
      <c r="HK3" s="17" t="s">
        <v>296</v>
      </c>
      <c r="HL3" s="17" t="s">
        <v>297</v>
      </c>
      <c r="HM3" s="17" t="s">
        <v>298</v>
      </c>
      <c r="HN3" s="17" t="s">
        <v>299</v>
      </c>
      <c r="HO3" s="17" t="s">
        <v>300</v>
      </c>
      <c r="HP3" s="17" t="s">
        <v>301</v>
      </c>
      <c r="HQ3" s="17" t="s">
        <v>302</v>
      </c>
      <c r="HR3" s="17" t="s">
        <v>303</v>
      </c>
      <c r="HS3" s="17" t="s">
        <v>304</v>
      </c>
      <c r="HT3" s="17" t="s">
        <v>305</v>
      </c>
      <c r="HU3" s="17" t="s">
        <v>306</v>
      </c>
      <c r="HV3" s="17" t="s">
        <v>307</v>
      </c>
      <c r="HW3" s="17" t="s">
        <v>308</v>
      </c>
      <c r="HX3" s="17" t="s">
        <v>309</v>
      </c>
      <c r="HY3" s="17" t="s">
        <v>310</v>
      </c>
      <c r="HZ3" s="17" t="s">
        <v>311</v>
      </c>
      <c r="IA3" s="17" t="s">
        <v>312</v>
      </c>
      <c r="IB3" s="17" t="s">
        <v>313</v>
      </c>
      <c r="IC3" s="17" t="s">
        <v>314</v>
      </c>
      <c r="ID3" s="17" t="s">
        <v>315</v>
      </c>
      <c r="IE3" s="17" t="s">
        <v>316</v>
      </c>
      <c r="IF3" s="17" t="s">
        <v>317</v>
      </c>
      <c r="IG3" s="17" t="s">
        <v>318</v>
      </c>
      <c r="IH3" s="17" t="s">
        <v>319</v>
      </c>
      <c r="II3" s="17" t="s">
        <v>320</v>
      </c>
      <c r="IJ3" s="17" t="s">
        <v>321</v>
      </c>
      <c r="IK3" s="17" t="s">
        <v>322</v>
      </c>
      <c r="IL3" s="17" t="s">
        <v>323</v>
      </c>
      <c r="IM3" s="17" t="s">
        <v>324</v>
      </c>
      <c r="IN3" s="17" t="s">
        <v>325</v>
      </c>
      <c r="IO3" s="17" t="s">
        <v>326</v>
      </c>
      <c r="IP3" s="17" t="s">
        <v>327</v>
      </c>
      <c r="IQ3" s="17" t="s">
        <v>328</v>
      </c>
      <c r="IR3" s="17" t="s">
        <v>329</v>
      </c>
      <c r="IS3" s="17" t="s">
        <v>330</v>
      </c>
      <c r="IT3" s="17" t="s">
        <v>331</v>
      </c>
      <c r="IU3" s="17" t="s">
        <v>332</v>
      </c>
      <c r="IV3" s="17" t="s">
        <v>333</v>
      </c>
      <c r="IW3" s="17" t="s">
        <v>334</v>
      </c>
      <c r="IX3" s="17" t="s">
        <v>335</v>
      </c>
      <c r="IY3" s="17" t="s">
        <v>336</v>
      </c>
      <c r="IZ3" s="17" t="s">
        <v>337</v>
      </c>
      <c r="JA3" s="17" t="s">
        <v>338</v>
      </c>
      <c r="JB3" s="17" t="s">
        <v>339</v>
      </c>
      <c r="JC3" s="17" t="s">
        <v>340</v>
      </c>
      <c r="JD3" s="17" t="s">
        <v>341</v>
      </c>
      <c r="JE3" s="17" t="s">
        <v>342</v>
      </c>
      <c r="JF3" s="17" t="s">
        <v>343</v>
      </c>
      <c r="JG3" s="17" t="s">
        <v>344</v>
      </c>
      <c r="JH3" s="17" t="s">
        <v>345</v>
      </c>
      <c r="JI3" s="17" t="s">
        <v>346</v>
      </c>
      <c r="JJ3" s="17" t="s">
        <v>347</v>
      </c>
      <c r="JK3" s="17" t="s">
        <v>348</v>
      </c>
      <c r="JL3" s="17" t="s">
        <v>349</v>
      </c>
      <c r="JM3" s="17" t="s">
        <v>350</v>
      </c>
      <c r="JN3" s="17" t="s">
        <v>351</v>
      </c>
      <c r="JO3" s="17" t="s">
        <v>352</v>
      </c>
      <c r="JP3" s="17" t="s">
        <v>353</v>
      </c>
      <c r="JQ3" s="17" t="s">
        <v>354</v>
      </c>
      <c r="JR3" s="17" t="s">
        <v>355</v>
      </c>
      <c r="JS3" s="17" t="s">
        <v>356</v>
      </c>
      <c r="JT3" s="17" t="s">
        <v>357</v>
      </c>
      <c r="JU3" s="17" t="s">
        <v>358</v>
      </c>
      <c r="JV3" s="17" t="s">
        <v>359</v>
      </c>
      <c r="JW3" s="17" t="s">
        <v>360</v>
      </c>
      <c r="JX3" s="17" t="s">
        <v>361</v>
      </c>
      <c r="JY3" s="17" t="s">
        <v>362</v>
      </c>
      <c r="JZ3" s="17" t="s">
        <v>363</v>
      </c>
      <c r="KA3" s="17" t="s">
        <v>364</v>
      </c>
      <c r="KB3" s="17" t="s">
        <v>365</v>
      </c>
      <c r="KC3" s="17" t="s">
        <v>366</v>
      </c>
      <c r="KD3" s="17" t="s">
        <v>367</v>
      </c>
      <c r="KE3" s="17" t="s">
        <v>368</v>
      </c>
      <c r="KF3" s="17" t="s">
        <v>369</v>
      </c>
      <c r="KG3" s="17" t="s">
        <v>370</v>
      </c>
      <c r="KH3" s="17" t="s">
        <v>371</v>
      </c>
      <c r="KI3" s="17" t="s">
        <v>372</v>
      </c>
      <c r="KJ3" s="17" t="s">
        <v>373</v>
      </c>
      <c r="KK3" s="17" t="s">
        <v>374</v>
      </c>
      <c r="KL3" s="17" t="s">
        <v>375</v>
      </c>
      <c r="KM3" s="17" t="s">
        <v>376</v>
      </c>
      <c r="KN3" s="17" t="s">
        <v>377</v>
      </c>
      <c r="KO3" s="17" t="s">
        <v>378</v>
      </c>
    </row>
    <row r="4" customFormat="false" ht="14.25" hidden="false" customHeight="false" outlineLevel="0" collapsed="false">
      <c r="A4" s="0" t="s">
        <v>409</v>
      </c>
      <c r="B4" s="18" t="n">
        <f aca="false">Supuestos!$B$27</f>
        <v>4000000</v>
      </c>
      <c r="C4" s="22" t="n">
        <f aca="false">B7</f>
        <v>3944128.53917194</v>
      </c>
      <c r="D4" s="22" t="n">
        <f aca="false">C7</f>
        <v>3887931.16148904</v>
      </c>
      <c r="E4" s="22" t="n">
        <f aca="false">D7</f>
        <v>3831405.96576966</v>
      </c>
      <c r="F4" s="22" t="n">
        <f aca="false">E7</f>
        <v>3774551.03974192</v>
      </c>
      <c r="G4" s="22" t="n">
        <f aca="false">F7</f>
        <v>3717364.45997902</v>
      </c>
      <c r="H4" s="22" t="n">
        <f aca="false">G7</f>
        <v>3659844.29183416</v>
      </c>
      <c r="I4" s="22" t="n">
        <f aca="false">H7</f>
        <v>3601988.58937513</v>
      </c>
      <c r="J4" s="22" t="n">
        <f aca="false">I7</f>
        <v>3543795.39531842</v>
      </c>
      <c r="K4" s="22" t="n">
        <f aca="false">J7</f>
        <v>3485262.74096305</v>
      </c>
      <c r="L4" s="22" t="n">
        <f aca="false">K7</f>
        <v>3426388.64612393</v>
      </c>
      <c r="M4" s="22" t="n">
        <f aca="false">L7</f>
        <v>3367171.11906493</v>
      </c>
      <c r="N4" s="22" t="n">
        <f aca="false">M7</f>
        <v>3307608.15643141</v>
      </c>
      <c r="O4" s="22" t="n">
        <f aca="false">N7</f>
        <v>3247697.74318253</v>
      </c>
      <c r="P4" s="22" t="n">
        <f aca="false">O7</f>
        <v>3187437.85252303</v>
      </c>
      <c r="Q4" s="22" t="n">
        <f aca="false">P7</f>
        <v>3126826.44583468</v>
      </c>
      <c r="R4" s="22" t="n">
        <f aca="false">Q7</f>
        <v>3065861.47260732</v>
      </c>
      <c r="S4" s="22" t="n">
        <f aca="false">R7</f>
        <v>3004540.87036946</v>
      </c>
      <c r="T4" s="22" t="n">
        <f aca="false">S7</f>
        <v>2942862.56461855</v>
      </c>
      <c r="U4" s="22" t="n">
        <f aca="false">T7</f>
        <v>2880824.46875076</v>
      </c>
      <c r="V4" s="22" t="n">
        <f aca="false">U7</f>
        <v>2818424.48399041</v>
      </c>
      <c r="W4" s="22" t="n">
        <f aca="false">V7</f>
        <v>2755660.49931896</v>
      </c>
      <c r="X4" s="22" t="n">
        <f aca="false">W7</f>
        <v>2692530.39140359</v>
      </c>
      <c r="Y4" s="22" t="n">
        <f aca="false">X7</f>
        <v>2629032.02452537</v>
      </c>
      <c r="Z4" s="22" t="n">
        <f aca="false">Y7</f>
        <v>2565163.25050704</v>
      </c>
      <c r="AA4" s="22" t="n">
        <f aca="false">Z7</f>
        <v>2500921.90864027</v>
      </c>
      <c r="AB4" s="22" t="n">
        <f aca="false">AA7</f>
        <v>2436305.8256126</v>
      </c>
      <c r="AC4" s="22" t="n">
        <f aca="false">AB7</f>
        <v>2371312.81543395</v>
      </c>
      <c r="AD4" s="22" t="n">
        <f aca="false">AC7</f>
        <v>2305940.67936258</v>
      </c>
      <c r="AE4" s="22" t="n">
        <f aca="false">AD7</f>
        <v>2240187.2058308</v>
      </c>
      <c r="AF4" s="22" t="n">
        <f aca="false">AE7</f>
        <v>2174050.17037008</v>
      </c>
      <c r="AG4" s="22" t="n">
        <f aca="false">AF7</f>
        <v>2107527.33553584</v>
      </c>
      <c r="AH4" s="22" t="n">
        <f aca="false">AG7</f>
        <v>2040616.45083173</v>
      </c>
      <c r="AI4" s="22" t="n">
        <f aca="false">AH7</f>
        <v>1973315.25263352</v>
      </c>
      <c r="AJ4" s="22" t="n">
        <f aca="false">AI7</f>
        <v>1905621.46411248</v>
      </c>
      <c r="AK4" s="22" t="n">
        <f aca="false">AJ7</f>
        <v>1837532.79515841</v>
      </c>
      <c r="AL4" s="22" t="n">
        <f aca="false">AK7</f>
        <v>1769046.9423021</v>
      </c>
      <c r="AM4" s="22" t="n">
        <f aca="false">AL7</f>
        <v>1700161.58863747</v>
      </c>
      <c r="AN4" s="22" t="n">
        <f aca="false">AM7</f>
        <v>1630874.40374312</v>
      </c>
      <c r="AO4" s="22" t="n">
        <f aca="false">AN7</f>
        <v>1561183.04360356</v>
      </c>
      <c r="AP4" s="22" t="n">
        <f aca="false">AO7</f>
        <v>1491085.15052985</v>
      </c>
      <c r="AQ4" s="22" t="n">
        <f aca="false">AP7</f>
        <v>1420578.35307987</v>
      </c>
      <c r="AR4" s="22" t="n">
        <f aca="false">AQ7</f>
        <v>1349660.26597811</v>
      </c>
      <c r="AS4" s="22" t="n">
        <f aca="false">AR7</f>
        <v>1278328.49003491</v>
      </c>
      <c r="AT4" s="22" t="n">
        <f aca="false">AS7</f>
        <v>1206580.61206539</v>
      </c>
      <c r="AU4" s="22" t="n">
        <f aca="false">AT7</f>
        <v>1134414.2048077</v>
      </c>
      <c r="AV4" s="22" t="n">
        <f aca="false">AU7</f>
        <v>1061826.82684102</v>
      </c>
      <c r="AW4" s="22" t="n">
        <f aca="false">AV7</f>
        <v>988816.022502856</v>
      </c>
      <c r="AX4" s="22" t="n">
        <f aca="false">AW7</f>
        <v>915379.321806058</v>
      </c>
      <c r="AY4" s="22" t="n">
        <f aca="false">AX7</f>
        <v>841514.240355195</v>
      </c>
      <c r="AZ4" s="22" t="n">
        <f aca="false">AY7</f>
        <v>767218.279262536</v>
      </c>
      <c r="BA4" s="22" t="n">
        <f aca="false">AZ7</f>
        <v>692488.925063503</v>
      </c>
      <c r="BB4" s="22" t="n">
        <f aca="false">BA7</f>
        <v>617323.649631642</v>
      </c>
      <c r="BC4" s="22" t="n">
        <f aca="false">BB7</f>
        <v>541719.910093095</v>
      </c>
      <c r="BD4" s="22" t="n">
        <f aca="false">BC7</f>
        <v>465675.148740573</v>
      </c>
      <c r="BE4" s="22" t="n">
        <f aca="false">BD7</f>
        <v>389186.792946828</v>
      </c>
      <c r="BF4" s="22" t="n">
        <f aca="false">BE7</f>
        <v>312252.25507762</v>
      </c>
      <c r="BG4" s="22" t="n">
        <f aca="false">BF7</f>
        <v>234868.932404174</v>
      </c>
      <c r="BH4" s="22" t="n">
        <f aca="false">BG7</f>
        <v>157034.207015134</v>
      </c>
      <c r="BI4" s="22" t="n">
        <f aca="false">BH7</f>
        <v>78745.4457279906</v>
      </c>
      <c r="BJ4" s="22" t="n">
        <f aca="false">BI7</f>
        <v>5.67524693906307E-009</v>
      </c>
      <c r="BK4" s="22" t="n">
        <f aca="false">BJ7</f>
        <v>5.70835254620761E-009</v>
      </c>
      <c r="BL4" s="22" t="n">
        <f aca="false">BK7</f>
        <v>5.74165126939382E-009</v>
      </c>
      <c r="BM4" s="22" t="n">
        <f aca="false">BL7</f>
        <v>5.77514423513195E-009</v>
      </c>
      <c r="BN4" s="22" t="n">
        <f aca="false">BM7</f>
        <v>5.80883257650355E-009</v>
      </c>
      <c r="BO4" s="22" t="n">
        <f aca="false">BN7</f>
        <v>5.84271743319982E-009</v>
      </c>
      <c r="BP4" s="22" t="n">
        <f aca="false">BO7</f>
        <v>5.87679995156015E-009</v>
      </c>
      <c r="BQ4" s="22" t="n">
        <f aca="false">BP7</f>
        <v>5.91108128461092E-009</v>
      </c>
      <c r="BR4" s="22" t="n">
        <f aca="false">BQ7</f>
        <v>5.94556259210449E-009</v>
      </c>
      <c r="BS4" s="22" t="n">
        <f aca="false">BR7</f>
        <v>5.98024504055843E-009</v>
      </c>
      <c r="BT4" s="22" t="n">
        <f aca="false">BS7</f>
        <v>6.01512980329502E-009</v>
      </c>
      <c r="BU4" s="22" t="n">
        <f aca="false">BT7</f>
        <v>6.05021806048091E-009</v>
      </c>
      <c r="BV4" s="22" t="n">
        <f aca="false">BU7</f>
        <v>6.08551099916705E-009</v>
      </c>
      <c r="BW4" s="22" t="n">
        <f aca="false">BV7</f>
        <v>6.12100981332885E-009</v>
      </c>
      <c r="BX4" s="22" t="n">
        <f aca="false">BW7</f>
        <v>6.15671570390661E-009</v>
      </c>
      <c r="BY4" s="22" t="n">
        <f aca="false">BX7</f>
        <v>6.19262987884606E-009</v>
      </c>
      <c r="BZ4" s="22" t="n">
        <f aca="false">BY7</f>
        <v>6.22875355313933E-009</v>
      </c>
      <c r="CA4" s="22" t="n">
        <f aca="false">BZ7</f>
        <v>6.26508794886598E-009</v>
      </c>
      <c r="CB4" s="22" t="n">
        <f aca="false">CA7</f>
        <v>6.30163429523436E-009</v>
      </c>
      <c r="CC4" s="22" t="n">
        <f aca="false">CB7</f>
        <v>6.33839382862323E-009</v>
      </c>
      <c r="CD4" s="22" t="n">
        <f aca="false">CC7</f>
        <v>6.37536779262353E-009</v>
      </c>
      <c r="CE4" s="22" t="n">
        <f aca="false">CD7</f>
        <v>6.4125574380805E-009</v>
      </c>
      <c r="CF4" s="22" t="n">
        <f aca="false">CE7</f>
        <v>6.44996402313597E-009</v>
      </c>
      <c r="CG4" s="22" t="n">
        <f aca="false">CF7</f>
        <v>6.48758881327093E-009</v>
      </c>
      <c r="CH4" s="22" t="n">
        <f aca="false">CG7</f>
        <v>6.52543308134834E-009</v>
      </c>
      <c r="CI4" s="22" t="n">
        <f aca="false">CH7</f>
        <v>6.56349810765621E-009</v>
      </c>
      <c r="CJ4" s="22" t="n">
        <f aca="false">CI7</f>
        <v>6.60178517995087E-009</v>
      </c>
      <c r="CK4" s="22" t="n">
        <f aca="false">CJ7</f>
        <v>6.64029559350058E-009</v>
      </c>
      <c r="CL4" s="22" t="n">
        <f aca="false">CK7</f>
        <v>6.67903065112934E-009</v>
      </c>
      <c r="CM4" s="22" t="n">
        <f aca="false">CL7</f>
        <v>6.71799166326093E-009</v>
      </c>
      <c r="CN4" s="22" t="n">
        <f aca="false">CM7</f>
        <v>6.75717994796328E-009</v>
      </c>
      <c r="CO4" s="22" t="n">
        <f aca="false">CN7</f>
        <v>6.79659683099307E-009</v>
      </c>
      <c r="CP4" s="22" t="n">
        <f aca="false">CO7</f>
        <v>6.83624364584053E-009</v>
      </c>
      <c r="CQ4" s="22" t="n">
        <f aca="false">CP7</f>
        <v>6.8761217337746E-009</v>
      </c>
      <c r="CR4" s="22" t="n">
        <f aca="false">CQ7</f>
        <v>6.91623244388828E-009</v>
      </c>
      <c r="CS4" s="22" t="n">
        <f aca="false">CR7</f>
        <v>6.9565771331443E-009</v>
      </c>
      <c r="CT4" s="22" t="n">
        <f aca="false">CS7</f>
        <v>6.99715716642097E-009</v>
      </c>
      <c r="CU4" s="22" t="n">
        <f aca="false">CT7</f>
        <v>7.03797391655843E-009</v>
      </c>
      <c r="CV4" s="22" t="n">
        <f aca="false">CU7</f>
        <v>7.07902876440502E-009</v>
      </c>
      <c r="CW4" s="22" t="n">
        <f aca="false">CV7</f>
        <v>7.12032309886405E-009</v>
      </c>
      <c r="CX4" s="22" t="n">
        <f aca="false">CW7</f>
        <v>7.16185831694075E-009</v>
      </c>
      <c r="CY4" s="22" t="n">
        <f aca="false">CX7</f>
        <v>7.20363582378958E-009</v>
      </c>
      <c r="CZ4" s="22" t="n">
        <f aca="false">CY7</f>
        <v>7.24565703276168E-009</v>
      </c>
      <c r="DA4" s="22" t="n">
        <f aca="false">CZ7</f>
        <v>7.28792336545279E-009</v>
      </c>
      <c r="DB4" s="22" t="n">
        <f aca="false">DA7</f>
        <v>7.33043625175127E-009</v>
      </c>
      <c r="DC4" s="22" t="n">
        <f aca="false">DB7</f>
        <v>7.37319712988648E-009</v>
      </c>
      <c r="DD4" s="22" t="n">
        <f aca="false">DC7</f>
        <v>7.41620744647749E-009</v>
      </c>
      <c r="DE4" s="22" t="n">
        <f aca="false">DD7</f>
        <v>7.45946865658194E-009</v>
      </c>
      <c r="DF4" s="22" t="n">
        <f aca="false">DE7</f>
        <v>7.50298222374533E-009</v>
      </c>
      <c r="DG4" s="22" t="n">
        <f aca="false">DF7</f>
        <v>7.54674962005052E-009</v>
      </c>
      <c r="DH4" s="22" t="n">
        <f aca="false">DG7</f>
        <v>7.59077232616748E-009</v>
      </c>
      <c r="DI4" s="22" t="n">
        <f aca="false">DH7</f>
        <v>7.63505183140345E-009</v>
      </c>
      <c r="DJ4" s="22" t="n">
        <f aca="false">DI7</f>
        <v>7.67958963375331E-009</v>
      </c>
      <c r="DK4" s="22" t="n">
        <f aca="false">DJ7</f>
        <v>7.7243872399502E-009</v>
      </c>
      <c r="DL4" s="22" t="n">
        <f aca="false">DK7</f>
        <v>7.76944616551658E-009</v>
      </c>
      <c r="DM4" s="22" t="n">
        <f aca="false">DL7</f>
        <v>7.81476793481542E-009</v>
      </c>
      <c r="DN4" s="22" t="n">
        <f aca="false">DM7</f>
        <v>7.86035408110185E-009</v>
      </c>
      <c r="DO4" s="22" t="n">
        <f aca="false">DN7</f>
        <v>7.90620614657494E-009</v>
      </c>
      <c r="DP4" s="22" t="n">
        <f aca="false">DO7</f>
        <v>7.95232568242996E-009</v>
      </c>
      <c r="DQ4" s="22" t="n">
        <f aca="false">DP7</f>
        <v>7.9987142489108E-009</v>
      </c>
      <c r="DR4" s="22" t="n">
        <f aca="false">DQ7</f>
        <v>8.04537341536278E-009</v>
      </c>
      <c r="DS4" s="22" t="n">
        <f aca="false">DR7</f>
        <v>8.09230476028573E-009</v>
      </c>
      <c r="DT4" s="22" t="n">
        <f aca="false">DS7</f>
        <v>8.1395098713874E-009</v>
      </c>
      <c r="DU4" s="22" t="n">
        <f aca="false">DT7</f>
        <v>8.18699034563716E-009</v>
      </c>
      <c r="DV4" s="22" t="n">
        <f aca="false">DU7</f>
        <v>8.23474778932004E-009</v>
      </c>
      <c r="DW4" s="22" t="n">
        <f aca="false">DV7</f>
        <v>8.28278381809108E-009</v>
      </c>
      <c r="DX4" s="22" t="n">
        <f aca="false">DW7</f>
        <v>8.33110005702994E-009</v>
      </c>
      <c r="DY4" s="22" t="n">
        <f aca="false">DX7</f>
        <v>8.37969814069595E-009</v>
      </c>
      <c r="DZ4" s="22" t="n">
        <f aca="false">DY7</f>
        <v>8.42857971318334E-009</v>
      </c>
      <c r="EA4" s="22" t="n">
        <f aca="false">DZ7</f>
        <v>8.47774642817691E-009</v>
      </c>
      <c r="EB4" s="22" t="n">
        <f aca="false">EA7</f>
        <v>8.52719994900794E-009</v>
      </c>
      <c r="EC4" s="22" t="n">
        <f aca="false">EB7</f>
        <v>8.57694194871049E-009</v>
      </c>
      <c r="ED4" s="22" t="n">
        <f aca="false">EC7</f>
        <v>8.62697411007797E-009</v>
      </c>
      <c r="EE4" s="22" t="n">
        <f aca="false">ED7</f>
        <v>8.67729812572009E-009</v>
      </c>
      <c r="EF4" s="22" t="n">
        <f aca="false">EE7</f>
        <v>8.72791569812013E-009</v>
      </c>
      <c r="EG4" s="22" t="n">
        <f aca="false">EF7</f>
        <v>8.77882853969249E-009</v>
      </c>
      <c r="EH4" s="22" t="n">
        <f aca="false">EG7</f>
        <v>8.8300383728407E-009</v>
      </c>
      <c r="EI4" s="22" t="n">
        <f aca="false">EH7</f>
        <v>8.8815469300156E-009</v>
      </c>
      <c r="EJ4" s="22" t="n">
        <f aca="false">EI7</f>
        <v>8.93335595377403E-009</v>
      </c>
      <c r="EK4" s="22" t="n">
        <f aca="false">EJ7</f>
        <v>8.98546719683771E-009</v>
      </c>
      <c r="EL4" s="22" t="n">
        <f aca="false">EK7</f>
        <v>9.03788242215259E-009</v>
      </c>
      <c r="EM4" s="22" t="n">
        <f aca="false">EL7</f>
        <v>9.09060340294848E-009</v>
      </c>
      <c r="EN4" s="22" t="n">
        <f aca="false">EM7</f>
        <v>9.14363192279902E-009</v>
      </c>
      <c r="EO4" s="22" t="n">
        <f aca="false">EN7</f>
        <v>9.19696977568201E-009</v>
      </c>
      <c r="EP4" s="22" t="n">
        <f aca="false">EO7</f>
        <v>9.25061876604016E-009</v>
      </c>
      <c r="EQ4" s="22" t="n">
        <f aca="false">EP7</f>
        <v>9.30458070884206E-009</v>
      </c>
      <c r="ER4" s="22" t="n">
        <f aca="false">EQ7</f>
        <v>9.35885742964363E-009</v>
      </c>
      <c r="ES4" s="22" t="n">
        <f aca="false">ER7</f>
        <v>9.41345076464989E-009</v>
      </c>
      <c r="ET4" s="22" t="n">
        <f aca="false">ES7</f>
        <v>9.46836256077701E-009</v>
      </c>
      <c r="EU4" s="22" t="n">
        <f aca="false">ET7</f>
        <v>9.52359467571488E-009</v>
      </c>
      <c r="EV4" s="22" t="n">
        <f aca="false">EU7</f>
        <v>9.57914897798988E-009</v>
      </c>
      <c r="EW4" s="22" t="n">
        <f aca="false">EV7</f>
        <v>9.63502734702816E-009</v>
      </c>
      <c r="EX4" s="22" t="n">
        <f aca="false">EW7</f>
        <v>9.69123167321915E-009</v>
      </c>
      <c r="EY4" s="22" t="n">
        <f aca="false">EX7</f>
        <v>9.7477638579796E-009</v>
      </c>
      <c r="EZ4" s="22" t="n">
        <f aca="false">EY7</f>
        <v>9.80462581381781E-009</v>
      </c>
      <c r="FA4" s="22" t="n">
        <f aca="false">EZ7</f>
        <v>9.86181946439842E-009</v>
      </c>
      <c r="FB4" s="22" t="n">
        <f aca="false">FA7</f>
        <v>9.91934674460741E-009</v>
      </c>
      <c r="FC4" s="22" t="n">
        <f aca="false">FB7</f>
        <v>9.97720960061762E-009</v>
      </c>
      <c r="FD4" s="22" t="n">
        <f aca="false">FC7</f>
        <v>1.00354099899546E-008</v>
      </c>
      <c r="FE4" s="22" t="n">
        <f aca="false">FD7</f>
        <v>1.00939498815626E-008</v>
      </c>
      <c r="FF4" s="22" t="n">
        <f aca="false">FE7</f>
        <v>1.01528312558717E-008</v>
      </c>
      <c r="FG4" s="22" t="n">
        <f aca="false">FF7</f>
        <v>1.02120561048643E-008</v>
      </c>
      <c r="FH4" s="22" t="n">
        <f aca="false">FG7</f>
        <v>1.02716264321427E-008</v>
      </c>
      <c r="FI4" s="22" t="n">
        <f aca="false">FH7</f>
        <v>1.03315442529969E-008</v>
      </c>
      <c r="FJ4" s="22" t="n">
        <f aca="false">FI7</f>
        <v>1.03918115944727E-008</v>
      </c>
      <c r="FK4" s="22" t="n">
        <f aca="false">FJ7</f>
        <v>1.04524304954404E-008</v>
      </c>
      <c r="FL4" s="22" t="n">
        <f aca="false">FK7</f>
        <v>1.05134030066638E-008</v>
      </c>
      <c r="FM4" s="22" t="n">
        <f aca="false">FL7</f>
        <v>1.05747311908694E-008</v>
      </c>
      <c r="FN4" s="22" t="n">
        <f aca="false">FM7</f>
        <v>1.06364171228161E-008</v>
      </c>
      <c r="FO4" s="22" t="n">
        <f aca="false">FN7</f>
        <v>1.06984628893659E-008</v>
      </c>
      <c r="FP4" s="22" t="n">
        <f aca="false">FO7</f>
        <v>1.07608705895538E-008</v>
      </c>
      <c r="FQ4" s="22" t="n">
        <f aca="false">FP7</f>
        <v>1.08236423346596E-008</v>
      </c>
      <c r="FR4" s="22" t="n">
        <f aca="false">FQ7</f>
        <v>1.08867802482784E-008</v>
      </c>
      <c r="FS4" s="22" t="n">
        <f aca="false">FR7</f>
        <v>1.09502864663934E-008</v>
      </c>
      <c r="FT4" s="22" t="n">
        <f aca="false">FS7</f>
        <v>1.10141631374473E-008</v>
      </c>
      <c r="FU4" s="22" t="n">
        <f aca="false">FT7</f>
        <v>1.10784124224158E-008</v>
      </c>
      <c r="FV4" s="22" t="n">
        <f aca="false">FU7</f>
        <v>1.11430364948799E-008</v>
      </c>
      <c r="FW4" s="22" t="n">
        <f aca="false">FV7</f>
        <v>1.12080375411E-008</v>
      </c>
      <c r="FX4" s="22" t="n">
        <f aca="false">FW7</f>
        <v>1.12734177600898E-008</v>
      </c>
      <c r="FY4" s="22" t="n">
        <f aca="false">FX7</f>
        <v>1.13391793636903E-008</v>
      </c>
      <c r="FZ4" s="22" t="n">
        <f aca="false">FY7</f>
        <v>1.14053245766451E-008</v>
      </c>
      <c r="GA4" s="22" t="n">
        <f aca="false">FZ7</f>
        <v>1.14718556366756E-008</v>
      </c>
      <c r="GB4" s="22" t="n">
        <f aca="false">GA7</f>
        <v>1.15387747945562E-008</v>
      </c>
      <c r="GC4" s="22" t="n">
        <f aca="false">GB7</f>
        <v>1.16060843141911E-008</v>
      </c>
      <c r="GD4" s="22" t="n">
        <f aca="false">GC7</f>
        <v>1.16737864726905E-008</v>
      </c>
      <c r="GE4" s="22" t="n">
        <f aca="false">GD7</f>
        <v>1.17418835604479E-008</v>
      </c>
      <c r="GF4" s="22" t="n">
        <f aca="false">GE7</f>
        <v>1.18103778812172E-008</v>
      </c>
      <c r="GG4" s="22" t="n">
        <f aca="false">GF7</f>
        <v>1.18792717521909E-008</v>
      </c>
      <c r="GH4" s="22" t="n">
        <f aca="false">GG7</f>
        <v>1.19485675040787E-008</v>
      </c>
      <c r="GI4" s="22" t="n">
        <f aca="false">GH7</f>
        <v>1.20182674811859E-008</v>
      </c>
      <c r="GJ4" s="22" t="n">
        <f aca="false">GI7</f>
        <v>1.20883740414928E-008</v>
      </c>
      <c r="GK4" s="22" t="n">
        <f aca="false">GJ7</f>
        <v>1.21588895567348E-008</v>
      </c>
      <c r="GL4" s="22" t="n">
        <f aca="false">GK7</f>
        <v>1.22298164124824E-008</v>
      </c>
      <c r="GM4" s="22" t="n">
        <f aca="false">GL7</f>
        <v>1.23011570082219E-008</v>
      </c>
      <c r="GN4" s="22" t="n">
        <f aca="false">GM7</f>
        <v>1.23729137574365E-008</v>
      </c>
      <c r="GO4" s="22" t="n">
        <f aca="false">GN7</f>
        <v>1.24450890876883E-008</v>
      </c>
      <c r="GP4" s="22" t="n">
        <f aca="false">GO7</f>
        <v>1.25176854406998E-008</v>
      </c>
      <c r="GQ4" s="22" t="n">
        <f aca="false">GP7</f>
        <v>1.25907052724372E-008</v>
      </c>
      <c r="GR4" s="22" t="n">
        <f aca="false">GQ7</f>
        <v>1.26641510531931E-008</v>
      </c>
      <c r="GS4" s="22" t="n">
        <f aca="false">GR7</f>
        <v>1.273802526767E-008</v>
      </c>
      <c r="GT4" s="22" t="n">
        <f aca="false">GS7</f>
        <v>1.28123304150648E-008</v>
      </c>
      <c r="GU4" s="22" t="n">
        <f aca="false">GT7</f>
        <v>1.28870690091526E-008</v>
      </c>
      <c r="GV4" s="22" t="n">
        <f aca="false">GU7</f>
        <v>1.29622435783727E-008</v>
      </c>
      <c r="GW4" s="22" t="n">
        <f aca="false">GV7</f>
        <v>1.30378566659132E-008</v>
      </c>
      <c r="GX4" s="22" t="n">
        <f aca="false">GW7</f>
        <v>1.31139108297977E-008</v>
      </c>
      <c r="GY4" s="22" t="n">
        <f aca="false">GX7</f>
        <v>1.31904086429715E-008</v>
      </c>
      <c r="GZ4" s="22" t="n">
        <f aca="false">GY7</f>
        <v>1.32673526933889E-008</v>
      </c>
      <c r="HA4" s="22" t="n">
        <f aca="false">GZ7</f>
        <v>1.33447455841003E-008</v>
      </c>
      <c r="HB4" s="22" t="n">
        <f aca="false">HA7</f>
        <v>1.34225899333409E-008</v>
      </c>
      <c r="HC4" s="22" t="n">
        <f aca="false">HB7</f>
        <v>1.35008883746187E-008</v>
      </c>
      <c r="HD4" s="22" t="n">
        <f aca="false">HC7</f>
        <v>1.3579643556804E-008</v>
      </c>
      <c r="HE4" s="22" t="n">
        <f aca="false">HD7</f>
        <v>1.36588581442187E-008</v>
      </c>
      <c r="HF4" s="22" t="n">
        <f aca="false">HE7</f>
        <v>1.37385348167266E-008</v>
      </c>
      <c r="HG4" s="22" t="n">
        <f aca="false">HF7</f>
        <v>1.38186762698242E-008</v>
      </c>
      <c r="HH4" s="22" t="n">
        <f aca="false">HG7</f>
        <v>1.38992852147315E-008</v>
      </c>
      <c r="HI4" s="22" t="n">
        <f aca="false">HH7</f>
        <v>1.39803643784841E-008</v>
      </c>
      <c r="HJ4" s="22" t="n">
        <f aca="false">HI7</f>
        <v>1.40619165040252E-008</v>
      </c>
      <c r="HK4" s="22" t="n">
        <f aca="false">HJ7</f>
        <v>1.41439443502987E-008</v>
      </c>
      <c r="HL4" s="22" t="n">
        <f aca="false">HK7</f>
        <v>1.42264506923421E-008</v>
      </c>
      <c r="HM4" s="22" t="n">
        <f aca="false">HL7</f>
        <v>1.43094383213808E-008</v>
      </c>
      <c r="HN4" s="22" t="n">
        <f aca="false">HM7</f>
        <v>1.43929100449222E-008</v>
      </c>
      <c r="HO4" s="22" t="n">
        <f aca="false">HN7</f>
        <v>1.44768686868509E-008</v>
      </c>
      <c r="HP4" s="22" t="n">
        <f aca="false">HO7</f>
        <v>1.45613170875242E-008</v>
      </c>
      <c r="HQ4" s="22" t="n">
        <f aca="false">HP7</f>
        <v>1.46462581038681E-008</v>
      </c>
      <c r="HR4" s="22" t="n">
        <f aca="false">HQ7</f>
        <v>1.4731694609474E-008</v>
      </c>
      <c r="HS4" s="22" t="n">
        <f aca="false">HR7</f>
        <v>1.48176294946959E-008</v>
      </c>
      <c r="HT4" s="22" t="n">
        <f aca="false">HS7</f>
        <v>1.49040656667483E-008</v>
      </c>
      <c r="HU4" s="22" t="n">
        <f aca="false">HT7</f>
        <v>1.49910060498043E-008</v>
      </c>
      <c r="HV4" s="22" t="n">
        <f aca="false">HU7</f>
        <v>1.50784535850949E-008</v>
      </c>
      <c r="HW4" s="22" t="n">
        <f aca="false">HV7</f>
        <v>1.51664112310079E-008</v>
      </c>
      <c r="HX4" s="22" t="n">
        <f aca="false">HW7</f>
        <v>1.52548819631888E-008</v>
      </c>
      <c r="HY4" s="22" t="n">
        <f aca="false">HX7</f>
        <v>1.53438687746407E-008</v>
      </c>
      <c r="HZ4" s="22" t="n">
        <f aca="false">HY7</f>
        <v>1.54333746758261E-008</v>
      </c>
      <c r="IA4" s="22" t="n">
        <f aca="false">HZ7</f>
        <v>1.55234026947685E-008</v>
      </c>
      <c r="IB4" s="22" t="n">
        <f aca="false">IA7</f>
        <v>1.56139558771546E-008</v>
      </c>
      <c r="IC4" s="22" t="n">
        <f aca="false">IB7</f>
        <v>1.5705037286438E-008</v>
      </c>
      <c r="ID4" s="22" t="n">
        <f aca="false">IC7</f>
        <v>1.57966500039422E-008</v>
      </c>
      <c r="IE4" s="22" t="n">
        <f aca="false">ID7</f>
        <v>1.58887971289652E-008</v>
      </c>
      <c r="IF4" s="22" t="n">
        <f aca="false">IE7</f>
        <v>1.59814817788842E-008</v>
      </c>
      <c r="IG4" s="22" t="n">
        <f aca="false">IF7</f>
        <v>1.6074707089261E-008</v>
      </c>
      <c r="IH4" s="22" t="n">
        <f aca="false">IG7</f>
        <v>1.61684762139484E-008</v>
      </c>
      <c r="II4" s="22" t="n">
        <f aca="false">IH7</f>
        <v>1.62627923251964E-008</v>
      </c>
      <c r="IJ4" s="22" t="n">
        <f aca="false">II7</f>
        <v>1.635765861376E-008</v>
      </c>
      <c r="IK4" s="22" t="n">
        <f aca="false">IJ7</f>
        <v>1.6453078289007E-008</v>
      </c>
      <c r="IL4" s="22" t="n">
        <f aca="false">IK7</f>
        <v>1.65490545790262E-008</v>
      </c>
      <c r="IM4" s="22" t="n">
        <f aca="false">IL7</f>
        <v>1.66455907307372E-008</v>
      </c>
      <c r="IN4" s="22" t="n">
        <f aca="false">IM7</f>
        <v>1.67426900099998E-008</v>
      </c>
      <c r="IO4" s="22" t="n">
        <f aca="false">IN7</f>
        <v>1.68403557017248E-008</v>
      </c>
      <c r="IP4" s="22" t="n">
        <f aca="false">IO7</f>
        <v>1.69385911099849E-008</v>
      </c>
      <c r="IQ4" s="22" t="n">
        <f aca="false">IP7</f>
        <v>1.70373995581264E-008</v>
      </c>
      <c r="IR4" s="22" t="n">
        <f aca="false">IQ7</f>
        <v>1.71367843888822E-008</v>
      </c>
      <c r="IS4" s="22" t="n">
        <f aca="false">IR7</f>
        <v>1.7236748964484E-008</v>
      </c>
      <c r="IT4" s="22" t="n">
        <f aca="false">IS7</f>
        <v>1.73372966667768E-008</v>
      </c>
      <c r="IU4" s="22" t="n">
        <f aca="false">IT7</f>
        <v>1.7438430897333E-008</v>
      </c>
      <c r="IV4" s="22" t="n">
        <f aca="false">IU7</f>
        <v>1.75401550775675E-008</v>
      </c>
      <c r="IW4" s="22" t="n">
        <f aca="false">IV7</f>
        <v>1.76424726488533E-008</v>
      </c>
      <c r="IX4" s="22" t="n">
        <f aca="false">IW7</f>
        <v>1.77453870726382E-008</v>
      </c>
      <c r="IY4" s="22" t="n">
        <f aca="false">IX7</f>
        <v>1.7848901830562E-008</v>
      </c>
      <c r="IZ4" s="22" t="n">
        <f aca="false">IY7</f>
        <v>1.79530204245736E-008</v>
      </c>
      <c r="JA4" s="22" t="n">
        <f aca="false">IZ7</f>
        <v>1.80577463770503E-008</v>
      </c>
      <c r="JB4" s="22" t="n">
        <f aca="false">JA7</f>
        <v>1.81630832309164E-008</v>
      </c>
      <c r="JC4" s="22" t="n">
        <f aca="false">JB7</f>
        <v>1.82690345497634E-008</v>
      </c>
      <c r="JD4" s="22" t="n">
        <f aca="false">JC7</f>
        <v>1.83756039179704E-008</v>
      </c>
      <c r="JE4" s="22" t="n">
        <f aca="false">JD7</f>
        <v>1.84827949408252E-008</v>
      </c>
      <c r="JF4" s="22" t="n">
        <f aca="false">JE7</f>
        <v>1.85906112446467E-008</v>
      </c>
      <c r="JG4" s="22" t="n">
        <f aca="false">JF7</f>
        <v>1.86990564769071E-008</v>
      </c>
      <c r="JH4" s="22" t="n">
        <f aca="false">JG7</f>
        <v>1.88081343063557E-008</v>
      </c>
      <c r="JI4" s="22" t="n">
        <f aca="false">JH7</f>
        <v>1.89178484231428E-008</v>
      </c>
      <c r="JJ4" s="22" t="n">
        <f aca="false">JI7</f>
        <v>1.90282025389445E-008</v>
      </c>
      <c r="JK4" s="22" t="n">
        <f aca="false">JJ7</f>
        <v>1.91392003870883E-008</v>
      </c>
      <c r="JL4" s="22" t="n">
        <f aca="false">JK7</f>
        <v>1.92508457226797E-008</v>
      </c>
      <c r="JM4" s="22" t="n">
        <f aca="false">JL7</f>
        <v>1.93631423227286E-008</v>
      </c>
      <c r="JN4" s="22" t="n">
        <f aca="false">JM7</f>
        <v>1.94760939862779E-008</v>
      </c>
      <c r="JO4" s="22" t="n">
        <f aca="false">JN7</f>
        <v>1.95897045345312E-008</v>
      </c>
      <c r="JP4" s="22" t="n">
        <f aca="false">JO7</f>
        <v>1.97039778109826E-008</v>
      </c>
      <c r="JQ4" s="22" t="n">
        <f aca="false">JP7</f>
        <v>1.98189176815467E-008</v>
      </c>
      <c r="JR4" s="22" t="n">
        <f aca="false">JQ7</f>
        <v>1.9934528034689E-008</v>
      </c>
      <c r="JS4" s="22" t="n">
        <f aca="false">JR7</f>
        <v>2.0050812781558E-008</v>
      </c>
      <c r="JT4" s="22" t="n">
        <f aca="false">JS7</f>
        <v>2.01677758561171E-008</v>
      </c>
      <c r="JU4" s="22" t="n">
        <f aca="false">JT7</f>
        <v>2.02854212152778E-008</v>
      </c>
      <c r="JV4" s="22" t="n">
        <f aca="false">JU7</f>
        <v>2.04037528390336E-008</v>
      </c>
      <c r="JW4" s="22" t="n">
        <f aca="false">JV7</f>
        <v>2.05227747305946E-008</v>
      </c>
      <c r="JX4" s="22" t="n">
        <f aca="false">JW7</f>
        <v>2.06424909165231E-008</v>
      </c>
      <c r="JY4" s="22" t="n">
        <f aca="false">JX7</f>
        <v>2.07629054468695E-008</v>
      </c>
      <c r="JZ4" s="22" t="n">
        <f aca="false">JY7</f>
        <v>2.08840223953095E-008</v>
      </c>
      <c r="KA4" s="22" t="n">
        <f aca="false">JZ7</f>
        <v>2.10058458592822E-008</v>
      </c>
      <c r="KB4" s="22" t="n">
        <f aca="false">KA7</f>
        <v>2.1128379960128E-008</v>
      </c>
      <c r="KC4" s="22" t="n">
        <f aca="false">KB7</f>
        <v>2.12516288432287E-008</v>
      </c>
      <c r="KD4" s="22" t="n">
        <f aca="false">KC7</f>
        <v>2.13755966781476E-008</v>
      </c>
      <c r="KE4" s="22" t="n">
        <f aca="false">KD7</f>
        <v>2.15002876587701E-008</v>
      </c>
      <c r="KF4" s="22" t="n">
        <f aca="false">KE7</f>
        <v>2.16257060034463E-008</v>
      </c>
      <c r="KG4" s="22" t="n">
        <f aca="false">KF7</f>
        <v>2.1751855955133E-008</v>
      </c>
      <c r="KH4" s="22" t="n">
        <f aca="false">KG7</f>
        <v>2.1878741781538E-008</v>
      </c>
      <c r="KI4" s="22" t="n">
        <f aca="false">KH7</f>
        <v>2.20063677752636E-008</v>
      </c>
      <c r="KJ4" s="22" t="n">
        <f aca="false">KI7</f>
        <v>2.21347382539527E-008</v>
      </c>
      <c r="KK4" s="22" t="n">
        <f aca="false">KJ7</f>
        <v>2.2263857560434E-008</v>
      </c>
      <c r="KL4" s="22" t="n">
        <f aca="false">KK7</f>
        <v>2.23937300628699E-008</v>
      </c>
      <c r="KM4" s="22" t="n">
        <f aca="false">KL7</f>
        <v>2.25243601549033E-008</v>
      </c>
      <c r="KN4" s="22" t="n">
        <f aca="false">KM7</f>
        <v>2.26557522558069E-008</v>
      </c>
      <c r="KO4" s="22" t="n">
        <f aca="false">KN7</f>
        <v>2.27879108106325E-008</v>
      </c>
    </row>
    <row r="5" customFormat="false" ht="14.25" hidden="false" customHeight="false" outlineLevel="0" collapsed="false">
      <c r="A5" s="0" t="s">
        <v>410</v>
      </c>
      <c r="B5" s="18" t="n">
        <f aca="false">IF(B4&gt;0,IF(1&lt;=Supuestos!$B$29,-PMT(Supuestos!$B$28/12,Supuestos!$B$29,Supuestos!$B$27),0),0)</f>
        <v>79204.7941613982</v>
      </c>
      <c r="C5" s="18" t="n">
        <f aca="false">IF(C4&gt;0,IF(2&lt;=Supuestos!$B$29,-PMT(Supuestos!$B$28/12,Supuestos!$B$29,Supuestos!$B$27),0),0)</f>
        <v>79204.7941613982</v>
      </c>
      <c r="D5" s="18" t="n">
        <f aca="false">IF(D4&gt;0,IF(3&lt;=Supuestos!$B$29,-PMT(Supuestos!$B$28/12,Supuestos!$B$29,Supuestos!$B$27),0),0)</f>
        <v>79204.7941613982</v>
      </c>
      <c r="E5" s="18" t="n">
        <f aca="false">IF(E4&gt;0,IF(4&lt;=Supuestos!$B$29,-PMT(Supuestos!$B$28/12,Supuestos!$B$29,Supuestos!$B$27),0),0)</f>
        <v>79204.7941613982</v>
      </c>
      <c r="F5" s="18" t="n">
        <f aca="false">IF(F4&gt;0,IF(5&lt;=Supuestos!$B$29,-PMT(Supuestos!$B$28/12,Supuestos!$B$29,Supuestos!$B$27),0),0)</f>
        <v>79204.7941613982</v>
      </c>
      <c r="G5" s="18" t="n">
        <f aca="false">IF(G4&gt;0,IF(6&lt;=Supuestos!$B$29,-PMT(Supuestos!$B$28/12,Supuestos!$B$29,Supuestos!$B$27),0),0)</f>
        <v>79204.7941613982</v>
      </c>
      <c r="H5" s="18" t="n">
        <f aca="false">IF(H4&gt;0,IF(7&lt;=Supuestos!$B$29,-PMT(Supuestos!$B$28/12,Supuestos!$B$29,Supuestos!$B$27),0),0)</f>
        <v>79204.7941613982</v>
      </c>
      <c r="I5" s="18" t="n">
        <f aca="false">IF(I4&gt;0,IF(8&lt;=Supuestos!$B$29,-PMT(Supuestos!$B$28/12,Supuestos!$B$29,Supuestos!$B$27),0),0)</f>
        <v>79204.7941613982</v>
      </c>
      <c r="J5" s="18" t="n">
        <f aca="false">IF(J4&gt;0,IF(9&lt;=Supuestos!$B$29,-PMT(Supuestos!$B$28/12,Supuestos!$B$29,Supuestos!$B$27),0),0)</f>
        <v>79204.7941613982</v>
      </c>
      <c r="K5" s="18" t="n">
        <f aca="false">IF(K4&gt;0,IF(10&lt;=Supuestos!$B$29,-PMT(Supuestos!$B$28/12,Supuestos!$B$29,Supuestos!$B$27),0),0)</f>
        <v>79204.7941613982</v>
      </c>
      <c r="L5" s="18" t="n">
        <f aca="false">IF(L4&gt;0,IF(11&lt;=Supuestos!$B$29,-PMT(Supuestos!$B$28/12,Supuestos!$B$29,Supuestos!$B$27),0),0)</f>
        <v>79204.7941613982</v>
      </c>
      <c r="M5" s="18" t="n">
        <f aca="false">IF(M4&gt;0,IF(12&lt;=Supuestos!$B$29,-PMT(Supuestos!$B$28/12,Supuestos!$B$29,Supuestos!$B$27),0),0)</f>
        <v>79204.7941613982</v>
      </c>
      <c r="N5" s="18" t="n">
        <f aca="false">IF(N4&gt;0,IF(13&lt;=Supuestos!$B$29,-PMT(Supuestos!$B$28/12,Supuestos!$B$29,Supuestos!$B$27),0),0)</f>
        <v>79204.7941613982</v>
      </c>
      <c r="O5" s="18" t="n">
        <f aca="false">IF(O4&gt;0,IF(14&lt;=Supuestos!$B$29,-PMT(Supuestos!$B$28/12,Supuestos!$B$29,Supuestos!$B$27),0),0)</f>
        <v>79204.7941613982</v>
      </c>
      <c r="P5" s="18" t="n">
        <f aca="false">IF(P4&gt;0,IF(15&lt;=Supuestos!$B$29,-PMT(Supuestos!$B$28/12,Supuestos!$B$29,Supuestos!$B$27),0),0)</f>
        <v>79204.7941613982</v>
      </c>
      <c r="Q5" s="18" t="n">
        <f aca="false">IF(Q4&gt;0,IF(16&lt;=Supuestos!$B$29,-PMT(Supuestos!$B$28/12,Supuestos!$B$29,Supuestos!$B$27),0),0)</f>
        <v>79204.7941613982</v>
      </c>
      <c r="R5" s="18" t="n">
        <f aca="false">IF(R4&gt;0,IF(17&lt;=Supuestos!$B$29,-PMT(Supuestos!$B$28/12,Supuestos!$B$29,Supuestos!$B$27),0),0)</f>
        <v>79204.7941613982</v>
      </c>
      <c r="S5" s="18" t="n">
        <f aca="false">IF(S4&gt;0,IF(18&lt;=Supuestos!$B$29,-PMT(Supuestos!$B$28/12,Supuestos!$B$29,Supuestos!$B$27),0),0)</f>
        <v>79204.7941613982</v>
      </c>
      <c r="T5" s="18" t="n">
        <f aca="false">IF(T4&gt;0,IF(19&lt;=Supuestos!$B$29,-PMT(Supuestos!$B$28/12,Supuestos!$B$29,Supuestos!$B$27),0),0)</f>
        <v>79204.7941613982</v>
      </c>
      <c r="U5" s="18" t="n">
        <f aca="false">IF(U4&gt;0,IF(20&lt;=Supuestos!$B$29,-PMT(Supuestos!$B$28/12,Supuestos!$B$29,Supuestos!$B$27),0),0)</f>
        <v>79204.7941613982</v>
      </c>
      <c r="V5" s="18" t="n">
        <f aca="false">IF(V4&gt;0,IF(21&lt;=Supuestos!$B$29,-PMT(Supuestos!$B$28/12,Supuestos!$B$29,Supuestos!$B$27),0),0)</f>
        <v>79204.7941613982</v>
      </c>
      <c r="W5" s="18" t="n">
        <f aca="false">IF(W4&gt;0,IF(22&lt;=Supuestos!$B$29,-PMT(Supuestos!$B$28/12,Supuestos!$B$29,Supuestos!$B$27),0),0)</f>
        <v>79204.7941613982</v>
      </c>
      <c r="X5" s="18" t="n">
        <f aca="false">IF(X4&gt;0,IF(23&lt;=Supuestos!$B$29,-PMT(Supuestos!$B$28/12,Supuestos!$B$29,Supuestos!$B$27),0),0)</f>
        <v>79204.7941613982</v>
      </c>
      <c r="Y5" s="18" t="n">
        <f aca="false">IF(Y4&gt;0,IF(24&lt;=Supuestos!$B$29,-PMT(Supuestos!$B$28/12,Supuestos!$B$29,Supuestos!$B$27),0),0)</f>
        <v>79204.7941613982</v>
      </c>
      <c r="Z5" s="18" t="n">
        <f aca="false">IF(Z4&gt;0,IF(25&lt;=Supuestos!$B$29,-PMT(Supuestos!$B$28/12,Supuestos!$B$29,Supuestos!$B$27),0),0)</f>
        <v>79204.7941613982</v>
      </c>
      <c r="AA5" s="18" t="n">
        <f aca="false">IF(AA4&gt;0,IF(26&lt;=Supuestos!$B$29,-PMT(Supuestos!$B$28/12,Supuestos!$B$29,Supuestos!$B$27),0),0)</f>
        <v>79204.7941613982</v>
      </c>
      <c r="AB5" s="18" t="n">
        <f aca="false">IF(AB4&gt;0,IF(27&lt;=Supuestos!$B$29,-PMT(Supuestos!$B$28/12,Supuestos!$B$29,Supuestos!$B$27),0),0)</f>
        <v>79204.7941613982</v>
      </c>
      <c r="AC5" s="18" t="n">
        <f aca="false">IF(AC4&gt;0,IF(28&lt;=Supuestos!$B$29,-PMT(Supuestos!$B$28/12,Supuestos!$B$29,Supuestos!$B$27),0),0)</f>
        <v>79204.7941613982</v>
      </c>
      <c r="AD5" s="18" t="n">
        <f aca="false">IF(AD4&gt;0,IF(29&lt;=Supuestos!$B$29,-PMT(Supuestos!$B$28/12,Supuestos!$B$29,Supuestos!$B$27),0),0)</f>
        <v>79204.7941613982</v>
      </c>
      <c r="AE5" s="18" t="n">
        <f aca="false">IF(AE4&gt;0,IF(30&lt;=Supuestos!$B$29,-PMT(Supuestos!$B$28/12,Supuestos!$B$29,Supuestos!$B$27),0),0)</f>
        <v>79204.7941613982</v>
      </c>
      <c r="AF5" s="18" t="n">
        <f aca="false">IF(AF4&gt;0,IF(31&lt;=Supuestos!$B$29,-PMT(Supuestos!$B$28/12,Supuestos!$B$29,Supuestos!$B$27),0),0)</f>
        <v>79204.7941613982</v>
      </c>
      <c r="AG5" s="18" t="n">
        <f aca="false">IF(AG4&gt;0,IF(32&lt;=Supuestos!$B$29,-PMT(Supuestos!$B$28/12,Supuestos!$B$29,Supuestos!$B$27),0),0)</f>
        <v>79204.7941613982</v>
      </c>
      <c r="AH5" s="18" t="n">
        <f aca="false">IF(AH4&gt;0,IF(33&lt;=Supuestos!$B$29,-PMT(Supuestos!$B$28/12,Supuestos!$B$29,Supuestos!$B$27),0),0)</f>
        <v>79204.7941613982</v>
      </c>
      <c r="AI5" s="18" t="n">
        <f aca="false">IF(AI4&gt;0,IF(34&lt;=Supuestos!$B$29,-PMT(Supuestos!$B$28/12,Supuestos!$B$29,Supuestos!$B$27),0),0)</f>
        <v>79204.7941613982</v>
      </c>
      <c r="AJ5" s="18" t="n">
        <f aca="false">IF(AJ4&gt;0,IF(35&lt;=Supuestos!$B$29,-PMT(Supuestos!$B$28/12,Supuestos!$B$29,Supuestos!$B$27),0),0)</f>
        <v>79204.7941613982</v>
      </c>
      <c r="AK5" s="18" t="n">
        <f aca="false">IF(AK4&gt;0,IF(36&lt;=Supuestos!$B$29,-PMT(Supuestos!$B$28/12,Supuestos!$B$29,Supuestos!$B$27),0),0)</f>
        <v>79204.7941613982</v>
      </c>
      <c r="AL5" s="18" t="n">
        <f aca="false">IF(AL4&gt;0,IF(37&lt;=Supuestos!$B$29,-PMT(Supuestos!$B$28/12,Supuestos!$B$29,Supuestos!$B$27),0),0)</f>
        <v>79204.7941613982</v>
      </c>
      <c r="AM5" s="18" t="n">
        <f aca="false">IF(AM4&gt;0,IF(38&lt;=Supuestos!$B$29,-PMT(Supuestos!$B$28/12,Supuestos!$B$29,Supuestos!$B$27),0),0)</f>
        <v>79204.7941613982</v>
      </c>
      <c r="AN5" s="18" t="n">
        <f aca="false">IF(AN4&gt;0,IF(39&lt;=Supuestos!$B$29,-PMT(Supuestos!$B$28/12,Supuestos!$B$29,Supuestos!$B$27),0),0)</f>
        <v>79204.7941613982</v>
      </c>
      <c r="AO5" s="18" t="n">
        <f aca="false">IF(AO4&gt;0,IF(40&lt;=Supuestos!$B$29,-PMT(Supuestos!$B$28/12,Supuestos!$B$29,Supuestos!$B$27),0),0)</f>
        <v>79204.7941613982</v>
      </c>
      <c r="AP5" s="18" t="n">
        <f aca="false">IF(AP4&gt;0,IF(41&lt;=Supuestos!$B$29,-PMT(Supuestos!$B$28/12,Supuestos!$B$29,Supuestos!$B$27),0),0)</f>
        <v>79204.7941613982</v>
      </c>
      <c r="AQ5" s="18" t="n">
        <f aca="false">IF(AQ4&gt;0,IF(42&lt;=Supuestos!$B$29,-PMT(Supuestos!$B$28/12,Supuestos!$B$29,Supuestos!$B$27),0),0)</f>
        <v>79204.7941613982</v>
      </c>
      <c r="AR5" s="18" t="n">
        <f aca="false">IF(AR4&gt;0,IF(43&lt;=Supuestos!$B$29,-PMT(Supuestos!$B$28/12,Supuestos!$B$29,Supuestos!$B$27),0),0)</f>
        <v>79204.7941613982</v>
      </c>
      <c r="AS5" s="18" t="n">
        <f aca="false">IF(AS4&gt;0,IF(44&lt;=Supuestos!$B$29,-PMT(Supuestos!$B$28/12,Supuestos!$B$29,Supuestos!$B$27),0),0)</f>
        <v>79204.7941613982</v>
      </c>
      <c r="AT5" s="18" t="n">
        <f aca="false">IF(AT4&gt;0,IF(45&lt;=Supuestos!$B$29,-PMT(Supuestos!$B$28/12,Supuestos!$B$29,Supuestos!$B$27),0),0)</f>
        <v>79204.7941613982</v>
      </c>
      <c r="AU5" s="18" t="n">
        <f aca="false">IF(AU4&gt;0,IF(46&lt;=Supuestos!$B$29,-PMT(Supuestos!$B$28/12,Supuestos!$B$29,Supuestos!$B$27),0),0)</f>
        <v>79204.7941613982</v>
      </c>
      <c r="AV5" s="18" t="n">
        <f aca="false">IF(AV4&gt;0,IF(47&lt;=Supuestos!$B$29,-PMT(Supuestos!$B$28/12,Supuestos!$B$29,Supuestos!$B$27),0),0)</f>
        <v>79204.7941613982</v>
      </c>
      <c r="AW5" s="18" t="n">
        <f aca="false">IF(AW4&gt;0,IF(48&lt;=Supuestos!$B$29,-PMT(Supuestos!$B$28/12,Supuestos!$B$29,Supuestos!$B$27),0),0)</f>
        <v>79204.7941613982</v>
      </c>
      <c r="AX5" s="18" t="n">
        <f aca="false">IF(AX4&gt;0,IF(49&lt;=Supuestos!$B$29,-PMT(Supuestos!$B$28/12,Supuestos!$B$29,Supuestos!$B$27),0),0)</f>
        <v>79204.7941613982</v>
      </c>
      <c r="AY5" s="18" t="n">
        <f aca="false">IF(AY4&gt;0,IF(50&lt;=Supuestos!$B$29,-PMT(Supuestos!$B$28/12,Supuestos!$B$29,Supuestos!$B$27),0),0)</f>
        <v>79204.7941613982</v>
      </c>
      <c r="AZ5" s="18" t="n">
        <f aca="false">IF(AZ4&gt;0,IF(51&lt;=Supuestos!$B$29,-PMT(Supuestos!$B$28/12,Supuestos!$B$29,Supuestos!$B$27),0),0)</f>
        <v>79204.7941613982</v>
      </c>
      <c r="BA5" s="18" t="n">
        <f aca="false">IF(BA4&gt;0,IF(52&lt;=Supuestos!$B$29,-PMT(Supuestos!$B$28/12,Supuestos!$B$29,Supuestos!$B$27),0),0)</f>
        <v>79204.7941613982</v>
      </c>
      <c r="BB5" s="18" t="n">
        <f aca="false">IF(BB4&gt;0,IF(53&lt;=Supuestos!$B$29,-PMT(Supuestos!$B$28/12,Supuestos!$B$29,Supuestos!$B$27),0),0)</f>
        <v>79204.7941613982</v>
      </c>
      <c r="BC5" s="18" t="n">
        <f aca="false">IF(BC4&gt;0,IF(54&lt;=Supuestos!$B$29,-PMT(Supuestos!$B$28/12,Supuestos!$B$29,Supuestos!$B$27),0),0)</f>
        <v>79204.7941613982</v>
      </c>
      <c r="BD5" s="18" t="n">
        <f aca="false">IF(BD4&gt;0,IF(55&lt;=Supuestos!$B$29,-PMT(Supuestos!$B$28/12,Supuestos!$B$29,Supuestos!$B$27),0),0)</f>
        <v>79204.7941613982</v>
      </c>
      <c r="BE5" s="18" t="n">
        <f aca="false">IF(BE4&gt;0,IF(56&lt;=Supuestos!$B$29,-PMT(Supuestos!$B$28/12,Supuestos!$B$29,Supuestos!$B$27),0),0)</f>
        <v>79204.7941613982</v>
      </c>
      <c r="BF5" s="18" t="n">
        <f aca="false">IF(BF4&gt;0,IF(57&lt;=Supuestos!$B$29,-PMT(Supuestos!$B$28/12,Supuestos!$B$29,Supuestos!$B$27),0),0)</f>
        <v>79204.7941613982</v>
      </c>
      <c r="BG5" s="18" t="n">
        <f aca="false">IF(BG4&gt;0,IF(58&lt;=Supuestos!$B$29,-PMT(Supuestos!$B$28/12,Supuestos!$B$29,Supuestos!$B$27),0),0)</f>
        <v>79204.7941613982</v>
      </c>
      <c r="BH5" s="18" t="n">
        <f aca="false">IF(BH4&gt;0,IF(59&lt;=Supuestos!$B$29,-PMT(Supuestos!$B$28/12,Supuestos!$B$29,Supuestos!$B$27),0),0)</f>
        <v>79204.7941613982</v>
      </c>
      <c r="BI5" s="18" t="n">
        <f aca="false">IF(BI4&gt;0,IF(60&lt;=Supuestos!$B$29,-PMT(Supuestos!$B$28/12,Supuestos!$B$29,Supuestos!$B$27),0),0)</f>
        <v>79204.7941613982</v>
      </c>
      <c r="BJ5" s="18" t="n">
        <f aca="false">IF(BJ4&gt;0,IF(61&lt;=Supuestos!$B$29,-PMT(Supuestos!$B$28/12,Supuestos!$B$29,Supuestos!$B$27),0),0)</f>
        <v>0</v>
      </c>
      <c r="BK5" s="18" t="n">
        <f aca="false">IF(BK4&gt;0,IF(62&lt;=Supuestos!$B$29,-PMT(Supuestos!$B$28/12,Supuestos!$B$29,Supuestos!$B$27),0),0)</f>
        <v>0</v>
      </c>
      <c r="BL5" s="18" t="n">
        <f aca="false">IF(BL4&gt;0,IF(63&lt;=Supuestos!$B$29,-PMT(Supuestos!$B$28/12,Supuestos!$B$29,Supuestos!$B$27),0),0)</f>
        <v>0</v>
      </c>
      <c r="BM5" s="18" t="n">
        <f aca="false">IF(BM4&gt;0,IF(64&lt;=Supuestos!$B$29,-PMT(Supuestos!$B$28/12,Supuestos!$B$29,Supuestos!$B$27),0),0)</f>
        <v>0</v>
      </c>
      <c r="BN5" s="18" t="n">
        <f aca="false">IF(BN4&gt;0,IF(65&lt;=Supuestos!$B$29,-PMT(Supuestos!$B$28/12,Supuestos!$B$29,Supuestos!$B$27),0),0)</f>
        <v>0</v>
      </c>
      <c r="BO5" s="18" t="n">
        <f aca="false">IF(BO4&gt;0,IF(66&lt;=Supuestos!$B$29,-PMT(Supuestos!$B$28/12,Supuestos!$B$29,Supuestos!$B$27),0),0)</f>
        <v>0</v>
      </c>
      <c r="BP5" s="18" t="n">
        <f aca="false">IF(BP4&gt;0,IF(67&lt;=Supuestos!$B$29,-PMT(Supuestos!$B$28/12,Supuestos!$B$29,Supuestos!$B$27),0),0)</f>
        <v>0</v>
      </c>
      <c r="BQ5" s="18" t="n">
        <f aca="false">IF(BQ4&gt;0,IF(68&lt;=Supuestos!$B$29,-PMT(Supuestos!$B$28/12,Supuestos!$B$29,Supuestos!$B$27),0),0)</f>
        <v>0</v>
      </c>
      <c r="BR5" s="18" t="n">
        <f aca="false">IF(BR4&gt;0,IF(69&lt;=Supuestos!$B$29,-PMT(Supuestos!$B$28/12,Supuestos!$B$29,Supuestos!$B$27),0),0)</f>
        <v>0</v>
      </c>
      <c r="BS5" s="18" t="n">
        <f aca="false">IF(BS4&gt;0,IF(70&lt;=Supuestos!$B$29,-PMT(Supuestos!$B$28/12,Supuestos!$B$29,Supuestos!$B$27),0),0)</f>
        <v>0</v>
      </c>
      <c r="BT5" s="18" t="n">
        <f aca="false">IF(BT4&gt;0,IF(71&lt;=Supuestos!$B$29,-PMT(Supuestos!$B$28/12,Supuestos!$B$29,Supuestos!$B$27),0),0)</f>
        <v>0</v>
      </c>
      <c r="BU5" s="18" t="n">
        <f aca="false">IF(BU4&gt;0,IF(72&lt;=Supuestos!$B$29,-PMT(Supuestos!$B$28/12,Supuestos!$B$29,Supuestos!$B$27),0),0)</f>
        <v>0</v>
      </c>
      <c r="BV5" s="18" t="n">
        <f aca="false">IF(BV4&gt;0,IF(73&lt;=Supuestos!$B$29,-PMT(Supuestos!$B$28/12,Supuestos!$B$29,Supuestos!$B$27),0),0)</f>
        <v>0</v>
      </c>
      <c r="BW5" s="18" t="n">
        <f aca="false">IF(BW4&gt;0,IF(74&lt;=Supuestos!$B$29,-PMT(Supuestos!$B$28/12,Supuestos!$B$29,Supuestos!$B$27),0),0)</f>
        <v>0</v>
      </c>
      <c r="BX5" s="18" t="n">
        <f aca="false">IF(BX4&gt;0,IF(75&lt;=Supuestos!$B$29,-PMT(Supuestos!$B$28/12,Supuestos!$B$29,Supuestos!$B$27),0),0)</f>
        <v>0</v>
      </c>
      <c r="BY5" s="18" t="n">
        <f aca="false">IF(BY4&gt;0,IF(76&lt;=Supuestos!$B$29,-PMT(Supuestos!$B$28/12,Supuestos!$B$29,Supuestos!$B$27),0),0)</f>
        <v>0</v>
      </c>
      <c r="BZ5" s="18" t="n">
        <f aca="false">IF(BZ4&gt;0,IF(77&lt;=Supuestos!$B$29,-PMT(Supuestos!$B$28/12,Supuestos!$B$29,Supuestos!$B$27),0),0)</f>
        <v>0</v>
      </c>
      <c r="CA5" s="18" t="n">
        <f aca="false">IF(CA4&gt;0,IF(78&lt;=Supuestos!$B$29,-PMT(Supuestos!$B$28/12,Supuestos!$B$29,Supuestos!$B$27),0),0)</f>
        <v>0</v>
      </c>
      <c r="CB5" s="18" t="n">
        <f aca="false">IF(CB4&gt;0,IF(79&lt;=Supuestos!$B$29,-PMT(Supuestos!$B$28/12,Supuestos!$B$29,Supuestos!$B$27),0),0)</f>
        <v>0</v>
      </c>
      <c r="CC5" s="18" t="n">
        <f aca="false">IF(CC4&gt;0,IF(80&lt;=Supuestos!$B$29,-PMT(Supuestos!$B$28/12,Supuestos!$B$29,Supuestos!$B$27),0),0)</f>
        <v>0</v>
      </c>
      <c r="CD5" s="18" t="n">
        <f aca="false">IF(CD4&gt;0,IF(81&lt;=Supuestos!$B$29,-PMT(Supuestos!$B$28/12,Supuestos!$B$29,Supuestos!$B$27),0),0)</f>
        <v>0</v>
      </c>
      <c r="CE5" s="18" t="n">
        <f aca="false">IF(CE4&gt;0,IF(82&lt;=Supuestos!$B$29,-PMT(Supuestos!$B$28/12,Supuestos!$B$29,Supuestos!$B$27),0),0)</f>
        <v>0</v>
      </c>
      <c r="CF5" s="18" t="n">
        <f aca="false">IF(CF4&gt;0,IF(83&lt;=Supuestos!$B$29,-PMT(Supuestos!$B$28/12,Supuestos!$B$29,Supuestos!$B$27),0),0)</f>
        <v>0</v>
      </c>
      <c r="CG5" s="18" t="n">
        <f aca="false">IF(CG4&gt;0,IF(84&lt;=Supuestos!$B$29,-PMT(Supuestos!$B$28/12,Supuestos!$B$29,Supuestos!$B$27),0),0)</f>
        <v>0</v>
      </c>
      <c r="CH5" s="18" t="n">
        <f aca="false">IF(CH4&gt;0,IF(85&lt;=Supuestos!$B$29,-PMT(Supuestos!$B$28/12,Supuestos!$B$29,Supuestos!$B$27),0),0)</f>
        <v>0</v>
      </c>
      <c r="CI5" s="18" t="n">
        <f aca="false">IF(CI4&gt;0,IF(86&lt;=Supuestos!$B$29,-PMT(Supuestos!$B$28/12,Supuestos!$B$29,Supuestos!$B$27),0),0)</f>
        <v>0</v>
      </c>
      <c r="CJ5" s="18" t="n">
        <f aca="false">IF(CJ4&gt;0,IF(87&lt;=Supuestos!$B$29,-PMT(Supuestos!$B$28/12,Supuestos!$B$29,Supuestos!$B$27),0),0)</f>
        <v>0</v>
      </c>
      <c r="CK5" s="18" t="n">
        <f aca="false">IF(CK4&gt;0,IF(88&lt;=Supuestos!$B$29,-PMT(Supuestos!$B$28/12,Supuestos!$B$29,Supuestos!$B$27),0),0)</f>
        <v>0</v>
      </c>
      <c r="CL5" s="18" t="n">
        <f aca="false">IF(CL4&gt;0,IF(89&lt;=Supuestos!$B$29,-PMT(Supuestos!$B$28/12,Supuestos!$B$29,Supuestos!$B$27),0),0)</f>
        <v>0</v>
      </c>
      <c r="CM5" s="18" t="n">
        <f aca="false">IF(CM4&gt;0,IF(90&lt;=Supuestos!$B$29,-PMT(Supuestos!$B$28/12,Supuestos!$B$29,Supuestos!$B$27),0),0)</f>
        <v>0</v>
      </c>
      <c r="CN5" s="18" t="n">
        <f aca="false">IF(CN4&gt;0,IF(91&lt;=Supuestos!$B$29,-PMT(Supuestos!$B$28/12,Supuestos!$B$29,Supuestos!$B$27),0),0)</f>
        <v>0</v>
      </c>
      <c r="CO5" s="18" t="n">
        <f aca="false">IF(CO4&gt;0,IF(92&lt;=Supuestos!$B$29,-PMT(Supuestos!$B$28/12,Supuestos!$B$29,Supuestos!$B$27),0),0)</f>
        <v>0</v>
      </c>
      <c r="CP5" s="18" t="n">
        <f aca="false">IF(CP4&gt;0,IF(93&lt;=Supuestos!$B$29,-PMT(Supuestos!$B$28/12,Supuestos!$B$29,Supuestos!$B$27),0),0)</f>
        <v>0</v>
      </c>
      <c r="CQ5" s="18" t="n">
        <f aca="false">IF(CQ4&gt;0,IF(94&lt;=Supuestos!$B$29,-PMT(Supuestos!$B$28/12,Supuestos!$B$29,Supuestos!$B$27),0),0)</f>
        <v>0</v>
      </c>
      <c r="CR5" s="18" t="n">
        <f aca="false">IF(CR4&gt;0,IF(95&lt;=Supuestos!$B$29,-PMT(Supuestos!$B$28/12,Supuestos!$B$29,Supuestos!$B$27),0),0)</f>
        <v>0</v>
      </c>
      <c r="CS5" s="18" t="n">
        <f aca="false">IF(CS4&gt;0,IF(96&lt;=Supuestos!$B$29,-PMT(Supuestos!$B$28/12,Supuestos!$B$29,Supuestos!$B$27),0),0)</f>
        <v>0</v>
      </c>
      <c r="CT5" s="18" t="n">
        <f aca="false">IF(CT4&gt;0,IF(97&lt;=Supuestos!$B$29,-PMT(Supuestos!$B$28/12,Supuestos!$B$29,Supuestos!$B$27),0),0)</f>
        <v>0</v>
      </c>
      <c r="CU5" s="18" t="n">
        <f aca="false">IF(CU4&gt;0,IF(98&lt;=Supuestos!$B$29,-PMT(Supuestos!$B$28/12,Supuestos!$B$29,Supuestos!$B$27),0),0)</f>
        <v>0</v>
      </c>
      <c r="CV5" s="18" t="n">
        <f aca="false">IF(CV4&gt;0,IF(99&lt;=Supuestos!$B$29,-PMT(Supuestos!$B$28/12,Supuestos!$B$29,Supuestos!$B$27),0),0)</f>
        <v>0</v>
      </c>
      <c r="CW5" s="18" t="n">
        <f aca="false">IF(CW4&gt;0,IF(100&lt;=Supuestos!$B$29,-PMT(Supuestos!$B$28/12,Supuestos!$B$29,Supuestos!$B$27),0),0)</f>
        <v>0</v>
      </c>
      <c r="CX5" s="18" t="n">
        <f aca="false">IF(CX4&gt;0,IF(101&lt;=Supuestos!$B$29,-PMT(Supuestos!$B$28/12,Supuestos!$B$29,Supuestos!$B$27),0),0)</f>
        <v>0</v>
      </c>
      <c r="CY5" s="18" t="n">
        <f aca="false">IF(CY4&gt;0,IF(102&lt;=Supuestos!$B$29,-PMT(Supuestos!$B$28/12,Supuestos!$B$29,Supuestos!$B$27),0),0)</f>
        <v>0</v>
      </c>
      <c r="CZ5" s="18" t="n">
        <f aca="false">IF(CZ4&gt;0,IF(103&lt;=Supuestos!$B$29,-PMT(Supuestos!$B$28/12,Supuestos!$B$29,Supuestos!$B$27),0),0)</f>
        <v>0</v>
      </c>
      <c r="DA5" s="18" t="n">
        <f aca="false">IF(DA4&gt;0,IF(104&lt;=Supuestos!$B$29,-PMT(Supuestos!$B$28/12,Supuestos!$B$29,Supuestos!$B$27),0),0)</f>
        <v>0</v>
      </c>
      <c r="DB5" s="18" t="n">
        <f aca="false">IF(DB4&gt;0,IF(105&lt;=Supuestos!$B$29,-PMT(Supuestos!$B$28/12,Supuestos!$B$29,Supuestos!$B$27),0),0)</f>
        <v>0</v>
      </c>
      <c r="DC5" s="18" t="n">
        <f aca="false">IF(DC4&gt;0,IF(106&lt;=Supuestos!$B$29,-PMT(Supuestos!$B$28/12,Supuestos!$B$29,Supuestos!$B$27),0),0)</f>
        <v>0</v>
      </c>
      <c r="DD5" s="18" t="n">
        <f aca="false">IF(DD4&gt;0,IF(107&lt;=Supuestos!$B$29,-PMT(Supuestos!$B$28/12,Supuestos!$B$29,Supuestos!$B$27),0),0)</f>
        <v>0</v>
      </c>
      <c r="DE5" s="18" t="n">
        <f aca="false">IF(DE4&gt;0,IF(108&lt;=Supuestos!$B$29,-PMT(Supuestos!$B$28/12,Supuestos!$B$29,Supuestos!$B$27),0),0)</f>
        <v>0</v>
      </c>
      <c r="DF5" s="18" t="n">
        <f aca="false">IF(DF4&gt;0,IF(109&lt;=Supuestos!$B$29,-PMT(Supuestos!$B$28/12,Supuestos!$B$29,Supuestos!$B$27),0),0)</f>
        <v>0</v>
      </c>
      <c r="DG5" s="18" t="n">
        <f aca="false">IF(DG4&gt;0,IF(110&lt;=Supuestos!$B$29,-PMT(Supuestos!$B$28/12,Supuestos!$B$29,Supuestos!$B$27),0),0)</f>
        <v>0</v>
      </c>
      <c r="DH5" s="18" t="n">
        <f aca="false">IF(DH4&gt;0,IF(111&lt;=Supuestos!$B$29,-PMT(Supuestos!$B$28/12,Supuestos!$B$29,Supuestos!$B$27),0),0)</f>
        <v>0</v>
      </c>
      <c r="DI5" s="18" t="n">
        <f aca="false">IF(DI4&gt;0,IF(112&lt;=Supuestos!$B$29,-PMT(Supuestos!$B$28/12,Supuestos!$B$29,Supuestos!$B$27),0),0)</f>
        <v>0</v>
      </c>
      <c r="DJ5" s="18" t="n">
        <f aca="false">IF(DJ4&gt;0,IF(113&lt;=Supuestos!$B$29,-PMT(Supuestos!$B$28/12,Supuestos!$B$29,Supuestos!$B$27),0),0)</f>
        <v>0</v>
      </c>
      <c r="DK5" s="18" t="n">
        <f aca="false">IF(DK4&gt;0,IF(114&lt;=Supuestos!$B$29,-PMT(Supuestos!$B$28/12,Supuestos!$B$29,Supuestos!$B$27),0),0)</f>
        <v>0</v>
      </c>
      <c r="DL5" s="18" t="n">
        <f aca="false">IF(DL4&gt;0,IF(115&lt;=Supuestos!$B$29,-PMT(Supuestos!$B$28/12,Supuestos!$B$29,Supuestos!$B$27),0),0)</f>
        <v>0</v>
      </c>
      <c r="DM5" s="18" t="n">
        <f aca="false">IF(DM4&gt;0,IF(116&lt;=Supuestos!$B$29,-PMT(Supuestos!$B$28/12,Supuestos!$B$29,Supuestos!$B$27),0),0)</f>
        <v>0</v>
      </c>
      <c r="DN5" s="18" t="n">
        <f aca="false">IF(DN4&gt;0,IF(117&lt;=Supuestos!$B$29,-PMT(Supuestos!$B$28/12,Supuestos!$B$29,Supuestos!$B$27),0),0)</f>
        <v>0</v>
      </c>
      <c r="DO5" s="18" t="n">
        <f aca="false">IF(DO4&gt;0,IF(118&lt;=Supuestos!$B$29,-PMT(Supuestos!$B$28/12,Supuestos!$B$29,Supuestos!$B$27),0),0)</f>
        <v>0</v>
      </c>
      <c r="DP5" s="18" t="n">
        <f aca="false">IF(DP4&gt;0,IF(119&lt;=Supuestos!$B$29,-PMT(Supuestos!$B$28/12,Supuestos!$B$29,Supuestos!$B$27),0),0)</f>
        <v>0</v>
      </c>
      <c r="DQ5" s="18" t="n">
        <f aca="false">IF(DQ4&gt;0,IF(120&lt;=Supuestos!$B$29,-PMT(Supuestos!$B$28/12,Supuestos!$B$29,Supuestos!$B$27),0),0)</f>
        <v>0</v>
      </c>
      <c r="DR5" s="18" t="n">
        <f aca="false">IF(DR4&gt;0,IF(121&lt;=Supuestos!$B$29,-PMT(Supuestos!$B$28/12,Supuestos!$B$29,Supuestos!$B$27),0),0)</f>
        <v>0</v>
      </c>
      <c r="DS5" s="18" t="n">
        <f aca="false">IF(DS4&gt;0,IF(122&lt;=Supuestos!$B$29,-PMT(Supuestos!$B$28/12,Supuestos!$B$29,Supuestos!$B$27),0),0)</f>
        <v>0</v>
      </c>
      <c r="DT5" s="18" t="n">
        <f aca="false">IF(DT4&gt;0,IF(123&lt;=Supuestos!$B$29,-PMT(Supuestos!$B$28/12,Supuestos!$B$29,Supuestos!$B$27),0),0)</f>
        <v>0</v>
      </c>
      <c r="DU5" s="18" t="n">
        <f aca="false">IF(DU4&gt;0,IF(124&lt;=Supuestos!$B$29,-PMT(Supuestos!$B$28/12,Supuestos!$B$29,Supuestos!$B$27),0),0)</f>
        <v>0</v>
      </c>
      <c r="DV5" s="18" t="n">
        <f aca="false">IF(DV4&gt;0,IF(125&lt;=Supuestos!$B$29,-PMT(Supuestos!$B$28/12,Supuestos!$B$29,Supuestos!$B$27),0),0)</f>
        <v>0</v>
      </c>
      <c r="DW5" s="18" t="n">
        <f aca="false">IF(DW4&gt;0,IF(126&lt;=Supuestos!$B$29,-PMT(Supuestos!$B$28/12,Supuestos!$B$29,Supuestos!$B$27),0),0)</f>
        <v>0</v>
      </c>
      <c r="DX5" s="18" t="n">
        <f aca="false">IF(DX4&gt;0,IF(127&lt;=Supuestos!$B$29,-PMT(Supuestos!$B$28/12,Supuestos!$B$29,Supuestos!$B$27),0),0)</f>
        <v>0</v>
      </c>
      <c r="DY5" s="18" t="n">
        <f aca="false">IF(DY4&gt;0,IF(128&lt;=Supuestos!$B$29,-PMT(Supuestos!$B$28/12,Supuestos!$B$29,Supuestos!$B$27),0),0)</f>
        <v>0</v>
      </c>
      <c r="DZ5" s="18" t="n">
        <f aca="false">IF(DZ4&gt;0,IF(129&lt;=Supuestos!$B$29,-PMT(Supuestos!$B$28/12,Supuestos!$B$29,Supuestos!$B$27),0),0)</f>
        <v>0</v>
      </c>
      <c r="EA5" s="18" t="n">
        <f aca="false">IF(EA4&gt;0,IF(130&lt;=Supuestos!$B$29,-PMT(Supuestos!$B$28/12,Supuestos!$B$29,Supuestos!$B$27),0),0)</f>
        <v>0</v>
      </c>
      <c r="EB5" s="18" t="n">
        <f aca="false">IF(EB4&gt;0,IF(131&lt;=Supuestos!$B$29,-PMT(Supuestos!$B$28/12,Supuestos!$B$29,Supuestos!$B$27),0),0)</f>
        <v>0</v>
      </c>
      <c r="EC5" s="18" t="n">
        <f aca="false">IF(EC4&gt;0,IF(132&lt;=Supuestos!$B$29,-PMT(Supuestos!$B$28/12,Supuestos!$B$29,Supuestos!$B$27),0),0)</f>
        <v>0</v>
      </c>
      <c r="ED5" s="18" t="n">
        <f aca="false">IF(ED4&gt;0,IF(133&lt;=Supuestos!$B$29,-PMT(Supuestos!$B$28/12,Supuestos!$B$29,Supuestos!$B$27),0),0)</f>
        <v>0</v>
      </c>
      <c r="EE5" s="18" t="n">
        <f aca="false">IF(EE4&gt;0,IF(134&lt;=Supuestos!$B$29,-PMT(Supuestos!$B$28/12,Supuestos!$B$29,Supuestos!$B$27),0),0)</f>
        <v>0</v>
      </c>
      <c r="EF5" s="18" t="n">
        <f aca="false">IF(EF4&gt;0,IF(135&lt;=Supuestos!$B$29,-PMT(Supuestos!$B$28/12,Supuestos!$B$29,Supuestos!$B$27),0),0)</f>
        <v>0</v>
      </c>
      <c r="EG5" s="18" t="n">
        <f aca="false">IF(EG4&gt;0,IF(136&lt;=Supuestos!$B$29,-PMT(Supuestos!$B$28/12,Supuestos!$B$29,Supuestos!$B$27),0),0)</f>
        <v>0</v>
      </c>
      <c r="EH5" s="18" t="n">
        <f aca="false">IF(EH4&gt;0,IF(137&lt;=Supuestos!$B$29,-PMT(Supuestos!$B$28/12,Supuestos!$B$29,Supuestos!$B$27),0),0)</f>
        <v>0</v>
      </c>
      <c r="EI5" s="18" t="n">
        <f aca="false">IF(EI4&gt;0,IF(138&lt;=Supuestos!$B$29,-PMT(Supuestos!$B$28/12,Supuestos!$B$29,Supuestos!$B$27),0),0)</f>
        <v>0</v>
      </c>
      <c r="EJ5" s="18" t="n">
        <f aca="false">IF(EJ4&gt;0,IF(139&lt;=Supuestos!$B$29,-PMT(Supuestos!$B$28/12,Supuestos!$B$29,Supuestos!$B$27),0),0)</f>
        <v>0</v>
      </c>
      <c r="EK5" s="18" t="n">
        <f aca="false">IF(EK4&gt;0,IF(140&lt;=Supuestos!$B$29,-PMT(Supuestos!$B$28/12,Supuestos!$B$29,Supuestos!$B$27),0),0)</f>
        <v>0</v>
      </c>
      <c r="EL5" s="18" t="n">
        <f aca="false">IF(EL4&gt;0,IF(141&lt;=Supuestos!$B$29,-PMT(Supuestos!$B$28/12,Supuestos!$B$29,Supuestos!$B$27),0),0)</f>
        <v>0</v>
      </c>
      <c r="EM5" s="18" t="n">
        <f aca="false">IF(EM4&gt;0,IF(142&lt;=Supuestos!$B$29,-PMT(Supuestos!$B$28/12,Supuestos!$B$29,Supuestos!$B$27),0),0)</f>
        <v>0</v>
      </c>
      <c r="EN5" s="18" t="n">
        <f aca="false">IF(EN4&gt;0,IF(143&lt;=Supuestos!$B$29,-PMT(Supuestos!$B$28/12,Supuestos!$B$29,Supuestos!$B$27),0),0)</f>
        <v>0</v>
      </c>
      <c r="EO5" s="18" t="n">
        <f aca="false">IF(EO4&gt;0,IF(144&lt;=Supuestos!$B$29,-PMT(Supuestos!$B$28/12,Supuestos!$B$29,Supuestos!$B$27),0),0)</f>
        <v>0</v>
      </c>
      <c r="EP5" s="18" t="n">
        <f aca="false">IF(EP4&gt;0,IF(145&lt;=Supuestos!$B$29,-PMT(Supuestos!$B$28/12,Supuestos!$B$29,Supuestos!$B$27),0),0)</f>
        <v>0</v>
      </c>
      <c r="EQ5" s="18" t="n">
        <f aca="false">IF(EQ4&gt;0,IF(146&lt;=Supuestos!$B$29,-PMT(Supuestos!$B$28/12,Supuestos!$B$29,Supuestos!$B$27),0),0)</f>
        <v>0</v>
      </c>
      <c r="ER5" s="18" t="n">
        <f aca="false">IF(ER4&gt;0,IF(147&lt;=Supuestos!$B$29,-PMT(Supuestos!$B$28/12,Supuestos!$B$29,Supuestos!$B$27),0),0)</f>
        <v>0</v>
      </c>
      <c r="ES5" s="18" t="n">
        <f aca="false">IF(ES4&gt;0,IF(148&lt;=Supuestos!$B$29,-PMT(Supuestos!$B$28/12,Supuestos!$B$29,Supuestos!$B$27),0),0)</f>
        <v>0</v>
      </c>
      <c r="ET5" s="18" t="n">
        <f aca="false">IF(ET4&gt;0,IF(149&lt;=Supuestos!$B$29,-PMT(Supuestos!$B$28/12,Supuestos!$B$29,Supuestos!$B$27),0),0)</f>
        <v>0</v>
      </c>
      <c r="EU5" s="18" t="n">
        <f aca="false">IF(EU4&gt;0,IF(150&lt;=Supuestos!$B$29,-PMT(Supuestos!$B$28/12,Supuestos!$B$29,Supuestos!$B$27),0),0)</f>
        <v>0</v>
      </c>
      <c r="EV5" s="18" t="n">
        <f aca="false">IF(EV4&gt;0,IF(151&lt;=Supuestos!$B$29,-PMT(Supuestos!$B$28/12,Supuestos!$B$29,Supuestos!$B$27),0),0)</f>
        <v>0</v>
      </c>
      <c r="EW5" s="18" t="n">
        <f aca="false">IF(EW4&gt;0,IF(152&lt;=Supuestos!$B$29,-PMT(Supuestos!$B$28/12,Supuestos!$B$29,Supuestos!$B$27),0),0)</f>
        <v>0</v>
      </c>
      <c r="EX5" s="18" t="n">
        <f aca="false">IF(EX4&gt;0,IF(153&lt;=Supuestos!$B$29,-PMT(Supuestos!$B$28/12,Supuestos!$B$29,Supuestos!$B$27),0),0)</f>
        <v>0</v>
      </c>
      <c r="EY5" s="18" t="n">
        <f aca="false">IF(EY4&gt;0,IF(154&lt;=Supuestos!$B$29,-PMT(Supuestos!$B$28/12,Supuestos!$B$29,Supuestos!$B$27),0),0)</f>
        <v>0</v>
      </c>
      <c r="EZ5" s="18" t="n">
        <f aca="false">IF(EZ4&gt;0,IF(155&lt;=Supuestos!$B$29,-PMT(Supuestos!$B$28/12,Supuestos!$B$29,Supuestos!$B$27),0),0)</f>
        <v>0</v>
      </c>
      <c r="FA5" s="18" t="n">
        <f aca="false">IF(FA4&gt;0,IF(156&lt;=Supuestos!$B$29,-PMT(Supuestos!$B$28/12,Supuestos!$B$29,Supuestos!$B$27),0),0)</f>
        <v>0</v>
      </c>
      <c r="FB5" s="18" t="n">
        <f aca="false">IF(FB4&gt;0,IF(157&lt;=Supuestos!$B$29,-PMT(Supuestos!$B$28/12,Supuestos!$B$29,Supuestos!$B$27),0),0)</f>
        <v>0</v>
      </c>
      <c r="FC5" s="18" t="n">
        <f aca="false">IF(FC4&gt;0,IF(158&lt;=Supuestos!$B$29,-PMT(Supuestos!$B$28/12,Supuestos!$B$29,Supuestos!$B$27),0),0)</f>
        <v>0</v>
      </c>
      <c r="FD5" s="18" t="n">
        <f aca="false">IF(FD4&gt;0,IF(159&lt;=Supuestos!$B$29,-PMT(Supuestos!$B$28/12,Supuestos!$B$29,Supuestos!$B$27),0),0)</f>
        <v>0</v>
      </c>
      <c r="FE5" s="18" t="n">
        <f aca="false">IF(FE4&gt;0,IF(160&lt;=Supuestos!$B$29,-PMT(Supuestos!$B$28/12,Supuestos!$B$29,Supuestos!$B$27),0),0)</f>
        <v>0</v>
      </c>
      <c r="FF5" s="18" t="n">
        <f aca="false">IF(FF4&gt;0,IF(161&lt;=Supuestos!$B$29,-PMT(Supuestos!$B$28/12,Supuestos!$B$29,Supuestos!$B$27),0),0)</f>
        <v>0</v>
      </c>
      <c r="FG5" s="18" t="n">
        <f aca="false">IF(FG4&gt;0,IF(162&lt;=Supuestos!$B$29,-PMT(Supuestos!$B$28/12,Supuestos!$B$29,Supuestos!$B$27),0),0)</f>
        <v>0</v>
      </c>
      <c r="FH5" s="18" t="n">
        <f aca="false">IF(FH4&gt;0,IF(163&lt;=Supuestos!$B$29,-PMT(Supuestos!$B$28/12,Supuestos!$B$29,Supuestos!$B$27),0),0)</f>
        <v>0</v>
      </c>
      <c r="FI5" s="18" t="n">
        <f aca="false">IF(FI4&gt;0,IF(164&lt;=Supuestos!$B$29,-PMT(Supuestos!$B$28/12,Supuestos!$B$29,Supuestos!$B$27),0),0)</f>
        <v>0</v>
      </c>
      <c r="FJ5" s="18" t="n">
        <f aca="false">IF(FJ4&gt;0,IF(165&lt;=Supuestos!$B$29,-PMT(Supuestos!$B$28/12,Supuestos!$B$29,Supuestos!$B$27),0),0)</f>
        <v>0</v>
      </c>
      <c r="FK5" s="18" t="n">
        <f aca="false">IF(FK4&gt;0,IF(166&lt;=Supuestos!$B$29,-PMT(Supuestos!$B$28/12,Supuestos!$B$29,Supuestos!$B$27),0),0)</f>
        <v>0</v>
      </c>
      <c r="FL5" s="18" t="n">
        <f aca="false">IF(FL4&gt;0,IF(167&lt;=Supuestos!$B$29,-PMT(Supuestos!$B$28/12,Supuestos!$B$29,Supuestos!$B$27),0),0)</f>
        <v>0</v>
      </c>
      <c r="FM5" s="18" t="n">
        <f aca="false">IF(FM4&gt;0,IF(168&lt;=Supuestos!$B$29,-PMT(Supuestos!$B$28/12,Supuestos!$B$29,Supuestos!$B$27),0),0)</f>
        <v>0</v>
      </c>
      <c r="FN5" s="18" t="n">
        <f aca="false">IF(FN4&gt;0,IF(169&lt;=Supuestos!$B$29,-PMT(Supuestos!$B$28/12,Supuestos!$B$29,Supuestos!$B$27),0),0)</f>
        <v>0</v>
      </c>
      <c r="FO5" s="18" t="n">
        <f aca="false">IF(FO4&gt;0,IF(170&lt;=Supuestos!$B$29,-PMT(Supuestos!$B$28/12,Supuestos!$B$29,Supuestos!$B$27),0),0)</f>
        <v>0</v>
      </c>
      <c r="FP5" s="18" t="n">
        <f aca="false">IF(FP4&gt;0,IF(171&lt;=Supuestos!$B$29,-PMT(Supuestos!$B$28/12,Supuestos!$B$29,Supuestos!$B$27),0),0)</f>
        <v>0</v>
      </c>
      <c r="FQ5" s="18" t="n">
        <f aca="false">IF(FQ4&gt;0,IF(172&lt;=Supuestos!$B$29,-PMT(Supuestos!$B$28/12,Supuestos!$B$29,Supuestos!$B$27),0),0)</f>
        <v>0</v>
      </c>
      <c r="FR5" s="18" t="n">
        <f aca="false">IF(FR4&gt;0,IF(173&lt;=Supuestos!$B$29,-PMT(Supuestos!$B$28/12,Supuestos!$B$29,Supuestos!$B$27),0),0)</f>
        <v>0</v>
      </c>
      <c r="FS5" s="18" t="n">
        <f aca="false">IF(FS4&gt;0,IF(174&lt;=Supuestos!$B$29,-PMT(Supuestos!$B$28/12,Supuestos!$B$29,Supuestos!$B$27),0),0)</f>
        <v>0</v>
      </c>
      <c r="FT5" s="18" t="n">
        <f aca="false">IF(FT4&gt;0,IF(175&lt;=Supuestos!$B$29,-PMT(Supuestos!$B$28/12,Supuestos!$B$29,Supuestos!$B$27),0),0)</f>
        <v>0</v>
      </c>
      <c r="FU5" s="18" t="n">
        <f aca="false">IF(FU4&gt;0,IF(176&lt;=Supuestos!$B$29,-PMT(Supuestos!$B$28/12,Supuestos!$B$29,Supuestos!$B$27),0),0)</f>
        <v>0</v>
      </c>
      <c r="FV5" s="18" t="n">
        <f aca="false">IF(FV4&gt;0,IF(177&lt;=Supuestos!$B$29,-PMT(Supuestos!$B$28/12,Supuestos!$B$29,Supuestos!$B$27),0),0)</f>
        <v>0</v>
      </c>
      <c r="FW5" s="18" t="n">
        <f aca="false">IF(FW4&gt;0,IF(178&lt;=Supuestos!$B$29,-PMT(Supuestos!$B$28/12,Supuestos!$B$29,Supuestos!$B$27),0),0)</f>
        <v>0</v>
      </c>
      <c r="FX5" s="18" t="n">
        <f aca="false">IF(FX4&gt;0,IF(179&lt;=Supuestos!$B$29,-PMT(Supuestos!$B$28/12,Supuestos!$B$29,Supuestos!$B$27),0),0)</f>
        <v>0</v>
      </c>
      <c r="FY5" s="18" t="n">
        <f aca="false">IF(FY4&gt;0,IF(180&lt;=Supuestos!$B$29,-PMT(Supuestos!$B$28/12,Supuestos!$B$29,Supuestos!$B$27),0),0)</f>
        <v>0</v>
      </c>
      <c r="FZ5" s="18" t="n">
        <f aca="false">IF(FZ4&gt;0,IF(181&lt;=Supuestos!$B$29,-PMT(Supuestos!$B$28/12,Supuestos!$B$29,Supuestos!$B$27),0),0)</f>
        <v>0</v>
      </c>
      <c r="GA5" s="18" t="n">
        <f aca="false">IF(GA4&gt;0,IF(182&lt;=Supuestos!$B$29,-PMT(Supuestos!$B$28/12,Supuestos!$B$29,Supuestos!$B$27),0),0)</f>
        <v>0</v>
      </c>
      <c r="GB5" s="18" t="n">
        <f aca="false">IF(GB4&gt;0,IF(183&lt;=Supuestos!$B$29,-PMT(Supuestos!$B$28/12,Supuestos!$B$29,Supuestos!$B$27),0),0)</f>
        <v>0</v>
      </c>
      <c r="GC5" s="18" t="n">
        <f aca="false">IF(GC4&gt;0,IF(184&lt;=Supuestos!$B$29,-PMT(Supuestos!$B$28/12,Supuestos!$B$29,Supuestos!$B$27),0),0)</f>
        <v>0</v>
      </c>
      <c r="GD5" s="18" t="n">
        <f aca="false">IF(GD4&gt;0,IF(185&lt;=Supuestos!$B$29,-PMT(Supuestos!$B$28/12,Supuestos!$B$29,Supuestos!$B$27),0),0)</f>
        <v>0</v>
      </c>
      <c r="GE5" s="18" t="n">
        <f aca="false">IF(GE4&gt;0,IF(186&lt;=Supuestos!$B$29,-PMT(Supuestos!$B$28/12,Supuestos!$B$29,Supuestos!$B$27),0),0)</f>
        <v>0</v>
      </c>
      <c r="GF5" s="18" t="n">
        <f aca="false">IF(GF4&gt;0,IF(187&lt;=Supuestos!$B$29,-PMT(Supuestos!$B$28/12,Supuestos!$B$29,Supuestos!$B$27),0),0)</f>
        <v>0</v>
      </c>
      <c r="GG5" s="18" t="n">
        <f aca="false">IF(GG4&gt;0,IF(188&lt;=Supuestos!$B$29,-PMT(Supuestos!$B$28/12,Supuestos!$B$29,Supuestos!$B$27),0),0)</f>
        <v>0</v>
      </c>
      <c r="GH5" s="18" t="n">
        <f aca="false">IF(GH4&gt;0,IF(189&lt;=Supuestos!$B$29,-PMT(Supuestos!$B$28/12,Supuestos!$B$29,Supuestos!$B$27),0),0)</f>
        <v>0</v>
      </c>
      <c r="GI5" s="18" t="n">
        <f aca="false">IF(GI4&gt;0,IF(190&lt;=Supuestos!$B$29,-PMT(Supuestos!$B$28/12,Supuestos!$B$29,Supuestos!$B$27),0),0)</f>
        <v>0</v>
      </c>
      <c r="GJ5" s="18" t="n">
        <f aca="false">IF(GJ4&gt;0,IF(191&lt;=Supuestos!$B$29,-PMT(Supuestos!$B$28/12,Supuestos!$B$29,Supuestos!$B$27),0),0)</f>
        <v>0</v>
      </c>
      <c r="GK5" s="18" t="n">
        <f aca="false">IF(GK4&gt;0,IF(192&lt;=Supuestos!$B$29,-PMT(Supuestos!$B$28/12,Supuestos!$B$29,Supuestos!$B$27),0),0)</f>
        <v>0</v>
      </c>
      <c r="GL5" s="18" t="n">
        <f aca="false">IF(GL4&gt;0,IF(193&lt;=Supuestos!$B$29,-PMT(Supuestos!$B$28/12,Supuestos!$B$29,Supuestos!$B$27),0),0)</f>
        <v>0</v>
      </c>
      <c r="GM5" s="18" t="n">
        <f aca="false">IF(GM4&gt;0,IF(194&lt;=Supuestos!$B$29,-PMT(Supuestos!$B$28/12,Supuestos!$B$29,Supuestos!$B$27),0),0)</f>
        <v>0</v>
      </c>
      <c r="GN5" s="18" t="n">
        <f aca="false">IF(GN4&gt;0,IF(195&lt;=Supuestos!$B$29,-PMT(Supuestos!$B$28/12,Supuestos!$B$29,Supuestos!$B$27),0),0)</f>
        <v>0</v>
      </c>
      <c r="GO5" s="18" t="n">
        <f aca="false">IF(GO4&gt;0,IF(196&lt;=Supuestos!$B$29,-PMT(Supuestos!$B$28/12,Supuestos!$B$29,Supuestos!$B$27),0),0)</f>
        <v>0</v>
      </c>
      <c r="GP5" s="18" t="n">
        <f aca="false">IF(GP4&gt;0,IF(197&lt;=Supuestos!$B$29,-PMT(Supuestos!$B$28/12,Supuestos!$B$29,Supuestos!$B$27),0),0)</f>
        <v>0</v>
      </c>
      <c r="GQ5" s="18" t="n">
        <f aca="false">IF(GQ4&gt;0,IF(198&lt;=Supuestos!$B$29,-PMT(Supuestos!$B$28/12,Supuestos!$B$29,Supuestos!$B$27),0),0)</f>
        <v>0</v>
      </c>
      <c r="GR5" s="18" t="n">
        <f aca="false">IF(GR4&gt;0,IF(199&lt;=Supuestos!$B$29,-PMT(Supuestos!$B$28/12,Supuestos!$B$29,Supuestos!$B$27),0),0)</f>
        <v>0</v>
      </c>
      <c r="GS5" s="18" t="n">
        <f aca="false">IF(GS4&gt;0,IF(200&lt;=Supuestos!$B$29,-PMT(Supuestos!$B$28/12,Supuestos!$B$29,Supuestos!$B$27),0),0)</f>
        <v>0</v>
      </c>
      <c r="GT5" s="18" t="n">
        <f aca="false">IF(GT4&gt;0,IF(201&lt;=Supuestos!$B$29,-PMT(Supuestos!$B$28/12,Supuestos!$B$29,Supuestos!$B$27),0),0)</f>
        <v>0</v>
      </c>
      <c r="GU5" s="18" t="n">
        <f aca="false">IF(GU4&gt;0,IF(202&lt;=Supuestos!$B$29,-PMT(Supuestos!$B$28/12,Supuestos!$B$29,Supuestos!$B$27),0),0)</f>
        <v>0</v>
      </c>
      <c r="GV5" s="18" t="n">
        <f aca="false">IF(GV4&gt;0,IF(203&lt;=Supuestos!$B$29,-PMT(Supuestos!$B$28/12,Supuestos!$B$29,Supuestos!$B$27),0),0)</f>
        <v>0</v>
      </c>
      <c r="GW5" s="18" t="n">
        <f aca="false">IF(GW4&gt;0,IF(204&lt;=Supuestos!$B$29,-PMT(Supuestos!$B$28/12,Supuestos!$B$29,Supuestos!$B$27),0),0)</f>
        <v>0</v>
      </c>
      <c r="GX5" s="18" t="n">
        <f aca="false">IF(GX4&gt;0,IF(205&lt;=Supuestos!$B$29,-PMT(Supuestos!$B$28/12,Supuestos!$B$29,Supuestos!$B$27),0),0)</f>
        <v>0</v>
      </c>
      <c r="GY5" s="18" t="n">
        <f aca="false">IF(GY4&gt;0,IF(206&lt;=Supuestos!$B$29,-PMT(Supuestos!$B$28/12,Supuestos!$B$29,Supuestos!$B$27),0),0)</f>
        <v>0</v>
      </c>
      <c r="GZ5" s="18" t="n">
        <f aca="false">IF(GZ4&gt;0,IF(207&lt;=Supuestos!$B$29,-PMT(Supuestos!$B$28/12,Supuestos!$B$29,Supuestos!$B$27),0),0)</f>
        <v>0</v>
      </c>
      <c r="HA5" s="18" t="n">
        <f aca="false">IF(HA4&gt;0,IF(208&lt;=Supuestos!$B$29,-PMT(Supuestos!$B$28/12,Supuestos!$B$29,Supuestos!$B$27),0),0)</f>
        <v>0</v>
      </c>
      <c r="HB5" s="18" t="n">
        <f aca="false">IF(HB4&gt;0,IF(209&lt;=Supuestos!$B$29,-PMT(Supuestos!$B$28/12,Supuestos!$B$29,Supuestos!$B$27),0),0)</f>
        <v>0</v>
      </c>
      <c r="HC5" s="18" t="n">
        <f aca="false">IF(HC4&gt;0,IF(210&lt;=Supuestos!$B$29,-PMT(Supuestos!$B$28/12,Supuestos!$B$29,Supuestos!$B$27),0),0)</f>
        <v>0</v>
      </c>
      <c r="HD5" s="18" t="n">
        <f aca="false">IF(HD4&gt;0,IF(211&lt;=Supuestos!$B$29,-PMT(Supuestos!$B$28/12,Supuestos!$B$29,Supuestos!$B$27),0),0)</f>
        <v>0</v>
      </c>
      <c r="HE5" s="18" t="n">
        <f aca="false">IF(HE4&gt;0,IF(212&lt;=Supuestos!$B$29,-PMT(Supuestos!$B$28/12,Supuestos!$B$29,Supuestos!$B$27),0),0)</f>
        <v>0</v>
      </c>
      <c r="HF5" s="18" t="n">
        <f aca="false">IF(HF4&gt;0,IF(213&lt;=Supuestos!$B$29,-PMT(Supuestos!$B$28/12,Supuestos!$B$29,Supuestos!$B$27),0),0)</f>
        <v>0</v>
      </c>
      <c r="HG5" s="18" t="n">
        <f aca="false">IF(HG4&gt;0,IF(214&lt;=Supuestos!$B$29,-PMT(Supuestos!$B$28/12,Supuestos!$B$29,Supuestos!$B$27),0),0)</f>
        <v>0</v>
      </c>
      <c r="HH5" s="18" t="n">
        <f aca="false">IF(HH4&gt;0,IF(215&lt;=Supuestos!$B$29,-PMT(Supuestos!$B$28/12,Supuestos!$B$29,Supuestos!$B$27),0),0)</f>
        <v>0</v>
      </c>
      <c r="HI5" s="18" t="n">
        <f aca="false">IF(HI4&gt;0,IF(216&lt;=Supuestos!$B$29,-PMT(Supuestos!$B$28/12,Supuestos!$B$29,Supuestos!$B$27),0),0)</f>
        <v>0</v>
      </c>
      <c r="HJ5" s="18" t="n">
        <f aca="false">IF(HJ4&gt;0,IF(217&lt;=Supuestos!$B$29,-PMT(Supuestos!$B$28/12,Supuestos!$B$29,Supuestos!$B$27),0),0)</f>
        <v>0</v>
      </c>
      <c r="HK5" s="18" t="n">
        <f aca="false">IF(HK4&gt;0,IF(218&lt;=Supuestos!$B$29,-PMT(Supuestos!$B$28/12,Supuestos!$B$29,Supuestos!$B$27),0),0)</f>
        <v>0</v>
      </c>
      <c r="HL5" s="18" t="n">
        <f aca="false">IF(HL4&gt;0,IF(219&lt;=Supuestos!$B$29,-PMT(Supuestos!$B$28/12,Supuestos!$B$29,Supuestos!$B$27),0),0)</f>
        <v>0</v>
      </c>
      <c r="HM5" s="18" t="n">
        <f aca="false">IF(HM4&gt;0,IF(220&lt;=Supuestos!$B$29,-PMT(Supuestos!$B$28/12,Supuestos!$B$29,Supuestos!$B$27),0),0)</f>
        <v>0</v>
      </c>
      <c r="HN5" s="18" t="n">
        <f aca="false">IF(HN4&gt;0,IF(221&lt;=Supuestos!$B$29,-PMT(Supuestos!$B$28/12,Supuestos!$B$29,Supuestos!$B$27),0),0)</f>
        <v>0</v>
      </c>
      <c r="HO5" s="18" t="n">
        <f aca="false">IF(HO4&gt;0,IF(222&lt;=Supuestos!$B$29,-PMT(Supuestos!$B$28/12,Supuestos!$B$29,Supuestos!$B$27),0),0)</f>
        <v>0</v>
      </c>
      <c r="HP5" s="18" t="n">
        <f aca="false">IF(HP4&gt;0,IF(223&lt;=Supuestos!$B$29,-PMT(Supuestos!$B$28/12,Supuestos!$B$29,Supuestos!$B$27),0),0)</f>
        <v>0</v>
      </c>
      <c r="HQ5" s="18" t="n">
        <f aca="false">IF(HQ4&gt;0,IF(224&lt;=Supuestos!$B$29,-PMT(Supuestos!$B$28/12,Supuestos!$B$29,Supuestos!$B$27),0),0)</f>
        <v>0</v>
      </c>
      <c r="HR5" s="18" t="n">
        <f aca="false">IF(HR4&gt;0,IF(225&lt;=Supuestos!$B$29,-PMT(Supuestos!$B$28/12,Supuestos!$B$29,Supuestos!$B$27),0),0)</f>
        <v>0</v>
      </c>
      <c r="HS5" s="18" t="n">
        <f aca="false">IF(HS4&gt;0,IF(226&lt;=Supuestos!$B$29,-PMT(Supuestos!$B$28/12,Supuestos!$B$29,Supuestos!$B$27),0),0)</f>
        <v>0</v>
      </c>
      <c r="HT5" s="18" t="n">
        <f aca="false">IF(HT4&gt;0,IF(227&lt;=Supuestos!$B$29,-PMT(Supuestos!$B$28/12,Supuestos!$B$29,Supuestos!$B$27),0),0)</f>
        <v>0</v>
      </c>
      <c r="HU5" s="18" t="n">
        <f aca="false">IF(HU4&gt;0,IF(228&lt;=Supuestos!$B$29,-PMT(Supuestos!$B$28/12,Supuestos!$B$29,Supuestos!$B$27),0),0)</f>
        <v>0</v>
      </c>
      <c r="HV5" s="18" t="n">
        <f aca="false">IF(HV4&gt;0,IF(229&lt;=Supuestos!$B$29,-PMT(Supuestos!$B$28/12,Supuestos!$B$29,Supuestos!$B$27),0),0)</f>
        <v>0</v>
      </c>
      <c r="HW5" s="18" t="n">
        <f aca="false">IF(HW4&gt;0,IF(230&lt;=Supuestos!$B$29,-PMT(Supuestos!$B$28/12,Supuestos!$B$29,Supuestos!$B$27),0),0)</f>
        <v>0</v>
      </c>
      <c r="HX5" s="18" t="n">
        <f aca="false">IF(HX4&gt;0,IF(231&lt;=Supuestos!$B$29,-PMT(Supuestos!$B$28/12,Supuestos!$B$29,Supuestos!$B$27),0),0)</f>
        <v>0</v>
      </c>
      <c r="HY5" s="18" t="n">
        <f aca="false">IF(HY4&gt;0,IF(232&lt;=Supuestos!$B$29,-PMT(Supuestos!$B$28/12,Supuestos!$B$29,Supuestos!$B$27),0),0)</f>
        <v>0</v>
      </c>
      <c r="HZ5" s="18" t="n">
        <f aca="false">IF(HZ4&gt;0,IF(233&lt;=Supuestos!$B$29,-PMT(Supuestos!$B$28/12,Supuestos!$B$29,Supuestos!$B$27),0),0)</f>
        <v>0</v>
      </c>
      <c r="IA5" s="18" t="n">
        <f aca="false">IF(IA4&gt;0,IF(234&lt;=Supuestos!$B$29,-PMT(Supuestos!$B$28/12,Supuestos!$B$29,Supuestos!$B$27),0),0)</f>
        <v>0</v>
      </c>
      <c r="IB5" s="18" t="n">
        <f aca="false">IF(IB4&gt;0,IF(235&lt;=Supuestos!$B$29,-PMT(Supuestos!$B$28/12,Supuestos!$B$29,Supuestos!$B$27),0),0)</f>
        <v>0</v>
      </c>
      <c r="IC5" s="18" t="n">
        <f aca="false">IF(IC4&gt;0,IF(236&lt;=Supuestos!$B$29,-PMT(Supuestos!$B$28/12,Supuestos!$B$29,Supuestos!$B$27),0),0)</f>
        <v>0</v>
      </c>
      <c r="ID5" s="18" t="n">
        <f aca="false">IF(ID4&gt;0,IF(237&lt;=Supuestos!$B$29,-PMT(Supuestos!$B$28/12,Supuestos!$B$29,Supuestos!$B$27),0),0)</f>
        <v>0</v>
      </c>
      <c r="IE5" s="18" t="n">
        <f aca="false">IF(IE4&gt;0,IF(238&lt;=Supuestos!$B$29,-PMT(Supuestos!$B$28/12,Supuestos!$B$29,Supuestos!$B$27),0),0)</f>
        <v>0</v>
      </c>
      <c r="IF5" s="18" t="n">
        <f aca="false">IF(IF4&gt;0,IF(239&lt;=Supuestos!$B$29,-PMT(Supuestos!$B$28/12,Supuestos!$B$29,Supuestos!$B$27),0),0)</f>
        <v>0</v>
      </c>
      <c r="IG5" s="18" t="n">
        <f aca="false">IF(IG4&gt;0,IF(240&lt;=Supuestos!$B$29,-PMT(Supuestos!$B$28/12,Supuestos!$B$29,Supuestos!$B$27),0),0)</f>
        <v>0</v>
      </c>
      <c r="IH5" s="18" t="n">
        <f aca="false">IF(IH4&gt;0,IF(241&lt;=Supuestos!$B$29,-PMT(Supuestos!$B$28/12,Supuestos!$B$29,Supuestos!$B$27),0),0)</f>
        <v>0</v>
      </c>
      <c r="II5" s="18" t="n">
        <f aca="false">IF(II4&gt;0,IF(242&lt;=Supuestos!$B$29,-PMT(Supuestos!$B$28/12,Supuestos!$B$29,Supuestos!$B$27),0),0)</f>
        <v>0</v>
      </c>
      <c r="IJ5" s="18" t="n">
        <f aca="false">IF(IJ4&gt;0,IF(243&lt;=Supuestos!$B$29,-PMT(Supuestos!$B$28/12,Supuestos!$B$29,Supuestos!$B$27),0),0)</f>
        <v>0</v>
      </c>
      <c r="IK5" s="18" t="n">
        <f aca="false">IF(IK4&gt;0,IF(244&lt;=Supuestos!$B$29,-PMT(Supuestos!$B$28/12,Supuestos!$B$29,Supuestos!$B$27),0),0)</f>
        <v>0</v>
      </c>
      <c r="IL5" s="18" t="n">
        <f aca="false">IF(IL4&gt;0,IF(245&lt;=Supuestos!$B$29,-PMT(Supuestos!$B$28/12,Supuestos!$B$29,Supuestos!$B$27),0),0)</f>
        <v>0</v>
      </c>
      <c r="IM5" s="18" t="n">
        <f aca="false">IF(IM4&gt;0,IF(246&lt;=Supuestos!$B$29,-PMT(Supuestos!$B$28/12,Supuestos!$B$29,Supuestos!$B$27),0),0)</f>
        <v>0</v>
      </c>
      <c r="IN5" s="18" t="n">
        <f aca="false">IF(IN4&gt;0,IF(247&lt;=Supuestos!$B$29,-PMT(Supuestos!$B$28/12,Supuestos!$B$29,Supuestos!$B$27),0),0)</f>
        <v>0</v>
      </c>
      <c r="IO5" s="18" t="n">
        <f aca="false">IF(IO4&gt;0,IF(248&lt;=Supuestos!$B$29,-PMT(Supuestos!$B$28/12,Supuestos!$B$29,Supuestos!$B$27),0),0)</f>
        <v>0</v>
      </c>
      <c r="IP5" s="18" t="n">
        <f aca="false">IF(IP4&gt;0,IF(249&lt;=Supuestos!$B$29,-PMT(Supuestos!$B$28/12,Supuestos!$B$29,Supuestos!$B$27),0),0)</f>
        <v>0</v>
      </c>
      <c r="IQ5" s="18" t="n">
        <f aca="false">IF(IQ4&gt;0,IF(250&lt;=Supuestos!$B$29,-PMT(Supuestos!$B$28/12,Supuestos!$B$29,Supuestos!$B$27),0),0)</f>
        <v>0</v>
      </c>
      <c r="IR5" s="18" t="n">
        <f aca="false">IF(IR4&gt;0,IF(251&lt;=Supuestos!$B$29,-PMT(Supuestos!$B$28/12,Supuestos!$B$29,Supuestos!$B$27),0),0)</f>
        <v>0</v>
      </c>
      <c r="IS5" s="18" t="n">
        <f aca="false">IF(IS4&gt;0,IF(252&lt;=Supuestos!$B$29,-PMT(Supuestos!$B$28/12,Supuestos!$B$29,Supuestos!$B$27),0),0)</f>
        <v>0</v>
      </c>
      <c r="IT5" s="18" t="n">
        <f aca="false">IF(IT4&gt;0,IF(253&lt;=Supuestos!$B$29,-PMT(Supuestos!$B$28/12,Supuestos!$B$29,Supuestos!$B$27),0),0)</f>
        <v>0</v>
      </c>
      <c r="IU5" s="18" t="n">
        <f aca="false">IF(IU4&gt;0,IF(254&lt;=Supuestos!$B$29,-PMT(Supuestos!$B$28/12,Supuestos!$B$29,Supuestos!$B$27),0),0)</f>
        <v>0</v>
      </c>
      <c r="IV5" s="18" t="n">
        <f aca="false">IF(IV4&gt;0,IF(255&lt;=Supuestos!$B$29,-PMT(Supuestos!$B$28/12,Supuestos!$B$29,Supuestos!$B$27),0),0)</f>
        <v>0</v>
      </c>
      <c r="IW5" s="18" t="n">
        <f aca="false">IF(IW4&gt;0,IF(256&lt;=Supuestos!$B$29,-PMT(Supuestos!$B$28/12,Supuestos!$B$29,Supuestos!$B$27),0),0)</f>
        <v>0</v>
      </c>
      <c r="IX5" s="18" t="n">
        <f aca="false">IF(IX4&gt;0,IF(257&lt;=Supuestos!$B$29,-PMT(Supuestos!$B$28/12,Supuestos!$B$29,Supuestos!$B$27),0),0)</f>
        <v>0</v>
      </c>
      <c r="IY5" s="18" t="n">
        <f aca="false">IF(IY4&gt;0,IF(258&lt;=Supuestos!$B$29,-PMT(Supuestos!$B$28/12,Supuestos!$B$29,Supuestos!$B$27),0),0)</f>
        <v>0</v>
      </c>
      <c r="IZ5" s="18" t="n">
        <f aca="false">IF(IZ4&gt;0,IF(259&lt;=Supuestos!$B$29,-PMT(Supuestos!$B$28/12,Supuestos!$B$29,Supuestos!$B$27),0),0)</f>
        <v>0</v>
      </c>
      <c r="JA5" s="18" t="n">
        <f aca="false">IF(JA4&gt;0,IF(260&lt;=Supuestos!$B$29,-PMT(Supuestos!$B$28/12,Supuestos!$B$29,Supuestos!$B$27),0),0)</f>
        <v>0</v>
      </c>
      <c r="JB5" s="18" t="n">
        <f aca="false">IF(JB4&gt;0,IF(261&lt;=Supuestos!$B$29,-PMT(Supuestos!$B$28/12,Supuestos!$B$29,Supuestos!$B$27),0),0)</f>
        <v>0</v>
      </c>
      <c r="JC5" s="18" t="n">
        <f aca="false">IF(JC4&gt;0,IF(262&lt;=Supuestos!$B$29,-PMT(Supuestos!$B$28/12,Supuestos!$B$29,Supuestos!$B$27),0),0)</f>
        <v>0</v>
      </c>
      <c r="JD5" s="18" t="n">
        <f aca="false">IF(JD4&gt;0,IF(263&lt;=Supuestos!$B$29,-PMT(Supuestos!$B$28/12,Supuestos!$B$29,Supuestos!$B$27),0),0)</f>
        <v>0</v>
      </c>
      <c r="JE5" s="18" t="n">
        <f aca="false">IF(JE4&gt;0,IF(264&lt;=Supuestos!$B$29,-PMT(Supuestos!$B$28/12,Supuestos!$B$29,Supuestos!$B$27),0),0)</f>
        <v>0</v>
      </c>
      <c r="JF5" s="18" t="n">
        <f aca="false">IF(JF4&gt;0,IF(265&lt;=Supuestos!$B$29,-PMT(Supuestos!$B$28/12,Supuestos!$B$29,Supuestos!$B$27),0),0)</f>
        <v>0</v>
      </c>
      <c r="JG5" s="18" t="n">
        <f aca="false">IF(JG4&gt;0,IF(266&lt;=Supuestos!$B$29,-PMT(Supuestos!$B$28/12,Supuestos!$B$29,Supuestos!$B$27),0),0)</f>
        <v>0</v>
      </c>
      <c r="JH5" s="18" t="n">
        <f aca="false">IF(JH4&gt;0,IF(267&lt;=Supuestos!$B$29,-PMT(Supuestos!$B$28/12,Supuestos!$B$29,Supuestos!$B$27),0),0)</f>
        <v>0</v>
      </c>
      <c r="JI5" s="18" t="n">
        <f aca="false">IF(JI4&gt;0,IF(268&lt;=Supuestos!$B$29,-PMT(Supuestos!$B$28/12,Supuestos!$B$29,Supuestos!$B$27),0),0)</f>
        <v>0</v>
      </c>
      <c r="JJ5" s="18" t="n">
        <f aca="false">IF(JJ4&gt;0,IF(269&lt;=Supuestos!$B$29,-PMT(Supuestos!$B$28/12,Supuestos!$B$29,Supuestos!$B$27),0),0)</f>
        <v>0</v>
      </c>
      <c r="JK5" s="18" t="n">
        <f aca="false">IF(JK4&gt;0,IF(270&lt;=Supuestos!$B$29,-PMT(Supuestos!$B$28/12,Supuestos!$B$29,Supuestos!$B$27),0),0)</f>
        <v>0</v>
      </c>
      <c r="JL5" s="18" t="n">
        <f aca="false">IF(JL4&gt;0,IF(271&lt;=Supuestos!$B$29,-PMT(Supuestos!$B$28/12,Supuestos!$B$29,Supuestos!$B$27),0),0)</f>
        <v>0</v>
      </c>
      <c r="JM5" s="18" t="n">
        <f aca="false">IF(JM4&gt;0,IF(272&lt;=Supuestos!$B$29,-PMT(Supuestos!$B$28/12,Supuestos!$B$29,Supuestos!$B$27),0),0)</f>
        <v>0</v>
      </c>
      <c r="JN5" s="18" t="n">
        <f aca="false">IF(JN4&gt;0,IF(273&lt;=Supuestos!$B$29,-PMT(Supuestos!$B$28/12,Supuestos!$B$29,Supuestos!$B$27),0),0)</f>
        <v>0</v>
      </c>
      <c r="JO5" s="18" t="n">
        <f aca="false">IF(JO4&gt;0,IF(274&lt;=Supuestos!$B$29,-PMT(Supuestos!$B$28/12,Supuestos!$B$29,Supuestos!$B$27),0),0)</f>
        <v>0</v>
      </c>
      <c r="JP5" s="18" t="n">
        <f aca="false">IF(JP4&gt;0,IF(275&lt;=Supuestos!$B$29,-PMT(Supuestos!$B$28/12,Supuestos!$B$29,Supuestos!$B$27),0),0)</f>
        <v>0</v>
      </c>
      <c r="JQ5" s="18" t="n">
        <f aca="false">IF(JQ4&gt;0,IF(276&lt;=Supuestos!$B$29,-PMT(Supuestos!$B$28/12,Supuestos!$B$29,Supuestos!$B$27),0),0)</f>
        <v>0</v>
      </c>
      <c r="JR5" s="18" t="n">
        <f aca="false">IF(JR4&gt;0,IF(277&lt;=Supuestos!$B$29,-PMT(Supuestos!$B$28/12,Supuestos!$B$29,Supuestos!$B$27),0),0)</f>
        <v>0</v>
      </c>
      <c r="JS5" s="18" t="n">
        <f aca="false">IF(JS4&gt;0,IF(278&lt;=Supuestos!$B$29,-PMT(Supuestos!$B$28/12,Supuestos!$B$29,Supuestos!$B$27),0),0)</f>
        <v>0</v>
      </c>
      <c r="JT5" s="18" t="n">
        <f aca="false">IF(JT4&gt;0,IF(279&lt;=Supuestos!$B$29,-PMT(Supuestos!$B$28/12,Supuestos!$B$29,Supuestos!$B$27),0),0)</f>
        <v>0</v>
      </c>
      <c r="JU5" s="18" t="n">
        <f aca="false">IF(JU4&gt;0,IF(280&lt;=Supuestos!$B$29,-PMT(Supuestos!$B$28/12,Supuestos!$B$29,Supuestos!$B$27),0),0)</f>
        <v>0</v>
      </c>
      <c r="JV5" s="18" t="n">
        <f aca="false">IF(JV4&gt;0,IF(281&lt;=Supuestos!$B$29,-PMT(Supuestos!$B$28/12,Supuestos!$B$29,Supuestos!$B$27),0),0)</f>
        <v>0</v>
      </c>
      <c r="JW5" s="18" t="n">
        <f aca="false">IF(JW4&gt;0,IF(282&lt;=Supuestos!$B$29,-PMT(Supuestos!$B$28/12,Supuestos!$B$29,Supuestos!$B$27),0),0)</f>
        <v>0</v>
      </c>
      <c r="JX5" s="18" t="n">
        <f aca="false">IF(JX4&gt;0,IF(283&lt;=Supuestos!$B$29,-PMT(Supuestos!$B$28/12,Supuestos!$B$29,Supuestos!$B$27),0),0)</f>
        <v>0</v>
      </c>
      <c r="JY5" s="18" t="n">
        <f aca="false">IF(JY4&gt;0,IF(284&lt;=Supuestos!$B$29,-PMT(Supuestos!$B$28/12,Supuestos!$B$29,Supuestos!$B$27),0),0)</f>
        <v>0</v>
      </c>
      <c r="JZ5" s="18" t="n">
        <f aca="false">IF(JZ4&gt;0,IF(285&lt;=Supuestos!$B$29,-PMT(Supuestos!$B$28/12,Supuestos!$B$29,Supuestos!$B$27),0),0)</f>
        <v>0</v>
      </c>
      <c r="KA5" s="18" t="n">
        <f aca="false">IF(KA4&gt;0,IF(286&lt;=Supuestos!$B$29,-PMT(Supuestos!$B$28/12,Supuestos!$B$29,Supuestos!$B$27),0),0)</f>
        <v>0</v>
      </c>
      <c r="KB5" s="18" t="n">
        <f aca="false">IF(KB4&gt;0,IF(287&lt;=Supuestos!$B$29,-PMT(Supuestos!$B$28/12,Supuestos!$B$29,Supuestos!$B$27),0),0)</f>
        <v>0</v>
      </c>
      <c r="KC5" s="18" t="n">
        <f aca="false">IF(KC4&gt;0,IF(288&lt;=Supuestos!$B$29,-PMT(Supuestos!$B$28/12,Supuestos!$B$29,Supuestos!$B$27),0),0)</f>
        <v>0</v>
      </c>
      <c r="KD5" s="18" t="n">
        <f aca="false">IF(KD4&gt;0,IF(289&lt;=Supuestos!$B$29,-PMT(Supuestos!$B$28/12,Supuestos!$B$29,Supuestos!$B$27),0),0)</f>
        <v>0</v>
      </c>
      <c r="KE5" s="18" t="n">
        <f aca="false">IF(KE4&gt;0,IF(290&lt;=Supuestos!$B$29,-PMT(Supuestos!$B$28/12,Supuestos!$B$29,Supuestos!$B$27),0),0)</f>
        <v>0</v>
      </c>
      <c r="KF5" s="18" t="n">
        <f aca="false">IF(KF4&gt;0,IF(291&lt;=Supuestos!$B$29,-PMT(Supuestos!$B$28/12,Supuestos!$B$29,Supuestos!$B$27),0),0)</f>
        <v>0</v>
      </c>
      <c r="KG5" s="18" t="n">
        <f aca="false">IF(KG4&gt;0,IF(292&lt;=Supuestos!$B$29,-PMT(Supuestos!$B$28/12,Supuestos!$B$29,Supuestos!$B$27),0),0)</f>
        <v>0</v>
      </c>
      <c r="KH5" s="18" t="n">
        <f aca="false">IF(KH4&gt;0,IF(293&lt;=Supuestos!$B$29,-PMT(Supuestos!$B$28/12,Supuestos!$B$29,Supuestos!$B$27),0),0)</f>
        <v>0</v>
      </c>
      <c r="KI5" s="18" t="n">
        <f aca="false">IF(KI4&gt;0,IF(294&lt;=Supuestos!$B$29,-PMT(Supuestos!$B$28/12,Supuestos!$B$29,Supuestos!$B$27),0),0)</f>
        <v>0</v>
      </c>
      <c r="KJ5" s="18" t="n">
        <f aca="false">IF(KJ4&gt;0,IF(295&lt;=Supuestos!$B$29,-PMT(Supuestos!$B$28/12,Supuestos!$B$29,Supuestos!$B$27),0),0)</f>
        <v>0</v>
      </c>
      <c r="KK5" s="18" t="n">
        <f aca="false">IF(KK4&gt;0,IF(296&lt;=Supuestos!$B$29,-PMT(Supuestos!$B$28/12,Supuestos!$B$29,Supuestos!$B$27),0),0)</f>
        <v>0</v>
      </c>
      <c r="KL5" s="18" t="n">
        <f aca="false">IF(KL4&gt;0,IF(297&lt;=Supuestos!$B$29,-PMT(Supuestos!$B$28/12,Supuestos!$B$29,Supuestos!$B$27),0),0)</f>
        <v>0</v>
      </c>
      <c r="KM5" s="18" t="n">
        <f aca="false">IF(KM4&gt;0,IF(298&lt;=Supuestos!$B$29,-PMT(Supuestos!$B$28/12,Supuestos!$B$29,Supuestos!$B$27),0),0)</f>
        <v>0</v>
      </c>
      <c r="KN5" s="18" t="n">
        <f aca="false">IF(KN4&gt;0,IF(299&lt;=Supuestos!$B$29,-PMT(Supuestos!$B$28/12,Supuestos!$B$29,Supuestos!$B$27),0),0)</f>
        <v>0</v>
      </c>
      <c r="KO5" s="18" t="n">
        <f aca="false">IF(KO4&gt;0,IF(300&lt;=Supuestos!$B$29,-PMT(Supuestos!$B$28/12,Supuestos!$B$29,Supuestos!$B$27),0),0)</f>
        <v>0</v>
      </c>
    </row>
    <row r="6" customFormat="false" ht="14.25" hidden="false" customHeight="false" outlineLevel="0" collapsed="false">
      <c r="A6" s="0" t="s">
        <v>411</v>
      </c>
      <c r="B6" s="18" t="n">
        <f aca="false">B4*Supuestos!$B$28/12</f>
        <v>23333.3333333333</v>
      </c>
      <c r="C6" s="18" t="n">
        <f aca="false">C4*Supuestos!$B$28/12</f>
        <v>23007.416478503</v>
      </c>
      <c r="D6" s="18" t="n">
        <f aca="false">D4*Supuestos!$B$28/12</f>
        <v>22679.5984420194</v>
      </c>
      <c r="E6" s="18" t="n">
        <f aca="false">E4*Supuestos!$B$28/12</f>
        <v>22349.8681336564</v>
      </c>
      <c r="F6" s="18" t="n">
        <f aca="false">F4*Supuestos!$B$28/12</f>
        <v>22018.2143984945</v>
      </c>
      <c r="G6" s="18" t="n">
        <f aca="false">G4*Supuestos!$B$28/12</f>
        <v>21684.6260165443</v>
      </c>
      <c r="H6" s="18" t="n">
        <f aca="false">H4*Supuestos!$B$28/12</f>
        <v>21349.091702366</v>
      </c>
      <c r="I6" s="18" t="n">
        <f aca="false">I4*Supuestos!$B$28/12</f>
        <v>21011.6001046883</v>
      </c>
      <c r="J6" s="18" t="n">
        <f aca="false">J4*Supuestos!$B$28/12</f>
        <v>20672.1398060241</v>
      </c>
      <c r="K6" s="18" t="n">
        <f aca="false">K4*Supuestos!$B$28/12</f>
        <v>20330.6993222844</v>
      </c>
      <c r="L6" s="18" t="n">
        <f aca="false">L4*Supuestos!$B$28/12</f>
        <v>19987.2671023896</v>
      </c>
      <c r="M6" s="18" t="n">
        <f aca="false">M4*Supuestos!$B$28/12</f>
        <v>19641.8315278787</v>
      </c>
      <c r="N6" s="18" t="n">
        <f aca="false">N4*Supuestos!$B$28/12</f>
        <v>19294.3809125165</v>
      </c>
      <c r="O6" s="18" t="n">
        <f aca="false">O4*Supuestos!$B$28/12</f>
        <v>18944.9035018981</v>
      </c>
      <c r="P6" s="18" t="n">
        <f aca="false">P4*Supuestos!$B$28/12</f>
        <v>18593.387473051</v>
      </c>
      <c r="Q6" s="18" t="n">
        <f aca="false">Q4*Supuestos!$B$28/12</f>
        <v>18239.8209340356</v>
      </c>
      <c r="R6" s="18" t="n">
        <f aca="false">R4*Supuestos!$B$28/12</f>
        <v>17884.1919235427</v>
      </c>
      <c r="S6" s="18" t="n">
        <f aca="false">S4*Supuestos!$B$28/12</f>
        <v>17526.4884104885</v>
      </c>
      <c r="T6" s="18" t="n">
        <f aca="false">T4*Supuestos!$B$28/12</f>
        <v>17166.6982936082</v>
      </c>
      <c r="U6" s="18" t="n">
        <f aca="false">U4*Supuestos!$B$28/12</f>
        <v>16804.8094010461</v>
      </c>
      <c r="V6" s="18" t="n">
        <f aca="false">V4*Supuestos!$B$28/12</f>
        <v>16440.8094899441</v>
      </c>
      <c r="W6" s="18" t="n">
        <f aca="false">W4*Supuestos!$B$28/12</f>
        <v>16074.6862460272</v>
      </c>
      <c r="X6" s="18" t="n">
        <f aca="false">X4*Supuestos!$B$28/12</f>
        <v>15706.4272831876</v>
      </c>
      <c r="Y6" s="18" t="n">
        <f aca="false">Y4*Supuestos!$B$28/12</f>
        <v>15336.0201430647</v>
      </c>
      <c r="Z6" s="18" t="n">
        <f aca="false">Z4*Supuestos!$B$28/12</f>
        <v>14963.4522946244</v>
      </c>
      <c r="AA6" s="18" t="n">
        <f aca="false">AA4*Supuestos!$B$28/12</f>
        <v>14588.7111337349</v>
      </c>
      <c r="AB6" s="18" t="n">
        <f aca="false">AB4*Supuestos!$B$28/12</f>
        <v>14211.7839827402</v>
      </c>
      <c r="AC6" s="18" t="n">
        <f aca="false">AC4*Supuestos!$B$28/12</f>
        <v>13832.6580900314</v>
      </c>
      <c r="AD6" s="18" t="n">
        <f aca="false">AD4*Supuestos!$B$28/12</f>
        <v>13451.3206296151</v>
      </c>
      <c r="AE6" s="18" t="n">
        <f aca="false">AE4*Supuestos!$B$28/12</f>
        <v>13067.7587006797</v>
      </c>
      <c r="AF6" s="18" t="n">
        <f aca="false">AF4*Supuestos!$B$28/12</f>
        <v>12681.9593271588</v>
      </c>
      <c r="AG6" s="18" t="n">
        <f aca="false">AG4*Supuestos!$B$28/12</f>
        <v>12293.9094572924</v>
      </c>
      <c r="AH6" s="18" t="n">
        <f aca="false">AH4*Supuestos!$B$28/12</f>
        <v>11903.5959631851</v>
      </c>
      <c r="AI6" s="18" t="n">
        <f aca="false">AI4*Supuestos!$B$28/12</f>
        <v>11511.0056403622</v>
      </c>
      <c r="AJ6" s="18" t="n">
        <f aca="false">AJ4*Supuestos!$B$28/12</f>
        <v>11116.1252073228</v>
      </c>
      <c r="AK6" s="18" t="n">
        <f aca="false">AK4*Supuestos!$B$28/12</f>
        <v>10718.9413050907</v>
      </c>
      <c r="AL6" s="18" t="n">
        <f aca="false">AL4*Supuestos!$B$28/12</f>
        <v>10319.4404967623</v>
      </c>
      <c r="AM6" s="18" t="n">
        <f aca="false">AM4*Supuestos!$B$28/12</f>
        <v>9917.60926705189</v>
      </c>
      <c r="AN6" s="18" t="n">
        <f aca="false">AN4*Supuestos!$B$28/12</f>
        <v>9513.43402183487</v>
      </c>
      <c r="AO6" s="18" t="n">
        <f aca="false">AO4*Supuestos!$B$28/12</f>
        <v>9106.90108768741</v>
      </c>
      <c r="AP6" s="18" t="n">
        <f aca="false">AP4*Supuestos!$B$28/12</f>
        <v>8697.9967114241</v>
      </c>
      <c r="AQ6" s="18" t="n">
        <f aca="false">AQ4*Supuestos!$B$28/12</f>
        <v>8286.70705963259</v>
      </c>
      <c r="AR6" s="18" t="n">
        <f aca="false">AR4*Supuestos!$B$28/12</f>
        <v>7873.01821820562</v>
      </c>
      <c r="AS6" s="18" t="n">
        <f aca="false">AS4*Supuestos!$B$28/12</f>
        <v>7456.91619187033</v>
      </c>
      <c r="AT6" s="18" t="n">
        <f aca="false">AT4*Supuestos!$B$28/12</f>
        <v>7038.38690371475</v>
      </c>
      <c r="AU6" s="18" t="n">
        <f aca="false">AU4*Supuestos!$B$28/12</f>
        <v>6617.4161947116</v>
      </c>
      <c r="AV6" s="18" t="n">
        <f aca="false">AV4*Supuestos!$B$28/12</f>
        <v>6193.98982323926</v>
      </c>
      <c r="AW6" s="18" t="n">
        <f aca="false">AW4*Supuestos!$B$28/12</f>
        <v>5768.0934646</v>
      </c>
      <c r="AX6" s="18" t="n">
        <f aca="false">AX4*Supuestos!$B$28/12</f>
        <v>5339.71271053534</v>
      </c>
      <c r="AY6" s="18" t="n">
        <f aca="false">AY4*Supuestos!$B$28/12</f>
        <v>4908.83306873864</v>
      </c>
      <c r="AZ6" s="18" t="n">
        <f aca="false">AZ4*Supuestos!$B$28/12</f>
        <v>4475.43996236479</v>
      </c>
      <c r="BA6" s="18" t="n">
        <f aca="false">BA4*Supuestos!$B$28/12</f>
        <v>4039.5187295371</v>
      </c>
      <c r="BB6" s="18" t="n">
        <f aca="false">BB4*Supuestos!$B$28/12</f>
        <v>3601.05462285124</v>
      </c>
      <c r="BC6" s="18" t="n">
        <f aca="false">BC4*Supuestos!$B$28/12</f>
        <v>3160.03280887639</v>
      </c>
      <c r="BD6" s="18" t="n">
        <f aca="false">BD4*Supuestos!$B$28/12</f>
        <v>2716.43836765334</v>
      </c>
      <c r="BE6" s="18" t="n">
        <f aca="false">BE4*Supuestos!$B$28/12</f>
        <v>2270.25629218983</v>
      </c>
      <c r="BF6" s="18" t="n">
        <f aca="false">BF4*Supuestos!$B$28/12</f>
        <v>1821.47148795278</v>
      </c>
      <c r="BG6" s="18" t="n">
        <f aca="false">BG4*Supuestos!$B$28/12</f>
        <v>1370.06877235768</v>
      </c>
      <c r="BH6" s="18" t="n">
        <f aca="false">BH4*Supuestos!$B$28/12</f>
        <v>916.032874254947</v>
      </c>
      <c r="BI6" s="18" t="n">
        <f aca="false">BI4*Supuestos!$B$28/12</f>
        <v>459.348433413278</v>
      </c>
      <c r="BJ6" s="18" t="n">
        <f aca="false">BJ4*Supuestos!$B$28/12</f>
        <v>3.31056071445346E-011</v>
      </c>
      <c r="BK6" s="18" t="n">
        <f aca="false">BK4*Supuestos!$B$28/12</f>
        <v>3.3298723186211E-011</v>
      </c>
      <c r="BL6" s="18" t="n">
        <f aca="false">BL4*Supuestos!$B$28/12</f>
        <v>3.34929657381306E-011</v>
      </c>
      <c r="BM6" s="18" t="n">
        <f aca="false">BM4*Supuestos!$B$28/12</f>
        <v>3.3688341371603E-011</v>
      </c>
      <c r="BN6" s="18" t="n">
        <f aca="false">BN4*Supuestos!$B$28/12</f>
        <v>3.38848566962707E-011</v>
      </c>
      <c r="BO6" s="18" t="n">
        <f aca="false">BO4*Supuestos!$B$28/12</f>
        <v>3.40825183603323E-011</v>
      </c>
      <c r="BP6" s="18" t="n">
        <f aca="false">BP4*Supuestos!$B$28/12</f>
        <v>3.42813330507676E-011</v>
      </c>
      <c r="BQ6" s="18" t="n">
        <f aca="false">BQ4*Supuestos!$B$28/12</f>
        <v>3.44813074935637E-011</v>
      </c>
      <c r="BR6" s="18" t="n">
        <f aca="false">BR4*Supuestos!$B$28/12</f>
        <v>3.46824484539428E-011</v>
      </c>
      <c r="BS6" s="18" t="n">
        <f aca="false">BS4*Supuestos!$B$28/12</f>
        <v>3.48847627365908E-011</v>
      </c>
      <c r="BT6" s="18" t="n">
        <f aca="false">BT4*Supuestos!$B$28/12</f>
        <v>3.50882571858876E-011</v>
      </c>
      <c r="BU6" s="18" t="n">
        <f aca="false">BU4*Supuestos!$B$28/12</f>
        <v>3.52929386861386E-011</v>
      </c>
      <c r="BV6" s="18" t="n">
        <f aca="false">BV4*Supuestos!$B$28/12</f>
        <v>3.54988141618078E-011</v>
      </c>
      <c r="BW6" s="18" t="n">
        <f aca="false">BW4*Supuestos!$B$28/12</f>
        <v>3.57058905777516E-011</v>
      </c>
      <c r="BX6" s="18" t="n">
        <f aca="false">BX4*Supuestos!$B$28/12</f>
        <v>3.59141749394552E-011</v>
      </c>
      <c r="BY6" s="18" t="n">
        <f aca="false">BY4*Supuestos!$B$28/12</f>
        <v>3.61236742932687E-011</v>
      </c>
      <c r="BZ6" s="18" t="n">
        <f aca="false">BZ4*Supuestos!$B$28/12</f>
        <v>3.63343957266461E-011</v>
      </c>
      <c r="CA6" s="18" t="n">
        <f aca="false">CA4*Supuestos!$B$28/12</f>
        <v>3.65463463683849E-011</v>
      </c>
      <c r="CB6" s="18" t="n">
        <f aca="false">CB4*Supuestos!$B$28/12</f>
        <v>3.67595333888671E-011</v>
      </c>
      <c r="CC6" s="18" t="n">
        <f aca="false">CC4*Supuestos!$B$28/12</f>
        <v>3.69739640003022E-011</v>
      </c>
      <c r="CD6" s="18" t="n">
        <f aca="false">CD4*Supuestos!$B$28/12</f>
        <v>3.71896454569706E-011</v>
      </c>
      <c r="CE6" s="18" t="n">
        <f aca="false">CE4*Supuestos!$B$28/12</f>
        <v>3.74065850554696E-011</v>
      </c>
      <c r="CF6" s="18" t="n">
        <f aca="false">CF4*Supuestos!$B$28/12</f>
        <v>3.76247901349598E-011</v>
      </c>
      <c r="CG6" s="18" t="n">
        <f aca="false">CG4*Supuestos!$B$28/12</f>
        <v>3.78442680774138E-011</v>
      </c>
      <c r="CH6" s="18" t="n">
        <f aca="false">CH4*Supuestos!$B$28/12</f>
        <v>3.80650263078653E-011</v>
      </c>
      <c r="CI6" s="18" t="n">
        <f aca="false">CI4*Supuestos!$B$28/12</f>
        <v>3.82870722946612E-011</v>
      </c>
      <c r="CJ6" s="18" t="n">
        <f aca="false">CJ4*Supuestos!$B$28/12</f>
        <v>3.85104135497134E-011</v>
      </c>
      <c r="CK6" s="18" t="n">
        <f aca="false">CK4*Supuestos!$B$28/12</f>
        <v>3.87350576287534E-011</v>
      </c>
      <c r="CL6" s="18" t="n">
        <f aca="false">CL4*Supuestos!$B$28/12</f>
        <v>3.89610121315878E-011</v>
      </c>
      <c r="CM6" s="18" t="n">
        <f aca="false">CM4*Supuestos!$B$28/12</f>
        <v>3.91882847023554E-011</v>
      </c>
      <c r="CN6" s="18" t="n">
        <f aca="false">CN4*Supuestos!$B$28/12</f>
        <v>3.94168830297858E-011</v>
      </c>
      <c r="CO6" s="18" t="n">
        <f aca="false">CO4*Supuestos!$B$28/12</f>
        <v>3.96468148474596E-011</v>
      </c>
      <c r="CP6" s="18" t="n">
        <f aca="false">CP4*Supuestos!$B$28/12</f>
        <v>3.98780879340697E-011</v>
      </c>
      <c r="CQ6" s="18" t="n">
        <f aca="false">CQ4*Supuestos!$B$28/12</f>
        <v>4.01107101136852E-011</v>
      </c>
      <c r="CR6" s="18" t="n">
        <f aca="false">CR4*Supuestos!$B$28/12</f>
        <v>4.0344689256015E-011</v>
      </c>
      <c r="CS6" s="18" t="n">
        <f aca="false">CS4*Supuestos!$B$28/12</f>
        <v>4.05800332766751E-011</v>
      </c>
      <c r="CT6" s="18" t="n">
        <f aca="false">CT4*Supuestos!$B$28/12</f>
        <v>4.08167501374557E-011</v>
      </c>
      <c r="CU6" s="18" t="n">
        <f aca="false">CU4*Supuestos!$B$28/12</f>
        <v>4.10548478465908E-011</v>
      </c>
      <c r="CV6" s="18" t="n">
        <f aca="false">CV4*Supuestos!$B$28/12</f>
        <v>4.12943344590293E-011</v>
      </c>
      <c r="CW6" s="18" t="n">
        <f aca="false">CW4*Supuestos!$B$28/12</f>
        <v>4.15352180767069E-011</v>
      </c>
      <c r="CX6" s="18" t="n">
        <f aca="false">CX4*Supuestos!$B$28/12</f>
        <v>4.17775068488211E-011</v>
      </c>
      <c r="CY6" s="18" t="n">
        <f aca="false">CY4*Supuestos!$B$28/12</f>
        <v>4.20212089721059E-011</v>
      </c>
      <c r="CZ6" s="18" t="n">
        <f aca="false">CZ4*Supuestos!$B$28/12</f>
        <v>4.22663326911098E-011</v>
      </c>
      <c r="DA6" s="18" t="n">
        <f aca="false">DA4*Supuestos!$B$28/12</f>
        <v>4.25128862984746E-011</v>
      </c>
      <c r="DB6" s="18" t="n">
        <f aca="false">DB4*Supuestos!$B$28/12</f>
        <v>4.27608781352157E-011</v>
      </c>
      <c r="DC6" s="18" t="n">
        <f aca="false">DC4*Supuestos!$B$28/12</f>
        <v>4.30103165910045E-011</v>
      </c>
      <c r="DD6" s="18" t="n">
        <f aca="false">DD4*Supuestos!$B$28/12</f>
        <v>4.3261210104452E-011</v>
      </c>
      <c r="DE6" s="18" t="n">
        <f aca="false">DE4*Supuestos!$B$28/12</f>
        <v>4.35135671633946E-011</v>
      </c>
      <c r="DF6" s="18" t="n">
        <f aca="false">DF4*Supuestos!$B$28/12</f>
        <v>4.37673963051811E-011</v>
      </c>
      <c r="DG6" s="18" t="n">
        <f aca="false">DG4*Supuestos!$B$28/12</f>
        <v>4.40227061169613E-011</v>
      </c>
      <c r="DH6" s="18" t="n">
        <f aca="false">DH4*Supuestos!$B$28/12</f>
        <v>4.4279505235977E-011</v>
      </c>
      <c r="DI6" s="18" t="n">
        <f aca="false">DI4*Supuestos!$B$28/12</f>
        <v>4.45378023498535E-011</v>
      </c>
      <c r="DJ6" s="18" t="n">
        <f aca="false">DJ4*Supuestos!$B$28/12</f>
        <v>4.47976061968943E-011</v>
      </c>
      <c r="DK6" s="18" t="n">
        <f aca="false">DK4*Supuestos!$B$28/12</f>
        <v>4.50589255663762E-011</v>
      </c>
      <c r="DL6" s="18" t="n">
        <f aca="false">DL4*Supuestos!$B$28/12</f>
        <v>4.53217692988467E-011</v>
      </c>
      <c r="DM6" s="18" t="n">
        <f aca="false">DM4*Supuestos!$B$28/12</f>
        <v>4.55861462864233E-011</v>
      </c>
      <c r="DN6" s="18" t="n">
        <f aca="false">DN4*Supuestos!$B$28/12</f>
        <v>4.58520654730941E-011</v>
      </c>
      <c r="DO6" s="18" t="n">
        <f aca="false">DO4*Supuestos!$B$28/12</f>
        <v>4.61195358550205E-011</v>
      </c>
      <c r="DP6" s="18" t="n">
        <f aca="false">DP4*Supuestos!$B$28/12</f>
        <v>4.63885664808415E-011</v>
      </c>
      <c r="DQ6" s="18" t="n">
        <f aca="false">DQ4*Supuestos!$B$28/12</f>
        <v>4.66591664519797E-011</v>
      </c>
      <c r="DR6" s="18" t="n">
        <f aca="false">DR4*Supuestos!$B$28/12</f>
        <v>4.69313449229496E-011</v>
      </c>
      <c r="DS6" s="18" t="n">
        <f aca="false">DS4*Supuestos!$B$28/12</f>
        <v>4.72051111016668E-011</v>
      </c>
      <c r="DT6" s="18" t="n">
        <f aca="false">DT4*Supuestos!$B$28/12</f>
        <v>4.74804742497598E-011</v>
      </c>
      <c r="DU6" s="18" t="n">
        <f aca="false">DU4*Supuestos!$B$28/12</f>
        <v>4.77574436828834E-011</v>
      </c>
      <c r="DV6" s="18" t="n">
        <f aca="false">DV4*Supuestos!$B$28/12</f>
        <v>4.80360287710336E-011</v>
      </c>
      <c r="DW6" s="18" t="n">
        <f aca="false">DW4*Supuestos!$B$28/12</f>
        <v>4.83162389388646E-011</v>
      </c>
      <c r="DX6" s="18" t="n">
        <f aca="false">DX4*Supuestos!$B$28/12</f>
        <v>4.8598083666008E-011</v>
      </c>
      <c r="DY6" s="18" t="n">
        <f aca="false">DY4*Supuestos!$B$28/12</f>
        <v>4.8881572487393E-011</v>
      </c>
      <c r="DZ6" s="18" t="n">
        <f aca="false">DZ4*Supuestos!$B$28/12</f>
        <v>4.91667149935695E-011</v>
      </c>
      <c r="EA6" s="18" t="n">
        <f aca="false">EA4*Supuestos!$B$28/12</f>
        <v>4.9453520831032E-011</v>
      </c>
      <c r="EB6" s="18" t="n">
        <f aca="false">EB4*Supuestos!$B$28/12</f>
        <v>4.97419997025463E-011</v>
      </c>
      <c r="EC6" s="18" t="n">
        <f aca="false">EC4*Supuestos!$B$28/12</f>
        <v>5.00321613674779E-011</v>
      </c>
      <c r="ED6" s="18" t="n">
        <f aca="false">ED4*Supuestos!$B$28/12</f>
        <v>5.03240156421215E-011</v>
      </c>
      <c r="EE6" s="18" t="n">
        <f aca="false">EE4*Supuestos!$B$28/12</f>
        <v>5.06175724000339E-011</v>
      </c>
      <c r="EF6" s="18" t="n">
        <f aca="false">EF4*Supuestos!$B$28/12</f>
        <v>5.09128415723674E-011</v>
      </c>
      <c r="EG6" s="18" t="n">
        <f aca="false">EG4*Supuestos!$B$28/12</f>
        <v>5.12098331482062E-011</v>
      </c>
      <c r="EH6" s="18" t="n">
        <f aca="false">EH4*Supuestos!$B$28/12</f>
        <v>5.15085571749041E-011</v>
      </c>
      <c r="EI6" s="18" t="n">
        <f aca="false">EI4*Supuestos!$B$28/12</f>
        <v>5.18090237584244E-011</v>
      </c>
      <c r="EJ6" s="18" t="n">
        <f aca="false">EJ4*Supuestos!$B$28/12</f>
        <v>5.21112430636818E-011</v>
      </c>
      <c r="EK6" s="18" t="n">
        <f aca="false">EK4*Supuestos!$B$28/12</f>
        <v>5.24152253148866E-011</v>
      </c>
      <c r="EL6" s="18" t="n">
        <f aca="false">EL4*Supuestos!$B$28/12</f>
        <v>5.27209807958901E-011</v>
      </c>
      <c r="EM6" s="18" t="n">
        <f aca="false">EM4*Supuestos!$B$28/12</f>
        <v>5.30285198505328E-011</v>
      </c>
      <c r="EN6" s="18" t="n">
        <f aca="false">EN4*Supuestos!$B$28/12</f>
        <v>5.33378528829943E-011</v>
      </c>
      <c r="EO6" s="18" t="n">
        <f aca="false">EO4*Supuestos!$B$28/12</f>
        <v>5.36489903581451E-011</v>
      </c>
      <c r="EP6" s="18" t="n">
        <f aca="false">EP4*Supuestos!$B$28/12</f>
        <v>5.39619428019009E-011</v>
      </c>
      <c r="EQ6" s="18" t="n">
        <f aca="false">EQ4*Supuestos!$B$28/12</f>
        <v>5.42767208015787E-011</v>
      </c>
      <c r="ER6" s="18" t="n">
        <f aca="false">ER4*Supuestos!$B$28/12</f>
        <v>5.45933350062545E-011</v>
      </c>
      <c r="ES6" s="18" t="n">
        <f aca="false">ES4*Supuestos!$B$28/12</f>
        <v>5.49117961271244E-011</v>
      </c>
      <c r="ET6" s="18" t="n">
        <f aca="false">ET4*Supuestos!$B$28/12</f>
        <v>5.52321149378659E-011</v>
      </c>
      <c r="EU6" s="18" t="n">
        <f aca="false">EU4*Supuestos!$B$28/12</f>
        <v>5.55543022750035E-011</v>
      </c>
      <c r="EV6" s="18" t="n">
        <f aca="false">EV4*Supuestos!$B$28/12</f>
        <v>5.58783690382743E-011</v>
      </c>
      <c r="EW6" s="18" t="n">
        <f aca="false">EW4*Supuestos!$B$28/12</f>
        <v>5.62043261909976E-011</v>
      </c>
      <c r="EX6" s="18" t="n">
        <f aca="false">EX4*Supuestos!$B$28/12</f>
        <v>5.65321847604451E-011</v>
      </c>
      <c r="EY6" s="18" t="n">
        <f aca="false">EY4*Supuestos!$B$28/12</f>
        <v>5.68619558382143E-011</v>
      </c>
      <c r="EZ6" s="18" t="n">
        <f aca="false">EZ4*Supuestos!$B$28/12</f>
        <v>5.71936505806039E-011</v>
      </c>
      <c r="FA6" s="18" t="n">
        <f aca="false">FA4*Supuestos!$B$28/12</f>
        <v>5.75272802089908E-011</v>
      </c>
      <c r="FB6" s="18" t="n">
        <f aca="false">FB4*Supuestos!$B$28/12</f>
        <v>5.78628560102099E-011</v>
      </c>
      <c r="FC6" s="18" t="n">
        <f aca="false">FC4*Supuestos!$B$28/12</f>
        <v>5.82003893369361E-011</v>
      </c>
      <c r="FD6" s="18" t="n">
        <f aca="false">FD4*Supuestos!$B$28/12</f>
        <v>5.85398916080682E-011</v>
      </c>
      <c r="FE6" s="18" t="n">
        <f aca="false">FE4*Supuestos!$B$28/12</f>
        <v>5.88813743091153E-011</v>
      </c>
      <c r="FF6" s="18" t="n">
        <f aca="false">FF4*Supuestos!$B$28/12</f>
        <v>5.92248489925851E-011</v>
      </c>
      <c r="FG6" s="18" t="n">
        <f aca="false">FG4*Supuestos!$B$28/12</f>
        <v>5.95703272783752E-011</v>
      </c>
      <c r="FH6" s="18" t="n">
        <f aca="false">FH4*Supuestos!$B$28/12</f>
        <v>5.99178208541658E-011</v>
      </c>
      <c r="FI6" s="18" t="n">
        <f aca="false">FI4*Supuestos!$B$28/12</f>
        <v>6.0267341475815E-011</v>
      </c>
      <c r="FJ6" s="18" t="n">
        <f aca="false">FJ4*Supuestos!$B$28/12</f>
        <v>6.06189009677573E-011</v>
      </c>
      <c r="FK6" s="18" t="n">
        <f aca="false">FK4*Supuestos!$B$28/12</f>
        <v>6.09725112234025E-011</v>
      </c>
      <c r="FL6" s="18" t="n">
        <f aca="false">FL4*Supuestos!$B$28/12</f>
        <v>6.13281842055391E-011</v>
      </c>
      <c r="FM6" s="18" t="n">
        <f aca="false">FM4*Supuestos!$B$28/12</f>
        <v>6.1685931946738E-011</v>
      </c>
      <c r="FN6" s="18" t="n">
        <f aca="false">FN4*Supuestos!$B$28/12</f>
        <v>6.20457665497607E-011</v>
      </c>
      <c r="FO6" s="18" t="n">
        <f aca="false">FO4*Supuestos!$B$28/12</f>
        <v>6.24077001879676E-011</v>
      </c>
      <c r="FP6" s="18" t="n">
        <f aca="false">FP4*Supuestos!$B$28/12</f>
        <v>6.27717451057308E-011</v>
      </c>
      <c r="FQ6" s="18" t="n">
        <f aca="false">FQ4*Supuestos!$B$28/12</f>
        <v>6.31379136188475E-011</v>
      </c>
      <c r="FR6" s="18" t="n">
        <f aca="false">FR4*Supuestos!$B$28/12</f>
        <v>6.35062181149575E-011</v>
      </c>
      <c r="FS6" s="18" t="n">
        <f aca="false">FS4*Supuestos!$B$28/12</f>
        <v>6.38766710539614E-011</v>
      </c>
      <c r="FT6" s="18" t="n">
        <f aca="false">FT4*Supuestos!$B$28/12</f>
        <v>6.42492849684428E-011</v>
      </c>
      <c r="FU6" s="18" t="n">
        <f aca="false">FU4*Supuestos!$B$28/12</f>
        <v>6.46240724640921E-011</v>
      </c>
      <c r="FV6" s="18" t="n">
        <f aca="false">FV4*Supuestos!$B$28/12</f>
        <v>6.50010462201326E-011</v>
      </c>
      <c r="FW6" s="18" t="n">
        <f aca="false">FW4*Supuestos!$B$28/12</f>
        <v>6.538021898975E-011</v>
      </c>
      <c r="FX6" s="18" t="n">
        <f aca="false">FX4*Supuestos!$B$28/12</f>
        <v>6.57616036005236E-011</v>
      </c>
      <c r="FY6" s="18" t="n">
        <f aca="false">FY4*Supuestos!$B$28/12</f>
        <v>6.614521295486E-011</v>
      </c>
      <c r="FZ6" s="18" t="n">
        <f aca="false">FZ4*Supuestos!$B$28/12</f>
        <v>6.653106003043E-011</v>
      </c>
      <c r="GA6" s="18" t="n">
        <f aca="false">GA4*Supuestos!$B$28/12</f>
        <v>6.69191578806075E-011</v>
      </c>
      <c r="GB6" s="18" t="n">
        <f aca="false">GB4*Supuestos!$B$28/12</f>
        <v>6.7309519634911E-011</v>
      </c>
      <c r="GC6" s="18" t="n">
        <f aca="false">GC4*Supuestos!$B$28/12</f>
        <v>6.7702158499448E-011</v>
      </c>
      <c r="GD6" s="18" t="n">
        <f aca="false">GD4*Supuestos!$B$28/12</f>
        <v>6.80970877573615E-011</v>
      </c>
      <c r="GE6" s="18" t="n">
        <f aca="false">GE4*Supuestos!$B$28/12</f>
        <v>6.84943207692794E-011</v>
      </c>
      <c r="GF6" s="18" t="n">
        <f aca="false">GF4*Supuestos!$B$28/12</f>
        <v>6.88938709737669E-011</v>
      </c>
      <c r="GG6" s="18" t="n">
        <f aca="false">GG4*Supuestos!$B$28/12</f>
        <v>6.92957518877805E-011</v>
      </c>
      <c r="GH6" s="18" t="n">
        <f aca="false">GH4*Supuestos!$B$28/12</f>
        <v>6.96999771071259E-011</v>
      </c>
      <c r="GI6" s="18" t="n">
        <f aca="false">GI4*Supuestos!$B$28/12</f>
        <v>7.01065603069175E-011</v>
      </c>
      <c r="GJ6" s="18" t="n">
        <f aca="false">GJ4*Supuestos!$B$28/12</f>
        <v>7.05155152420412E-011</v>
      </c>
      <c r="GK6" s="18" t="n">
        <f aca="false">GK4*Supuestos!$B$28/12</f>
        <v>7.09268557476197E-011</v>
      </c>
      <c r="GL6" s="18" t="n">
        <f aca="false">GL4*Supuestos!$B$28/12</f>
        <v>7.13405957394808E-011</v>
      </c>
      <c r="GM6" s="18" t="n">
        <f aca="false">GM4*Supuestos!$B$28/12</f>
        <v>7.17567492146278E-011</v>
      </c>
      <c r="GN6" s="18" t="n">
        <f aca="false">GN4*Supuestos!$B$28/12</f>
        <v>7.21753302517132E-011</v>
      </c>
      <c r="GO6" s="18" t="n">
        <f aca="false">GO4*Supuestos!$B$28/12</f>
        <v>7.25963530115148E-011</v>
      </c>
      <c r="GP6" s="18" t="n">
        <f aca="false">GP4*Supuestos!$B$28/12</f>
        <v>7.30198317374153E-011</v>
      </c>
      <c r="GQ6" s="18" t="n">
        <f aca="false">GQ4*Supuestos!$B$28/12</f>
        <v>7.34457807558836E-011</v>
      </c>
      <c r="GR6" s="18" t="n">
        <f aca="false">GR4*Supuestos!$B$28/12</f>
        <v>7.38742144769595E-011</v>
      </c>
      <c r="GS6" s="18" t="n">
        <f aca="false">GS4*Supuestos!$B$28/12</f>
        <v>7.43051473947418E-011</v>
      </c>
      <c r="GT6" s="18" t="n">
        <f aca="false">GT4*Supuestos!$B$28/12</f>
        <v>7.47385940878778E-011</v>
      </c>
      <c r="GU6" s="18" t="n">
        <f aca="false">GU4*Supuestos!$B$28/12</f>
        <v>7.51745692200571E-011</v>
      </c>
      <c r="GV6" s="18" t="n">
        <f aca="false">GV4*Supuestos!$B$28/12</f>
        <v>7.56130875405074E-011</v>
      </c>
      <c r="GW6" s="18" t="n">
        <f aca="false">GW4*Supuestos!$B$28/12</f>
        <v>7.60541638844937E-011</v>
      </c>
      <c r="GX6" s="18" t="n">
        <f aca="false">GX4*Supuestos!$B$28/12</f>
        <v>7.64978131738199E-011</v>
      </c>
      <c r="GY6" s="18" t="n">
        <f aca="false">GY4*Supuestos!$B$28/12</f>
        <v>7.69440504173339E-011</v>
      </c>
      <c r="GZ6" s="18" t="n">
        <f aca="false">GZ4*Supuestos!$B$28/12</f>
        <v>7.7392890711435E-011</v>
      </c>
      <c r="HA6" s="18" t="n">
        <f aca="false">HA4*Supuestos!$B$28/12</f>
        <v>7.7844349240585E-011</v>
      </c>
      <c r="HB6" s="18" t="n">
        <f aca="false">HB4*Supuestos!$B$28/12</f>
        <v>7.82984412778218E-011</v>
      </c>
      <c r="HC6" s="18" t="n">
        <f aca="false">HC4*Supuestos!$B$28/12</f>
        <v>7.87551821852757E-011</v>
      </c>
      <c r="HD6" s="18" t="n">
        <f aca="false">HD4*Supuestos!$B$28/12</f>
        <v>7.92145874146898E-011</v>
      </c>
      <c r="HE6" s="18" t="n">
        <f aca="false">HE4*Supuestos!$B$28/12</f>
        <v>7.96766725079422E-011</v>
      </c>
      <c r="HF6" s="18" t="n">
        <f aca="false">HF4*Supuestos!$B$28/12</f>
        <v>8.01414530975719E-011</v>
      </c>
      <c r="HG6" s="18" t="n">
        <f aca="false">HG4*Supuestos!$B$28/12</f>
        <v>8.06089449073077E-011</v>
      </c>
      <c r="HH6" s="18" t="n">
        <f aca="false">HH4*Supuestos!$B$28/12</f>
        <v>8.10791637526003E-011</v>
      </c>
      <c r="HI6" s="18" t="n">
        <f aca="false">HI4*Supuestos!$B$28/12</f>
        <v>8.15521255411572E-011</v>
      </c>
      <c r="HJ6" s="18" t="n">
        <f aca="false">HJ4*Supuestos!$B$28/12</f>
        <v>8.20278462734806E-011</v>
      </c>
      <c r="HK6" s="18" t="n">
        <f aca="false">HK4*Supuestos!$B$28/12</f>
        <v>8.25063420434092E-011</v>
      </c>
      <c r="HL6" s="18" t="n">
        <f aca="false">HL4*Supuestos!$B$28/12</f>
        <v>8.29876290386624E-011</v>
      </c>
      <c r="HM6" s="18" t="n">
        <f aca="false">HM4*Supuestos!$B$28/12</f>
        <v>8.3471723541388E-011</v>
      </c>
      <c r="HN6" s="18" t="n">
        <f aca="false">HN4*Supuestos!$B$28/12</f>
        <v>8.39586419287127E-011</v>
      </c>
      <c r="HO6" s="18" t="n">
        <f aca="false">HO4*Supuestos!$B$28/12</f>
        <v>8.44484006732969E-011</v>
      </c>
      <c r="HP6" s="18" t="n">
        <f aca="false">HP4*Supuestos!$B$28/12</f>
        <v>8.49410163438911E-011</v>
      </c>
      <c r="HQ6" s="18" t="n">
        <f aca="false">HQ4*Supuestos!$B$28/12</f>
        <v>8.54365056058971E-011</v>
      </c>
      <c r="HR6" s="18" t="n">
        <f aca="false">HR4*Supuestos!$B$28/12</f>
        <v>8.59348852219316E-011</v>
      </c>
      <c r="HS6" s="18" t="n">
        <f aca="false">HS4*Supuestos!$B$28/12</f>
        <v>8.64361720523928E-011</v>
      </c>
      <c r="HT6" s="18" t="n">
        <f aca="false">HT4*Supuestos!$B$28/12</f>
        <v>8.69403830560318E-011</v>
      </c>
      <c r="HU6" s="18" t="n">
        <f aca="false">HU4*Supuestos!$B$28/12</f>
        <v>8.74475352905253E-011</v>
      </c>
      <c r="HV6" s="18" t="n">
        <f aca="false">HV4*Supuestos!$B$28/12</f>
        <v>8.79576459130534E-011</v>
      </c>
      <c r="HW6" s="18" t="n">
        <f aca="false">HW4*Supuestos!$B$28/12</f>
        <v>8.84707321808795E-011</v>
      </c>
      <c r="HX6" s="18" t="n">
        <f aca="false">HX4*Supuestos!$B$28/12</f>
        <v>8.89868114519347E-011</v>
      </c>
      <c r="HY6" s="18" t="n">
        <f aca="false">HY4*Supuestos!$B$28/12</f>
        <v>8.95059011854043E-011</v>
      </c>
      <c r="HZ6" s="18" t="n">
        <f aca="false">HZ4*Supuestos!$B$28/12</f>
        <v>9.00280189423191E-011</v>
      </c>
      <c r="IA6" s="18" t="n">
        <f aca="false">IA4*Supuestos!$B$28/12</f>
        <v>9.05531823861493E-011</v>
      </c>
      <c r="IB6" s="18" t="n">
        <f aca="false">IB4*Supuestos!$B$28/12</f>
        <v>9.10814092834019E-011</v>
      </c>
      <c r="IC6" s="18" t="n">
        <f aca="false">IC4*Supuestos!$B$28/12</f>
        <v>9.16127175042217E-011</v>
      </c>
      <c r="ID6" s="18" t="n">
        <f aca="false">ID4*Supuestos!$B$28/12</f>
        <v>9.21471250229963E-011</v>
      </c>
      <c r="IE6" s="18" t="n">
        <f aca="false">IE4*Supuestos!$B$28/12</f>
        <v>9.26846499189638E-011</v>
      </c>
      <c r="IF6" s="18" t="n">
        <f aca="false">IF4*Supuestos!$B$28/12</f>
        <v>9.32253103768244E-011</v>
      </c>
      <c r="IG6" s="18" t="n">
        <f aca="false">IG4*Supuestos!$B$28/12</f>
        <v>9.37691246873559E-011</v>
      </c>
      <c r="IH6" s="18" t="n">
        <f aca="false">IH4*Supuestos!$B$28/12</f>
        <v>9.43161112480322E-011</v>
      </c>
      <c r="II6" s="18" t="n">
        <f aca="false">II4*Supuestos!$B$28/12</f>
        <v>9.48662885636457E-011</v>
      </c>
      <c r="IJ6" s="18" t="n">
        <f aca="false">IJ4*Supuestos!$B$28/12</f>
        <v>9.54196752469336E-011</v>
      </c>
      <c r="IK6" s="18" t="n">
        <f aca="false">IK4*Supuestos!$B$28/12</f>
        <v>9.59762900192074E-011</v>
      </c>
      <c r="IL6" s="18" t="n">
        <f aca="false">IL4*Supuestos!$B$28/12</f>
        <v>9.65361517109861E-011</v>
      </c>
      <c r="IM6" s="18" t="n">
        <f aca="false">IM4*Supuestos!$B$28/12</f>
        <v>9.70992792626335E-011</v>
      </c>
      <c r="IN6" s="18" t="n">
        <f aca="false">IN4*Supuestos!$B$28/12</f>
        <v>9.76656917249989E-011</v>
      </c>
      <c r="IO6" s="18" t="n">
        <f aca="false">IO4*Supuestos!$B$28/12</f>
        <v>9.82354082600614E-011</v>
      </c>
      <c r="IP6" s="18" t="n">
        <f aca="false">IP4*Supuestos!$B$28/12</f>
        <v>9.88084481415784E-011</v>
      </c>
      <c r="IQ6" s="18" t="n">
        <f aca="false">IQ4*Supuestos!$B$28/12</f>
        <v>9.93848307557376E-011</v>
      </c>
      <c r="IR6" s="18" t="n">
        <f aca="false">IR4*Supuestos!$B$28/12</f>
        <v>9.99645756018127E-011</v>
      </c>
      <c r="IS6" s="18" t="n">
        <f aca="false">IS4*Supuestos!$B$28/12</f>
        <v>1.00547702292823E-010</v>
      </c>
      <c r="IT6" s="18" t="n">
        <f aca="false">IT4*Supuestos!$B$28/12</f>
        <v>1.01134230556198E-010</v>
      </c>
      <c r="IU6" s="18" t="n">
        <f aca="false">IU4*Supuestos!$B$28/12</f>
        <v>1.01724180234443E-010</v>
      </c>
      <c r="IV6" s="18" t="n">
        <f aca="false">IV4*Supuestos!$B$28/12</f>
        <v>1.0231757128581E-010</v>
      </c>
      <c r="IW6" s="18" t="n">
        <f aca="false">IW4*Supuestos!$B$28/12</f>
        <v>1.02914423784977E-010</v>
      </c>
      <c r="IX6" s="18" t="n">
        <f aca="false">IX4*Supuestos!$B$28/12</f>
        <v>1.03514757923723E-010</v>
      </c>
      <c r="IY6" s="18" t="n">
        <f aca="false">IY4*Supuestos!$B$28/12</f>
        <v>1.04118594011612E-010</v>
      </c>
      <c r="IZ6" s="18" t="n">
        <f aca="false">IZ4*Supuestos!$B$28/12</f>
        <v>1.04725952476679E-010</v>
      </c>
      <c r="JA6" s="18" t="n">
        <f aca="false">JA4*Supuestos!$B$28/12</f>
        <v>1.05336853866127E-010</v>
      </c>
      <c r="JB6" s="18" t="n">
        <f aca="false">JB4*Supuestos!$B$28/12</f>
        <v>1.05951318847012E-010</v>
      </c>
      <c r="JC6" s="18" t="n">
        <f aca="false">JC4*Supuestos!$B$28/12</f>
        <v>1.06569368206953E-010</v>
      </c>
      <c r="JD6" s="18" t="n">
        <f aca="false">JD4*Supuestos!$B$28/12</f>
        <v>1.07191022854827E-010</v>
      </c>
      <c r="JE6" s="18" t="n">
        <f aca="false">JE4*Supuestos!$B$28/12</f>
        <v>1.0781630382148E-010</v>
      </c>
      <c r="JF6" s="18" t="n">
        <f aca="false">JF4*Supuestos!$B$28/12</f>
        <v>1.08445232260439E-010</v>
      </c>
      <c r="JG6" s="18" t="n">
        <f aca="false">JG4*Supuestos!$B$28/12</f>
        <v>1.09077829448625E-010</v>
      </c>
      <c r="JH6" s="18" t="n">
        <f aca="false">JH4*Supuestos!$B$28/12</f>
        <v>1.09714116787075E-010</v>
      </c>
      <c r="JI6" s="18" t="n">
        <f aca="false">JI4*Supuestos!$B$28/12</f>
        <v>1.10354115801666E-010</v>
      </c>
      <c r="JJ6" s="18" t="n">
        <f aca="false">JJ4*Supuestos!$B$28/12</f>
        <v>1.10997848143843E-010</v>
      </c>
      <c r="JK6" s="18" t="n">
        <f aca="false">JK4*Supuestos!$B$28/12</f>
        <v>1.11645335591348E-010</v>
      </c>
      <c r="JL6" s="18" t="n">
        <f aca="false">JL4*Supuestos!$B$28/12</f>
        <v>1.12296600048965E-010</v>
      </c>
      <c r="JM6" s="18" t="n">
        <f aca="false">JM4*Supuestos!$B$28/12</f>
        <v>1.1295166354925E-010</v>
      </c>
      <c r="JN6" s="18" t="n">
        <f aca="false">JN4*Supuestos!$B$28/12</f>
        <v>1.13610548253288E-010</v>
      </c>
      <c r="JO6" s="18" t="n">
        <f aca="false">JO4*Supuestos!$B$28/12</f>
        <v>1.14273276451432E-010</v>
      </c>
      <c r="JP6" s="18" t="n">
        <f aca="false">JP4*Supuestos!$B$28/12</f>
        <v>1.14939870564065E-010</v>
      </c>
      <c r="JQ6" s="18" t="n">
        <f aca="false">JQ4*Supuestos!$B$28/12</f>
        <v>1.15610353142355E-010</v>
      </c>
      <c r="JR6" s="18" t="n">
        <f aca="false">JR4*Supuestos!$B$28/12</f>
        <v>1.16284746869019E-010</v>
      </c>
      <c r="JS6" s="18" t="n">
        <f aca="false">JS4*Supuestos!$B$28/12</f>
        <v>1.16963074559089E-010</v>
      </c>
      <c r="JT6" s="18" t="n">
        <f aca="false">JT4*Supuestos!$B$28/12</f>
        <v>1.17645359160683E-010</v>
      </c>
      <c r="JU6" s="18" t="n">
        <f aca="false">JU4*Supuestos!$B$28/12</f>
        <v>1.18331623755787E-010</v>
      </c>
      <c r="JV6" s="18" t="n">
        <f aca="false">JV4*Supuestos!$B$28/12</f>
        <v>1.19021891561029E-010</v>
      </c>
      <c r="JW6" s="18" t="n">
        <f aca="false">JW4*Supuestos!$B$28/12</f>
        <v>1.19716185928469E-010</v>
      </c>
      <c r="JX6" s="18" t="n">
        <f aca="false">JX4*Supuestos!$B$28/12</f>
        <v>1.20414530346385E-010</v>
      </c>
      <c r="JY6" s="18" t="n">
        <f aca="false">JY4*Supuestos!$B$28/12</f>
        <v>1.21116948440072E-010</v>
      </c>
      <c r="JZ6" s="18" t="n">
        <f aca="false">JZ4*Supuestos!$B$28/12</f>
        <v>1.21823463972639E-010</v>
      </c>
      <c r="KA6" s="18" t="n">
        <f aca="false">KA4*Supuestos!$B$28/12</f>
        <v>1.22534100845813E-010</v>
      </c>
      <c r="KB6" s="18" t="n">
        <f aca="false">KB4*Supuestos!$B$28/12</f>
        <v>1.23248883100747E-010</v>
      </c>
      <c r="KC6" s="18" t="n">
        <f aca="false">KC4*Supuestos!$B$28/12</f>
        <v>1.23967834918834E-010</v>
      </c>
      <c r="KD6" s="18" t="n">
        <f aca="false">KD4*Supuestos!$B$28/12</f>
        <v>1.24690980622528E-010</v>
      </c>
      <c r="KE6" s="18" t="n">
        <f aca="false">KE4*Supuestos!$B$28/12</f>
        <v>1.25418344676159E-010</v>
      </c>
      <c r="KF6" s="18" t="n">
        <f aca="false">KF4*Supuestos!$B$28/12</f>
        <v>1.2614995168677E-010</v>
      </c>
      <c r="KG6" s="18" t="n">
        <f aca="false">KG4*Supuestos!$B$28/12</f>
        <v>1.26885826404943E-010</v>
      </c>
      <c r="KH6" s="18" t="n">
        <f aca="false">KH4*Supuestos!$B$28/12</f>
        <v>1.27625993725638E-010</v>
      </c>
      <c r="KI6" s="18" t="n">
        <f aca="false">KI4*Supuestos!$B$28/12</f>
        <v>1.28370478689038E-010</v>
      </c>
      <c r="KJ6" s="18" t="n">
        <f aca="false">KJ4*Supuestos!$B$28/12</f>
        <v>1.2911930648139E-010</v>
      </c>
      <c r="KK6" s="18" t="n">
        <f aca="false">KK4*Supuestos!$B$28/12</f>
        <v>1.29872502435865E-010</v>
      </c>
      <c r="KL6" s="18" t="n">
        <f aca="false">KL4*Supuestos!$B$28/12</f>
        <v>1.30630092033408E-010</v>
      </c>
      <c r="KM6" s="18" t="n">
        <f aca="false">KM4*Supuestos!$B$28/12</f>
        <v>1.31392100903603E-010</v>
      </c>
      <c r="KN6" s="18" t="n">
        <f aca="false">KN4*Supuestos!$B$28/12</f>
        <v>1.3215855482554E-010</v>
      </c>
      <c r="KO6" s="18" t="n">
        <f aca="false">KO4*Supuestos!$B$28/12</f>
        <v>1.32929479728689E-010</v>
      </c>
    </row>
    <row r="7" customFormat="false" ht="14.25" hidden="false" customHeight="false" outlineLevel="0" collapsed="false">
      <c r="A7" s="0" t="s">
        <v>412</v>
      </c>
      <c r="B7" s="18" t="n">
        <f aca="false">B4+B6-B5</f>
        <v>3944128.53917194</v>
      </c>
      <c r="C7" s="18" t="n">
        <f aca="false">C4+C6-C5</f>
        <v>3887931.16148904</v>
      </c>
      <c r="D7" s="18" t="n">
        <f aca="false">D4+D6-D5</f>
        <v>3831405.96576966</v>
      </c>
      <c r="E7" s="18" t="n">
        <f aca="false">E4+E6-E5</f>
        <v>3774551.03974192</v>
      </c>
      <c r="F7" s="18" t="n">
        <f aca="false">F4+F6-F5</f>
        <v>3717364.45997902</v>
      </c>
      <c r="G7" s="18" t="n">
        <f aca="false">G4+G6-G5</f>
        <v>3659844.29183416</v>
      </c>
      <c r="H7" s="18" t="n">
        <f aca="false">H4+H6-H5</f>
        <v>3601988.58937513</v>
      </c>
      <c r="I7" s="18" t="n">
        <f aca="false">I4+I6-I5</f>
        <v>3543795.39531842</v>
      </c>
      <c r="J7" s="18" t="n">
        <f aca="false">J4+J6-J5</f>
        <v>3485262.74096305</v>
      </c>
      <c r="K7" s="18" t="n">
        <f aca="false">K4+K6-K5</f>
        <v>3426388.64612393</v>
      </c>
      <c r="L7" s="18" t="n">
        <f aca="false">L4+L6-L5</f>
        <v>3367171.11906493</v>
      </c>
      <c r="M7" s="18" t="n">
        <f aca="false">M4+M6-M5</f>
        <v>3307608.15643141</v>
      </c>
      <c r="N7" s="18" t="n">
        <f aca="false">N4+N6-N5</f>
        <v>3247697.74318253</v>
      </c>
      <c r="O7" s="18" t="n">
        <f aca="false">O4+O6-O5</f>
        <v>3187437.85252303</v>
      </c>
      <c r="P7" s="18" t="n">
        <f aca="false">P4+P6-P5</f>
        <v>3126826.44583468</v>
      </c>
      <c r="Q7" s="18" t="n">
        <f aca="false">Q4+Q6-Q5</f>
        <v>3065861.47260732</v>
      </c>
      <c r="R7" s="18" t="n">
        <f aca="false">R4+R6-R5</f>
        <v>3004540.87036946</v>
      </c>
      <c r="S7" s="18" t="n">
        <f aca="false">S4+S6-S5</f>
        <v>2942862.56461855</v>
      </c>
      <c r="T7" s="18" t="n">
        <f aca="false">T4+T6-T5</f>
        <v>2880824.46875076</v>
      </c>
      <c r="U7" s="18" t="n">
        <f aca="false">U4+U6-U5</f>
        <v>2818424.48399041</v>
      </c>
      <c r="V7" s="18" t="n">
        <f aca="false">V4+V6-V5</f>
        <v>2755660.49931896</v>
      </c>
      <c r="W7" s="18" t="n">
        <f aca="false">W4+W6-W5</f>
        <v>2692530.39140359</v>
      </c>
      <c r="X7" s="18" t="n">
        <f aca="false">X4+X6-X5</f>
        <v>2629032.02452537</v>
      </c>
      <c r="Y7" s="18" t="n">
        <f aca="false">Y4+Y6-Y5</f>
        <v>2565163.25050704</v>
      </c>
      <c r="Z7" s="18" t="n">
        <f aca="false">Z4+Z6-Z5</f>
        <v>2500921.90864027</v>
      </c>
      <c r="AA7" s="18" t="n">
        <f aca="false">AA4+AA6-AA5</f>
        <v>2436305.8256126</v>
      </c>
      <c r="AB7" s="18" t="n">
        <f aca="false">AB4+AB6-AB5</f>
        <v>2371312.81543395</v>
      </c>
      <c r="AC7" s="18" t="n">
        <f aca="false">AC4+AC6-AC5</f>
        <v>2305940.67936258</v>
      </c>
      <c r="AD7" s="18" t="n">
        <f aca="false">AD4+AD6-AD5</f>
        <v>2240187.2058308</v>
      </c>
      <c r="AE7" s="18" t="n">
        <f aca="false">AE4+AE6-AE5</f>
        <v>2174050.17037008</v>
      </c>
      <c r="AF7" s="18" t="n">
        <f aca="false">AF4+AF6-AF5</f>
        <v>2107527.33553584</v>
      </c>
      <c r="AG7" s="18" t="n">
        <f aca="false">AG4+AG6-AG5</f>
        <v>2040616.45083173</v>
      </c>
      <c r="AH7" s="18" t="n">
        <f aca="false">AH4+AH6-AH5</f>
        <v>1973315.25263352</v>
      </c>
      <c r="AI7" s="18" t="n">
        <f aca="false">AI4+AI6-AI5</f>
        <v>1905621.46411248</v>
      </c>
      <c r="AJ7" s="18" t="n">
        <f aca="false">AJ4+AJ6-AJ5</f>
        <v>1837532.79515841</v>
      </c>
      <c r="AK7" s="18" t="n">
        <f aca="false">AK4+AK6-AK5</f>
        <v>1769046.9423021</v>
      </c>
      <c r="AL7" s="18" t="n">
        <f aca="false">AL4+AL6-AL5</f>
        <v>1700161.58863747</v>
      </c>
      <c r="AM7" s="18" t="n">
        <f aca="false">AM4+AM6-AM5</f>
        <v>1630874.40374312</v>
      </c>
      <c r="AN7" s="18" t="n">
        <f aca="false">AN4+AN6-AN5</f>
        <v>1561183.04360356</v>
      </c>
      <c r="AO7" s="18" t="n">
        <f aca="false">AO4+AO6-AO5</f>
        <v>1491085.15052985</v>
      </c>
      <c r="AP7" s="18" t="n">
        <f aca="false">AP4+AP6-AP5</f>
        <v>1420578.35307987</v>
      </c>
      <c r="AQ7" s="18" t="n">
        <f aca="false">AQ4+AQ6-AQ5</f>
        <v>1349660.26597811</v>
      </c>
      <c r="AR7" s="18" t="n">
        <f aca="false">AR4+AR6-AR5</f>
        <v>1278328.49003491</v>
      </c>
      <c r="AS7" s="18" t="n">
        <f aca="false">AS4+AS6-AS5</f>
        <v>1206580.61206539</v>
      </c>
      <c r="AT7" s="18" t="n">
        <f aca="false">AT4+AT6-AT5</f>
        <v>1134414.2048077</v>
      </c>
      <c r="AU7" s="18" t="n">
        <f aca="false">AU4+AU6-AU5</f>
        <v>1061826.82684102</v>
      </c>
      <c r="AV7" s="18" t="n">
        <f aca="false">AV4+AV6-AV5</f>
        <v>988816.022502856</v>
      </c>
      <c r="AW7" s="18" t="n">
        <f aca="false">AW4+AW6-AW5</f>
        <v>915379.321806058</v>
      </c>
      <c r="AX7" s="18" t="n">
        <f aca="false">AX4+AX6-AX5</f>
        <v>841514.240355195</v>
      </c>
      <c r="AY7" s="18" t="n">
        <f aca="false">AY4+AY6-AY5</f>
        <v>767218.279262536</v>
      </c>
      <c r="AZ7" s="18" t="n">
        <f aca="false">AZ4+AZ6-AZ5</f>
        <v>692488.925063503</v>
      </c>
      <c r="BA7" s="18" t="n">
        <f aca="false">BA4+BA6-BA5</f>
        <v>617323.649631642</v>
      </c>
      <c r="BB7" s="18" t="n">
        <f aca="false">BB4+BB6-BB5</f>
        <v>541719.910093095</v>
      </c>
      <c r="BC7" s="18" t="n">
        <f aca="false">BC4+BC6-BC5</f>
        <v>465675.148740573</v>
      </c>
      <c r="BD7" s="18" t="n">
        <f aca="false">BD4+BD6-BD5</f>
        <v>389186.792946828</v>
      </c>
      <c r="BE7" s="18" t="n">
        <f aca="false">BE4+BE6-BE5</f>
        <v>312252.25507762</v>
      </c>
      <c r="BF7" s="18" t="n">
        <f aca="false">BF4+BF6-BF5</f>
        <v>234868.932404174</v>
      </c>
      <c r="BG7" s="18" t="n">
        <f aca="false">BG4+BG6-BG5</f>
        <v>157034.207015134</v>
      </c>
      <c r="BH7" s="18" t="n">
        <f aca="false">BH4+BH6-BH5</f>
        <v>78745.4457279906</v>
      </c>
      <c r="BI7" s="18" t="n">
        <f aca="false">BI4+BI6-BI5</f>
        <v>5.67524693906307E-009</v>
      </c>
      <c r="BJ7" s="18" t="n">
        <f aca="false">BJ4+BJ6-BJ5</f>
        <v>5.70835254620761E-009</v>
      </c>
      <c r="BK7" s="18" t="n">
        <f aca="false">BK4+BK6-BK5</f>
        <v>5.74165126939382E-009</v>
      </c>
      <c r="BL7" s="18" t="n">
        <f aca="false">BL4+BL6-BL5</f>
        <v>5.77514423513195E-009</v>
      </c>
      <c r="BM7" s="18" t="n">
        <f aca="false">BM4+BM6-BM5</f>
        <v>5.80883257650355E-009</v>
      </c>
      <c r="BN7" s="18" t="n">
        <f aca="false">BN4+BN6-BN5</f>
        <v>5.84271743319982E-009</v>
      </c>
      <c r="BO7" s="18" t="n">
        <f aca="false">BO4+BO6-BO5</f>
        <v>5.87679995156015E-009</v>
      </c>
      <c r="BP7" s="18" t="n">
        <f aca="false">BP4+BP6-BP5</f>
        <v>5.91108128461092E-009</v>
      </c>
      <c r="BQ7" s="18" t="n">
        <f aca="false">BQ4+BQ6-BQ5</f>
        <v>5.94556259210449E-009</v>
      </c>
      <c r="BR7" s="18" t="n">
        <f aca="false">BR4+BR6-BR5</f>
        <v>5.98024504055843E-009</v>
      </c>
      <c r="BS7" s="18" t="n">
        <f aca="false">BS4+BS6-BS5</f>
        <v>6.01512980329502E-009</v>
      </c>
      <c r="BT7" s="18" t="n">
        <f aca="false">BT4+BT6-BT5</f>
        <v>6.05021806048091E-009</v>
      </c>
      <c r="BU7" s="18" t="n">
        <f aca="false">BU4+BU6-BU5</f>
        <v>6.08551099916705E-009</v>
      </c>
      <c r="BV7" s="18" t="n">
        <f aca="false">BV4+BV6-BV5</f>
        <v>6.12100981332885E-009</v>
      </c>
      <c r="BW7" s="18" t="n">
        <f aca="false">BW4+BW6-BW5</f>
        <v>6.15671570390661E-009</v>
      </c>
      <c r="BX7" s="18" t="n">
        <f aca="false">BX4+BX6-BX5</f>
        <v>6.19262987884606E-009</v>
      </c>
      <c r="BY7" s="18" t="n">
        <f aca="false">BY4+BY6-BY5</f>
        <v>6.22875355313933E-009</v>
      </c>
      <c r="BZ7" s="18" t="n">
        <f aca="false">BZ4+BZ6-BZ5</f>
        <v>6.26508794886598E-009</v>
      </c>
      <c r="CA7" s="18" t="n">
        <f aca="false">CA4+CA6-CA5</f>
        <v>6.30163429523436E-009</v>
      </c>
      <c r="CB7" s="18" t="n">
        <f aca="false">CB4+CB6-CB5</f>
        <v>6.33839382862323E-009</v>
      </c>
      <c r="CC7" s="18" t="n">
        <f aca="false">CC4+CC6-CC5</f>
        <v>6.37536779262353E-009</v>
      </c>
      <c r="CD7" s="18" t="n">
        <f aca="false">CD4+CD6-CD5</f>
        <v>6.4125574380805E-009</v>
      </c>
      <c r="CE7" s="18" t="n">
        <f aca="false">CE4+CE6-CE5</f>
        <v>6.44996402313597E-009</v>
      </c>
      <c r="CF7" s="18" t="n">
        <f aca="false">CF4+CF6-CF5</f>
        <v>6.48758881327093E-009</v>
      </c>
      <c r="CG7" s="18" t="n">
        <f aca="false">CG4+CG6-CG5</f>
        <v>6.52543308134834E-009</v>
      </c>
      <c r="CH7" s="18" t="n">
        <f aca="false">CH4+CH6-CH5</f>
        <v>6.56349810765621E-009</v>
      </c>
      <c r="CI7" s="18" t="n">
        <f aca="false">CI4+CI6-CI5</f>
        <v>6.60178517995087E-009</v>
      </c>
      <c r="CJ7" s="18" t="n">
        <f aca="false">CJ4+CJ6-CJ5</f>
        <v>6.64029559350058E-009</v>
      </c>
      <c r="CK7" s="18" t="n">
        <f aca="false">CK4+CK6-CK5</f>
        <v>6.67903065112934E-009</v>
      </c>
      <c r="CL7" s="18" t="n">
        <f aca="false">CL4+CL6-CL5</f>
        <v>6.71799166326093E-009</v>
      </c>
      <c r="CM7" s="18" t="n">
        <f aca="false">CM4+CM6-CM5</f>
        <v>6.75717994796328E-009</v>
      </c>
      <c r="CN7" s="18" t="n">
        <f aca="false">CN4+CN6-CN5</f>
        <v>6.79659683099307E-009</v>
      </c>
      <c r="CO7" s="18" t="n">
        <f aca="false">CO4+CO6-CO5</f>
        <v>6.83624364584053E-009</v>
      </c>
      <c r="CP7" s="18" t="n">
        <f aca="false">CP4+CP6-CP5</f>
        <v>6.8761217337746E-009</v>
      </c>
      <c r="CQ7" s="18" t="n">
        <f aca="false">CQ4+CQ6-CQ5</f>
        <v>6.91623244388828E-009</v>
      </c>
      <c r="CR7" s="18" t="n">
        <f aca="false">CR4+CR6-CR5</f>
        <v>6.9565771331443E-009</v>
      </c>
      <c r="CS7" s="18" t="n">
        <f aca="false">CS4+CS6-CS5</f>
        <v>6.99715716642097E-009</v>
      </c>
      <c r="CT7" s="18" t="n">
        <f aca="false">CT4+CT6-CT5</f>
        <v>7.03797391655843E-009</v>
      </c>
      <c r="CU7" s="18" t="n">
        <f aca="false">CU4+CU6-CU5</f>
        <v>7.07902876440502E-009</v>
      </c>
      <c r="CV7" s="18" t="n">
        <f aca="false">CV4+CV6-CV5</f>
        <v>7.12032309886405E-009</v>
      </c>
      <c r="CW7" s="18" t="n">
        <f aca="false">CW4+CW6-CW5</f>
        <v>7.16185831694075E-009</v>
      </c>
      <c r="CX7" s="18" t="n">
        <f aca="false">CX4+CX6-CX5</f>
        <v>7.20363582378958E-009</v>
      </c>
      <c r="CY7" s="18" t="n">
        <f aca="false">CY4+CY6-CY5</f>
        <v>7.24565703276168E-009</v>
      </c>
      <c r="CZ7" s="18" t="n">
        <f aca="false">CZ4+CZ6-CZ5</f>
        <v>7.28792336545279E-009</v>
      </c>
      <c r="DA7" s="18" t="n">
        <f aca="false">DA4+DA6-DA5</f>
        <v>7.33043625175127E-009</v>
      </c>
      <c r="DB7" s="18" t="n">
        <f aca="false">DB4+DB6-DB5</f>
        <v>7.37319712988648E-009</v>
      </c>
      <c r="DC7" s="18" t="n">
        <f aca="false">DC4+DC6-DC5</f>
        <v>7.41620744647749E-009</v>
      </c>
      <c r="DD7" s="18" t="n">
        <f aca="false">DD4+DD6-DD5</f>
        <v>7.45946865658194E-009</v>
      </c>
      <c r="DE7" s="18" t="n">
        <f aca="false">DE4+DE6-DE5</f>
        <v>7.50298222374533E-009</v>
      </c>
      <c r="DF7" s="18" t="n">
        <f aca="false">DF4+DF6-DF5</f>
        <v>7.54674962005052E-009</v>
      </c>
      <c r="DG7" s="18" t="n">
        <f aca="false">DG4+DG6-DG5</f>
        <v>7.59077232616748E-009</v>
      </c>
      <c r="DH7" s="18" t="n">
        <f aca="false">DH4+DH6-DH5</f>
        <v>7.63505183140345E-009</v>
      </c>
      <c r="DI7" s="18" t="n">
        <f aca="false">DI4+DI6-DI5</f>
        <v>7.67958963375331E-009</v>
      </c>
      <c r="DJ7" s="18" t="n">
        <f aca="false">DJ4+DJ6-DJ5</f>
        <v>7.7243872399502E-009</v>
      </c>
      <c r="DK7" s="18" t="n">
        <f aca="false">DK4+DK6-DK5</f>
        <v>7.76944616551658E-009</v>
      </c>
      <c r="DL7" s="18" t="n">
        <f aca="false">DL4+DL6-DL5</f>
        <v>7.81476793481542E-009</v>
      </c>
      <c r="DM7" s="18" t="n">
        <f aca="false">DM4+DM6-DM5</f>
        <v>7.86035408110185E-009</v>
      </c>
      <c r="DN7" s="18" t="n">
        <f aca="false">DN4+DN6-DN5</f>
        <v>7.90620614657494E-009</v>
      </c>
      <c r="DO7" s="18" t="n">
        <f aca="false">DO4+DO6-DO5</f>
        <v>7.95232568242996E-009</v>
      </c>
      <c r="DP7" s="18" t="n">
        <f aca="false">DP4+DP6-DP5</f>
        <v>7.9987142489108E-009</v>
      </c>
      <c r="DQ7" s="18" t="n">
        <f aca="false">DQ4+DQ6-DQ5</f>
        <v>8.04537341536278E-009</v>
      </c>
      <c r="DR7" s="18" t="n">
        <f aca="false">DR4+DR6-DR5</f>
        <v>8.09230476028573E-009</v>
      </c>
      <c r="DS7" s="18" t="n">
        <f aca="false">DS4+DS6-DS5</f>
        <v>8.1395098713874E-009</v>
      </c>
      <c r="DT7" s="18" t="n">
        <f aca="false">DT4+DT6-DT5</f>
        <v>8.18699034563716E-009</v>
      </c>
      <c r="DU7" s="18" t="n">
        <f aca="false">DU4+DU6-DU5</f>
        <v>8.23474778932004E-009</v>
      </c>
      <c r="DV7" s="18" t="n">
        <f aca="false">DV4+DV6-DV5</f>
        <v>8.28278381809108E-009</v>
      </c>
      <c r="DW7" s="18" t="n">
        <f aca="false">DW4+DW6-DW5</f>
        <v>8.33110005702994E-009</v>
      </c>
      <c r="DX7" s="18" t="n">
        <f aca="false">DX4+DX6-DX5</f>
        <v>8.37969814069595E-009</v>
      </c>
      <c r="DY7" s="18" t="n">
        <f aca="false">DY4+DY6-DY5</f>
        <v>8.42857971318334E-009</v>
      </c>
      <c r="DZ7" s="18" t="n">
        <f aca="false">DZ4+DZ6-DZ5</f>
        <v>8.47774642817691E-009</v>
      </c>
      <c r="EA7" s="18" t="n">
        <f aca="false">EA4+EA6-EA5</f>
        <v>8.52719994900794E-009</v>
      </c>
      <c r="EB7" s="18" t="n">
        <f aca="false">EB4+EB6-EB5</f>
        <v>8.57694194871049E-009</v>
      </c>
      <c r="EC7" s="18" t="n">
        <f aca="false">EC4+EC6-EC5</f>
        <v>8.62697411007797E-009</v>
      </c>
      <c r="ED7" s="18" t="n">
        <f aca="false">ED4+ED6-ED5</f>
        <v>8.67729812572009E-009</v>
      </c>
      <c r="EE7" s="18" t="n">
        <f aca="false">EE4+EE6-EE5</f>
        <v>8.72791569812013E-009</v>
      </c>
      <c r="EF7" s="18" t="n">
        <f aca="false">EF4+EF6-EF5</f>
        <v>8.77882853969249E-009</v>
      </c>
      <c r="EG7" s="18" t="n">
        <f aca="false">EG4+EG6-EG5</f>
        <v>8.8300383728407E-009</v>
      </c>
      <c r="EH7" s="18" t="n">
        <f aca="false">EH4+EH6-EH5</f>
        <v>8.8815469300156E-009</v>
      </c>
      <c r="EI7" s="18" t="n">
        <f aca="false">EI4+EI6-EI5</f>
        <v>8.93335595377403E-009</v>
      </c>
      <c r="EJ7" s="18" t="n">
        <f aca="false">EJ4+EJ6-EJ5</f>
        <v>8.98546719683771E-009</v>
      </c>
      <c r="EK7" s="18" t="n">
        <f aca="false">EK4+EK6-EK5</f>
        <v>9.03788242215259E-009</v>
      </c>
      <c r="EL7" s="18" t="n">
        <f aca="false">EL4+EL6-EL5</f>
        <v>9.09060340294848E-009</v>
      </c>
      <c r="EM7" s="18" t="n">
        <f aca="false">EM4+EM6-EM5</f>
        <v>9.14363192279902E-009</v>
      </c>
      <c r="EN7" s="18" t="n">
        <f aca="false">EN4+EN6-EN5</f>
        <v>9.19696977568201E-009</v>
      </c>
      <c r="EO7" s="18" t="n">
        <f aca="false">EO4+EO6-EO5</f>
        <v>9.25061876604016E-009</v>
      </c>
      <c r="EP7" s="18" t="n">
        <f aca="false">EP4+EP6-EP5</f>
        <v>9.30458070884206E-009</v>
      </c>
      <c r="EQ7" s="18" t="n">
        <f aca="false">EQ4+EQ6-EQ5</f>
        <v>9.35885742964363E-009</v>
      </c>
      <c r="ER7" s="18" t="n">
        <f aca="false">ER4+ER6-ER5</f>
        <v>9.41345076464989E-009</v>
      </c>
      <c r="ES7" s="18" t="n">
        <f aca="false">ES4+ES6-ES5</f>
        <v>9.46836256077701E-009</v>
      </c>
      <c r="ET7" s="18" t="n">
        <f aca="false">ET4+ET6-ET5</f>
        <v>9.52359467571488E-009</v>
      </c>
      <c r="EU7" s="18" t="n">
        <f aca="false">EU4+EU6-EU5</f>
        <v>9.57914897798988E-009</v>
      </c>
      <c r="EV7" s="18" t="n">
        <f aca="false">EV4+EV6-EV5</f>
        <v>9.63502734702816E-009</v>
      </c>
      <c r="EW7" s="18" t="n">
        <f aca="false">EW4+EW6-EW5</f>
        <v>9.69123167321915E-009</v>
      </c>
      <c r="EX7" s="18" t="n">
        <f aca="false">EX4+EX6-EX5</f>
        <v>9.7477638579796E-009</v>
      </c>
      <c r="EY7" s="18" t="n">
        <f aca="false">EY4+EY6-EY5</f>
        <v>9.80462581381781E-009</v>
      </c>
      <c r="EZ7" s="18" t="n">
        <f aca="false">EZ4+EZ6-EZ5</f>
        <v>9.86181946439842E-009</v>
      </c>
      <c r="FA7" s="18" t="n">
        <f aca="false">FA4+FA6-FA5</f>
        <v>9.91934674460741E-009</v>
      </c>
      <c r="FB7" s="18" t="n">
        <f aca="false">FB4+FB6-FB5</f>
        <v>9.97720960061762E-009</v>
      </c>
      <c r="FC7" s="18" t="n">
        <f aca="false">FC4+FC6-FC5</f>
        <v>1.00354099899546E-008</v>
      </c>
      <c r="FD7" s="18" t="n">
        <f aca="false">FD4+FD6-FD5</f>
        <v>1.00939498815626E-008</v>
      </c>
      <c r="FE7" s="18" t="n">
        <f aca="false">FE4+FE6-FE5</f>
        <v>1.01528312558717E-008</v>
      </c>
      <c r="FF7" s="18" t="n">
        <f aca="false">FF4+FF6-FF5</f>
        <v>1.02120561048643E-008</v>
      </c>
      <c r="FG7" s="18" t="n">
        <f aca="false">FG4+FG6-FG5</f>
        <v>1.02716264321427E-008</v>
      </c>
      <c r="FH7" s="18" t="n">
        <f aca="false">FH4+FH6-FH5</f>
        <v>1.03315442529969E-008</v>
      </c>
      <c r="FI7" s="18" t="n">
        <f aca="false">FI4+FI6-FI5</f>
        <v>1.03918115944727E-008</v>
      </c>
      <c r="FJ7" s="18" t="n">
        <f aca="false">FJ4+FJ6-FJ5</f>
        <v>1.04524304954404E-008</v>
      </c>
      <c r="FK7" s="18" t="n">
        <f aca="false">FK4+FK6-FK5</f>
        <v>1.05134030066638E-008</v>
      </c>
      <c r="FL7" s="18" t="n">
        <f aca="false">FL4+FL6-FL5</f>
        <v>1.05747311908694E-008</v>
      </c>
      <c r="FM7" s="18" t="n">
        <f aca="false">FM4+FM6-FM5</f>
        <v>1.06364171228161E-008</v>
      </c>
      <c r="FN7" s="18" t="n">
        <f aca="false">FN4+FN6-FN5</f>
        <v>1.06984628893659E-008</v>
      </c>
      <c r="FO7" s="18" t="n">
        <f aca="false">FO4+FO6-FO5</f>
        <v>1.07608705895538E-008</v>
      </c>
      <c r="FP7" s="18" t="n">
        <f aca="false">FP4+FP6-FP5</f>
        <v>1.08236423346596E-008</v>
      </c>
      <c r="FQ7" s="18" t="n">
        <f aca="false">FQ4+FQ6-FQ5</f>
        <v>1.08867802482784E-008</v>
      </c>
      <c r="FR7" s="18" t="n">
        <f aca="false">FR4+FR6-FR5</f>
        <v>1.09502864663934E-008</v>
      </c>
      <c r="FS7" s="18" t="n">
        <f aca="false">FS4+FS6-FS5</f>
        <v>1.10141631374473E-008</v>
      </c>
      <c r="FT7" s="18" t="n">
        <f aca="false">FT4+FT6-FT5</f>
        <v>1.10784124224158E-008</v>
      </c>
      <c r="FU7" s="18" t="n">
        <f aca="false">FU4+FU6-FU5</f>
        <v>1.11430364948799E-008</v>
      </c>
      <c r="FV7" s="18" t="n">
        <f aca="false">FV4+FV6-FV5</f>
        <v>1.12080375411E-008</v>
      </c>
      <c r="FW7" s="18" t="n">
        <f aca="false">FW4+FW6-FW5</f>
        <v>1.12734177600898E-008</v>
      </c>
      <c r="FX7" s="18" t="n">
        <f aca="false">FX4+FX6-FX5</f>
        <v>1.13391793636903E-008</v>
      </c>
      <c r="FY7" s="18" t="n">
        <f aca="false">FY4+FY6-FY5</f>
        <v>1.14053245766451E-008</v>
      </c>
      <c r="FZ7" s="18" t="n">
        <f aca="false">FZ4+FZ6-FZ5</f>
        <v>1.14718556366756E-008</v>
      </c>
      <c r="GA7" s="18" t="n">
        <f aca="false">GA4+GA6-GA5</f>
        <v>1.15387747945562E-008</v>
      </c>
      <c r="GB7" s="18" t="n">
        <f aca="false">GB4+GB6-GB5</f>
        <v>1.16060843141911E-008</v>
      </c>
      <c r="GC7" s="18" t="n">
        <f aca="false">GC4+GC6-GC5</f>
        <v>1.16737864726905E-008</v>
      </c>
      <c r="GD7" s="18" t="n">
        <f aca="false">GD4+GD6-GD5</f>
        <v>1.17418835604479E-008</v>
      </c>
      <c r="GE7" s="18" t="n">
        <f aca="false">GE4+GE6-GE5</f>
        <v>1.18103778812172E-008</v>
      </c>
      <c r="GF7" s="18" t="n">
        <f aca="false">GF4+GF6-GF5</f>
        <v>1.18792717521909E-008</v>
      </c>
      <c r="GG7" s="18" t="n">
        <f aca="false">GG4+GG6-GG5</f>
        <v>1.19485675040787E-008</v>
      </c>
      <c r="GH7" s="18" t="n">
        <f aca="false">GH4+GH6-GH5</f>
        <v>1.20182674811859E-008</v>
      </c>
      <c r="GI7" s="18" t="n">
        <f aca="false">GI4+GI6-GI5</f>
        <v>1.20883740414928E-008</v>
      </c>
      <c r="GJ7" s="18" t="n">
        <f aca="false">GJ4+GJ6-GJ5</f>
        <v>1.21588895567348E-008</v>
      </c>
      <c r="GK7" s="18" t="n">
        <f aca="false">GK4+GK6-GK5</f>
        <v>1.22298164124824E-008</v>
      </c>
      <c r="GL7" s="18" t="n">
        <f aca="false">GL4+GL6-GL5</f>
        <v>1.23011570082219E-008</v>
      </c>
      <c r="GM7" s="18" t="n">
        <f aca="false">GM4+GM6-GM5</f>
        <v>1.23729137574365E-008</v>
      </c>
      <c r="GN7" s="18" t="n">
        <f aca="false">GN4+GN6-GN5</f>
        <v>1.24450890876883E-008</v>
      </c>
      <c r="GO7" s="18" t="n">
        <f aca="false">GO4+GO6-GO5</f>
        <v>1.25176854406998E-008</v>
      </c>
      <c r="GP7" s="18" t="n">
        <f aca="false">GP4+GP6-GP5</f>
        <v>1.25907052724372E-008</v>
      </c>
      <c r="GQ7" s="18" t="n">
        <f aca="false">GQ4+GQ6-GQ5</f>
        <v>1.26641510531931E-008</v>
      </c>
      <c r="GR7" s="18" t="n">
        <f aca="false">GR4+GR6-GR5</f>
        <v>1.273802526767E-008</v>
      </c>
      <c r="GS7" s="18" t="n">
        <f aca="false">GS4+GS6-GS5</f>
        <v>1.28123304150648E-008</v>
      </c>
      <c r="GT7" s="18" t="n">
        <f aca="false">GT4+GT6-GT5</f>
        <v>1.28870690091526E-008</v>
      </c>
      <c r="GU7" s="18" t="n">
        <f aca="false">GU4+GU6-GU5</f>
        <v>1.29622435783727E-008</v>
      </c>
      <c r="GV7" s="18" t="n">
        <f aca="false">GV4+GV6-GV5</f>
        <v>1.30378566659132E-008</v>
      </c>
      <c r="GW7" s="18" t="n">
        <f aca="false">GW4+GW6-GW5</f>
        <v>1.31139108297977E-008</v>
      </c>
      <c r="GX7" s="18" t="n">
        <f aca="false">GX4+GX6-GX5</f>
        <v>1.31904086429715E-008</v>
      </c>
      <c r="GY7" s="18" t="n">
        <f aca="false">GY4+GY6-GY5</f>
        <v>1.32673526933889E-008</v>
      </c>
      <c r="GZ7" s="18" t="n">
        <f aca="false">GZ4+GZ6-GZ5</f>
        <v>1.33447455841003E-008</v>
      </c>
      <c r="HA7" s="18" t="n">
        <f aca="false">HA4+HA6-HA5</f>
        <v>1.34225899333409E-008</v>
      </c>
      <c r="HB7" s="18" t="n">
        <f aca="false">HB4+HB6-HB5</f>
        <v>1.35008883746187E-008</v>
      </c>
      <c r="HC7" s="18" t="n">
        <f aca="false">HC4+HC6-HC5</f>
        <v>1.3579643556804E-008</v>
      </c>
      <c r="HD7" s="18" t="n">
        <f aca="false">HD4+HD6-HD5</f>
        <v>1.36588581442187E-008</v>
      </c>
      <c r="HE7" s="18" t="n">
        <f aca="false">HE4+HE6-HE5</f>
        <v>1.37385348167266E-008</v>
      </c>
      <c r="HF7" s="18" t="n">
        <f aca="false">HF4+HF6-HF5</f>
        <v>1.38186762698242E-008</v>
      </c>
      <c r="HG7" s="18" t="n">
        <f aca="false">HG4+HG6-HG5</f>
        <v>1.38992852147315E-008</v>
      </c>
      <c r="HH7" s="18" t="n">
        <f aca="false">HH4+HH6-HH5</f>
        <v>1.39803643784841E-008</v>
      </c>
      <c r="HI7" s="18" t="n">
        <f aca="false">HI4+HI6-HI5</f>
        <v>1.40619165040252E-008</v>
      </c>
      <c r="HJ7" s="18" t="n">
        <f aca="false">HJ4+HJ6-HJ5</f>
        <v>1.41439443502987E-008</v>
      </c>
      <c r="HK7" s="18" t="n">
        <f aca="false">HK4+HK6-HK5</f>
        <v>1.42264506923421E-008</v>
      </c>
      <c r="HL7" s="18" t="n">
        <f aca="false">HL4+HL6-HL5</f>
        <v>1.43094383213808E-008</v>
      </c>
      <c r="HM7" s="18" t="n">
        <f aca="false">HM4+HM6-HM5</f>
        <v>1.43929100449222E-008</v>
      </c>
      <c r="HN7" s="18" t="n">
        <f aca="false">HN4+HN6-HN5</f>
        <v>1.44768686868509E-008</v>
      </c>
      <c r="HO7" s="18" t="n">
        <f aca="false">HO4+HO6-HO5</f>
        <v>1.45613170875242E-008</v>
      </c>
      <c r="HP7" s="18" t="n">
        <f aca="false">HP4+HP6-HP5</f>
        <v>1.46462581038681E-008</v>
      </c>
      <c r="HQ7" s="18" t="n">
        <f aca="false">HQ4+HQ6-HQ5</f>
        <v>1.4731694609474E-008</v>
      </c>
      <c r="HR7" s="18" t="n">
        <f aca="false">HR4+HR6-HR5</f>
        <v>1.48176294946959E-008</v>
      </c>
      <c r="HS7" s="18" t="n">
        <f aca="false">HS4+HS6-HS5</f>
        <v>1.49040656667483E-008</v>
      </c>
      <c r="HT7" s="18" t="n">
        <f aca="false">HT4+HT6-HT5</f>
        <v>1.49910060498043E-008</v>
      </c>
      <c r="HU7" s="18" t="n">
        <f aca="false">HU4+HU6-HU5</f>
        <v>1.50784535850949E-008</v>
      </c>
      <c r="HV7" s="18" t="n">
        <f aca="false">HV4+HV6-HV5</f>
        <v>1.51664112310079E-008</v>
      </c>
      <c r="HW7" s="18" t="n">
        <f aca="false">HW4+HW6-HW5</f>
        <v>1.52548819631888E-008</v>
      </c>
      <c r="HX7" s="18" t="n">
        <f aca="false">HX4+HX6-HX5</f>
        <v>1.53438687746407E-008</v>
      </c>
      <c r="HY7" s="18" t="n">
        <f aca="false">HY4+HY6-HY5</f>
        <v>1.54333746758261E-008</v>
      </c>
      <c r="HZ7" s="18" t="n">
        <f aca="false">HZ4+HZ6-HZ5</f>
        <v>1.55234026947685E-008</v>
      </c>
      <c r="IA7" s="18" t="n">
        <f aca="false">IA4+IA6-IA5</f>
        <v>1.56139558771546E-008</v>
      </c>
      <c r="IB7" s="18" t="n">
        <f aca="false">IB4+IB6-IB5</f>
        <v>1.5705037286438E-008</v>
      </c>
      <c r="IC7" s="18" t="n">
        <f aca="false">IC4+IC6-IC5</f>
        <v>1.57966500039422E-008</v>
      </c>
      <c r="ID7" s="18" t="n">
        <f aca="false">ID4+ID6-ID5</f>
        <v>1.58887971289652E-008</v>
      </c>
      <c r="IE7" s="18" t="n">
        <f aca="false">IE4+IE6-IE5</f>
        <v>1.59814817788842E-008</v>
      </c>
      <c r="IF7" s="18" t="n">
        <f aca="false">IF4+IF6-IF5</f>
        <v>1.6074707089261E-008</v>
      </c>
      <c r="IG7" s="18" t="n">
        <f aca="false">IG4+IG6-IG5</f>
        <v>1.61684762139484E-008</v>
      </c>
      <c r="IH7" s="18" t="n">
        <f aca="false">IH4+IH6-IH5</f>
        <v>1.62627923251964E-008</v>
      </c>
      <c r="II7" s="18" t="n">
        <f aca="false">II4+II6-II5</f>
        <v>1.635765861376E-008</v>
      </c>
      <c r="IJ7" s="18" t="n">
        <f aca="false">IJ4+IJ6-IJ5</f>
        <v>1.6453078289007E-008</v>
      </c>
      <c r="IK7" s="18" t="n">
        <f aca="false">IK4+IK6-IK5</f>
        <v>1.65490545790262E-008</v>
      </c>
      <c r="IL7" s="18" t="n">
        <f aca="false">IL4+IL6-IL5</f>
        <v>1.66455907307372E-008</v>
      </c>
      <c r="IM7" s="18" t="n">
        <f aca="false">IM4+IM6-IM5</f>
        <v>1.67426900099998E-008</v>
      </c>
      <c r="IN7" s="18" t="n">
        <f aca="false">IN4+IN6-IN5</f>
        <v>1.68403557017248E-008</v>
      </c>
      <c r="IO7" s="18" t="n">
        <f aca="false">IO4+IO6-IO5</f>
        <v>1.69385911099849E-008</v>
      </c>
      <c r="IP7" s="18" t="n">
        <f aca="false">IP4+IP6-IP5</f>
        <v>1.70373995581264E-008</v>
      </c>
      <c r="IQ7" s="18" t="n">
        <f aca="false">IQ4+IQ6-IQ5</f>
        <v>1.71367843888822E-008</v>
      </c>
      <c r="IR7" s="18" t="n">
        <f aca="false">IR4+IR6-IR5</f>
        <v>1.7236748964484E-008</v>
      </c>
      <c r="IS7" s="18" t="n">
        <f aca="false">IS4+IS6-IS5</f>
        <v>1.73372966667768E-008</v>
      </c>
      <c r="IT7" s="18" t="n">
        <f aca="false">IT4+IT6-IT5</f>
        <v>1.7438430897333E-008</v>
      </c>
      <c r="IU7" s="18" t="n">
        <f aca="false">IU4+IU6-IU5</f>
        <v>1.75401550775675E-008</v>
      </c>
      <c r="IV7" s="18" t="n">
        <f aca="false">IV4+IV6-IV5</f>
        <v>1.76424726488533E-008</v>
      </c>
      <c r="IW7" s="18" t="n">
        <f aca="false">IW4+IW6-IW5</f>
        <v>1.77453870726382E-008</v>
      </c>
      <c r="IX7" s="18" t="n">
        <f aca="false">IX4+IX6-IX5</f>
        <v>1.7848901830562E-008</v>
      </c>
      <c r="IY7" s="18" t="n">
        <f aca="false">IY4+IY6-IY5</f>
        <v>1.79530204245736E-008</v>
      </c>
      <c r="IZ7" s="18" t="n">
        <f aca="false">IZ4+IZ6-IZ5</f>
        <v>1.80577463770503E-008</v>
      </c>
      <c r="JA7" s="18" t="n">
        <f aca="false">JA4+JA6-JA5</f>
        <v>1.81630832309164E-008</v>
      </c>
      <c r="JB7" s="18" t="n">
        <f aca="false">JB4+JB6-JB5</f>
        <v>1.82690345497634E-008</v>
      </c>
      <c r="JC7" s="18" t="n">
        <f aca="false">JC4+JC6-JC5</f>
        <v>1.83756039179704E-008</v>
      </c>
      <c r="JD7" s="18" t="n">
        <f aca="false">JD4+JD6-JD5</f>
        <v>1.84827949408252E-008</v>
      </c>
      <c r="JE7" s="18" t="n">
        <f aca="false">JE4+JE6-JE5</f>
        <v>1.85906112446467E-008</v>
      </c>
      <c r="JF7" s="18" t="n">
        <f aca="false">JF4+JF6-JF5</f>
        <v>1.86990564769071E-008</v>
      </c>
      <c r="JG7" s="18" t="n">
        <f aca="false">JG4+JG6-JG5</f>
        <v>1.88081343063557E-008</v>
      </c>
      <c r="JH7" s="18" t="n">
        <f aca="false">JH4+JH6-JH5</f>
        <v>1.89178484231428E-008</v>
      </c>
      <c r="JI7" s="18" t="n">
        <f aca="false">JI4+JI6-JI5</f>
        <v>1.90282025389445E-008</v>
      </c>
      <c r="JJ7" s="18" t="n">
        <f aca="false">JJ4+JJ6-JJ5</f>
        <v>1.91392003870883E-008</v>
      </c>
      <c r="JK7" s="18" t="n">
        <f aca="false">JK4+JK6-JK5</f>
        <v>1.92508457226797E-008</v>
      </c>
      <c r="JL7" s="18" t="n">
        <f aca="false">JL4+JL6-JL5</f>
        <v>1.93631423227286E-008</v>
      </c>
      <c r="JM7" s="18" t="n">
        <f aca="false">JM4+JM6-JM5</f>
        <v>1.94760939862779E-008</v>
      </c>
      <c r="JN7" s="18" t="n">
        <f aca="false">JN4+JN6-JN5</f>
        <v>1.95897045345312E-008</v>
      </c>
      <c r="JO7" s="18" t="n">
        <f aca="false">JO4+JO6-JO5</f>
        <v>1.97039778109826E-008</v>
      </c>
      <c r="JP7" s="18" t="n">
        <f aca="false">JP4+JP6-JP5</f>
        <v>1.98189176815467E-008</v>
      </c>
      <c r="JQ7" s="18" t="n">
        <f aca="false">JQ4+JQ6-JQ5</f>
        <v>1.9934528034689E-008</v>
      </c>
      <c r="JR7" s="18" t="n">
        <f aca="false">JR4+JR6-JR5</f>
        <v>2.0050812781558E-008</v>
      </c>
      <c r="JS7" s="18" t="n">
        <f aca="false">JS4+JS6-JS5</f>
        <v>2.01677758561171E-008</v>
      </c>
      <c r="JT7" s="18" t="n">
        <f aca="false">JT4+JT6-JT5</f>
        <v>2.02854212152778E-008</v>
      </c>
      <c r="JU7" s="18" t="n">
        <f aca="false">JU4+JU6-JU5</f>
        <v>2.04037528390336E-008</v>
      </c>
      <c r="JV7" s="18" t="n">
        <f aca="false">JV4+JV6-JV5</f>
        <v>2.05227747305946E-008</v>
      </c>
      <c r="JW7" s="18" t="n">
        <f aca="false">JW4+JW6-JW5</f>
        <v>2.06424909165231E-008</v>
      </c>
      <c r="JX7" s="18" t="n">
        <f aca="false">JX4+JX6-JX5</f>
        <v>2.07629054468695E-008</v>
      </c>
      <c r="JY7" s="18" t="n">
        <f aca="false">JY4+JY6-JY5</f>
        <v>2.08840223953095E-008</v>
      </c>
      <c r="JZ7" s="18" t="n">
        <f aca="false">JZ4+JZ6-JZ5</f>
        <v>2.10058458592822E-008</v>
      </c>
      <c r="KA7" s="18" t="n">
        <f aca="false">KA4+KA6-KA5</f>
        <v>2.1128379960128E-008</v>
      </c>
      <c r="KB7" s="18" t="n">
        <f aca="false">KB4+KB6-KB5</f>
        <v>2.12516288432287E-008</v>
      </c>
      <c r="KC7" s="18" t="n">
        <f aca="false">KC4+KC6-KC5</f>
        <v>2.13755966781476E-008</v>
      </c>
      <c r="KD7" s="18" t="n">
        <f aca="false">KD4+KD6-KD5</f>
        <v>2.15002876587701E-008</v>
      </c>
      <c r="KE7" s="18" t="n">
        <f aca="false">KE4+KE6-KE5</f>
        <v>2.16257060034463E-008</v>
      </c>
      <c r="KF7" s="18" t="n">
        <f aca="false">KF4+KF6-KF5</f>
        <v>2.1751855955133E-008</v>
      </c>
      <c r="KG7" s="18" t="n">
        <f aca="false">KG4+KG6-KG5</f>
        <v>2.1878741781538E-008</v>
      </c>
      <c r="KH7" s="18" t="n">
        <f aca="false">KH4+KH6-KH5</f>
        <v>2.20063677752636E-008</v>
      </c>
      <c r="KI7" s="18" t="n">
        <f aca="false">KI4+KI6-KI5</f>
        <v>2.21347382539527E-008</v>
      </c>
      <c r="KJ7" s="18" t="n">
        <f aca="false">KJ4+KJ6-KJ5</f>
        <v>2.2263857560434E-008</v>
      </c>
      <c r="KK7" s="18" t="n">
        <f aca="false">KK4+KK6-KK5</f>
        <v>2.23937300628699E-008</v>
      </c>
      <c r="KL7" s="18" t="n">
        <f aca="false">KL4+KL6-KL5</f>
        <v>2.25243601549033E-008</v>
      </c>
      <c r="KM7" s="18" t="n">
        <f aca="false">KM4+KM6-KM5</f>
        <v>2.26557522558069E-008</v>
      </c>
      <c r="KN7" s="18" t="n">
        <f aca="false">KN4+KN6-KN5</f>
        <v>2.27879108106325E-008</v>
      </c>
      <c r="KO7" s="18" t="n">
        <f aca="false">KO4+KO6-KO5</f>
        <v>2.29208402903611E-008</v>
      </c>
    </row>
    <row r="8" customFormat="false" ht="14.25" hidden="false" customHeight="false" outlineLevel="0" collapsed="false">
      <c r="A8" s="0" t="s">
        <v>413</v>
      </c>
      <c r="B8" s="18" t="n">
        <f aca="false">B5-B6</f>
        <v>55871.4608280648</v>
      </c>
      <c r="C8" s="18" t="n">
        <f aca="false">C5-C6</f>
        <v>56197.3776828952</v>
      </c>
      <c r="D8" s="18" t="n">
        <f aca="false">D5-D6</f>
        <v>56525.1957193788</v>
      </c>
      <c r="E8" s="18" t="n">
        <f aca="false">E5-E6</f>
        <v>56854.9260277418</v>
      </c>
      <c r="F8" s="18" t="n">
        <f aca="false">F5-F6</f>
        <v>57186.5797629036</v>
      </c>
      <c r="G8" s="18" t="n">
        <f aca="false">G5-G6</f>
        <v>57520.1681448539</v>
      </c>
      <c r="H8" s="18" t="n">
        <f aca="false">H5-H6</f>
        <v>57855.7024590322</v>
      </c>
      <c r="I8" s="18" t="n">
        <f aca="false">I5-I6</f>
        <v>58193.1940567099</v>
      </c>
      <c r="J8" s="18" t="n">
        <f aca="false">J5-J6</f>
        <v>58532.654355374</v>
      </c>
      <c r="K8" s="18" t="n">
        <f aca="false">K5-K6</f>
        <v>58874.0948391137</v>
      </c>
      <c r="L8" s="18" t="n">
        <f aca="false">L5-L6</f>
        <v>59217.5270590085</v>
      </c>
      <c r="M8" s="18" t="n">
        <f aca="false">M5-M6</f>
        <v>59562.9626335194</v>
      </c>
      <c r="N8" s="18" t="n">
        <f aca="false">N5-N6</f>
        <v>59910.4132488816</v>
      </c>
      <c r="O8" s="18" t="n">
        <f aca="false">O5-O6</f>
        <v>60259.8906595001</v>
      </c>
      <c r="P8" s="18" t="n">
        <f aca="false">P5-P6</f>
        <v>60611.4066883472</v>
      </c>
      <c r="Q8" s="18" t="n">
        <f aca="false">Q5-Q6</f>
        <v>60964.9732273625</v>
      </c>
      <c r="R8" s="18" t="n">
        <f aca="false">R5-R6</f>
        <v>61320.6022378555</v>
      </c>
      <c r="S8" s="18" t="n">
        <f aca="false">S5-S6</f>
        <v>61678.3057509096</v>
      </c>
      <c r="T8" s="18" t="n">
        <f aca="false">T5-T6</f>
        <v>62038.0958677899</v>
      </c>
      <c r="U8" s="18" t="n">
        <f aca="false">U5-U6</f>
        <v>62399.9847603521</v>
      </c>
      <c r="V8" s="18" t="n">
        <f aca="false">V5-V6</f>
        <v>62763.9846714541</v>
      </c>
      <c r="W8" s="18" t="n">
        <f aca="false">W5-W6</f>
        <v>63130.1079153709</v>
      </c>
      <c r="X8" s="18" t="n">
        <f aca="false">X5-X6</f>
        <v>63498.3668782106</v>
      </c>
      <c r="Y8" s="18" t="n">
        <f aca="false">Y5-Y6</f>
        <v>63868.7740183335</v>
      </c>
      <c r="Z8" s="18" t="n">
        <f aca="false">Z5-Z6</f>
        <v>64241.3418667737</v>
      </c>
      <c r="AA8" s="18" t="n">
        <f aca="false">AA5-AA6</f>
        <v>64616.0830276633</v>
      </c>
      <c r="AB8" s="18" t="n">
        <f aca="false">AB5-AB6</f>
        <v>64993.010178658</v>
      </c>
      <c r="AC8" s="18" t="n">
        <f aca="false">AC5-AC6</f>
        <v>65372.1360713668</v>
      </c>
      <c r="AD8" s="18" t="n">
        <f aca="false">AD5-AD6</f>
        <v>65753.4735317831</v>
      </c>
      <c r="AE8" s="18" t="n">
        <f aca="false">AE5-AE6</f>
        <v>66137.0354607185</v>
      </c>
      <c r="AF8" s="18" t="n">
        <f aca="false">AF5-AF6</f>
        <v>66522.8348342394</v>
      </c>
      <c r="AG8" s="18" t="n">
        <f aca="false">AG5-AG6</f>
        <v>66910.8847041058</v>
      </c>
      <c r="AH8" s="18" t="n">
        <f aca="false">AH5-AH6</f>
        <v>67301.198198213</v>
      </c>
      <c r="AI8" s="18" t="n">
        <f aca="false">AI5-AI6</f>
        <v>67693.788521036</v>
      </c>
      <c r="AJ8" s="18" t="n">
        <f aca="false">AJ5-AJ6</f>
        <v>68088.6689540753</v>
      </c>
      <c r="AK8" s="18" t="n">
        <f aca="false">AK5-AK6</f>
        <v>68485.8528563074</v>
      </c>
      <c r="AL8" s="18" t="n">
        <f aca="false">AL5-AL6</f>
        <v>68885.3536646359</v>
      </c>
      <c r="AM8" s="18" t="n">
        <f aca="false">AM5-AM6</f>
        <v>69287.1848943463</v>
      </c>
      <c r="AN8" s="18" t="n">
        <f aca="false">AN5-AN6</f>
        <v>69691.3601395633</v>
      </c>
      <c r="AO8" s="18" t="n">
        <f aca="false">AO5-AO6</f>
        <v>70097.8930737107</v>
      </c>
      <c r="AP8" s="18" t="n">
        <f aca="false">AP5-AP6</f>
        <v>70506.7974499741</v>
      </c>
      <c r="AQ8" s="18" t="n">
        <f aca="false">AQ5-AQ6</f>
        <v>70918.0871017656</v>
      </c>
      <c r="AR8" s="18" t="n">
        <f aca="false">AR5-AR6</f>
        <v>71331.7759431925</v>
      </c>
      <c r="AS8" s="18" t="n">
        <f aca="false">AS5-AS6</f>
        <v>71747.8779695278</v>
      </c>
      <c r="AT8" s="18" t="n">
        <f aca="false">AT5-AT6</f>
        <v>72166.4072576834</v>
      </c>
      <c r="AU8" s="18" t="n">
        <f aca="false">AU5-AU6</f>
        <v>72587.3779666866</v>
      </c>
      <c r="AV8" s="18" t="n">
        <f aca="false">AV5-AV6</f>
        <v>73010.8043381589</v>
      </c>
      <c r="AW8" s="18" t="n">
        <f aca="false">AW5-AW6</f>
        <v>73436.7006967982</v>
      </c>
      <c r="AX8" s="18" t="n">
        <f aca="false">AX5-AX6</f>
        <v>73865.0814508628</v>
      </c>
      <c r="AY8" s="18" t="n">
        <f aca="false">AY5-AY6</f>
        <v>74295.9610926595</v>
      </c>
      <c r="AZ8" s="18" t="n">
        <f aca="false">AZ5-AZ6</f>
        <v>74729.3541990334</v>
      </c>
      <c r="BA8" s="18" t="n">
        <f aca="false">BA5-BA6</f>
        <v>75165.2754318611</v>
      </c>
      <c r="BB8" s="18" t="n">
        <f aca="false">BB5-BB6</f>
        <v>75603.7395385469</v>
      </c>
      <c r="BC8" s="18" t="n">
        <f aca="false">BC5-BC6</f>
        <v>76044.7613525218</v>
      </c>
      <c r="BD8" s="18" t="n">
        <f aca="false">BD5-BD6</f>
        <v>76488.3557937448</v>
      </c>
      <c r="BE8" s="18" t="n">
        <f aca="false">BE5-BE6</f>
        <v>76934.5378692083</v>
      </c>
      <c r="BF8" s="18" t="n">
        <f aca="false">BF5-BF6</f>
        <v>77383.3226734454</v>
      </c>
      <c r="BG8" s="18" t="n">
        <f aca="false">BG5-BG6</f>
        <v>77834.7253890405</v>
      </c>
      <c r="BH8" s="18" t="n">
        <f aca="false">BH5-BH6</f>
        <v>78288.7612871432</v>
      </c>
      <c r="BI8" s="18" t="n">
        <f aca="false">BI5-BI6</f>
        <v>78745.4457279849</v>
      </c>
      <c r="BJ8" s="18" t="n">
        <f aca="false">BJ5-BJ6</f>
        <v>-3.31056071445346E-011</v>
      </c>
      <c r="BK8" s="18" t="n">
        <f aca="false">BK5-BK6</f>
        <v>-3.3298723186211E-011</v>
      </c>
      <c r="BL8" s="18" t="n">
        <f aca="false">BL5-BL6</f>
        <v>-3.34929657381306E-011</v>
      </c>
      <c r="BM8" s="18" t="n">
        <f aca="false">BM5-BM6</f>
        <v>-3.3688341371603E-011</v>
      </c>
      <c r="BN8" s="18" t="n">
        <f aca="false">BN5-BN6</f>
        <v>-3.38848566962707E-011</v>
      </c>
      <c r="BO8" s="18" t="n">
        <f aca="false">BO5-BO6</f>
        <v>-3.40825183603323E-011</v>
      </c>
      <c r="BP8" s="18" t="n">
        <f aca="false">BP5-BP6</f>
        <v>-3.42813330507676E-011</v>
      </c>
      <c r="BQ8" s="18" t="n">
        <f aca="false">BQ5-BQ6</f>
        <v>-3.44813074935637E-011</v>
      </c>
      <c r="BR8" s="18" t="n">
        <f aca="false">BR5-BR6</f>
        <v>-3.46824484539428E-011</v>
      </c>
      <c r="BS8" s="18" t="n">
        <f aca="false">BS5-BS6</f>
        <v>-3.48847627365908E-011</v>
      </c>
      <c r="BT8" s="18" t="n">
        <f aca="false">BT5-BT6</f>
        <v>-3.50882571858876E-011</v>
      </c>
      <c r="BU8" s="18" t="n">
        <f aca="false">BU5-BU6</f>
        <v>-3.52929386861386E-011</v>
      </c>
      <c r="BV8" s="18" t="n">
        <f aca="false">BV5-BV6</f>
        <v>-3.54988141618078E-011</v>
      </c>
      <c r="BW8" s="18" t="n">
        <f aca="false">BW5-BW6</f>
        <v>-3.57058905777516E-011</v>
      </c>
      <c r="BX8" s="18" t="n">
        <f aca="false">BX5-BX6</f>
        <v>-3.59141749394552E-011</v>
      </c>
      <c r="BY8" s="18" t="n">
        <f aca="false">BY5-BY6</f>
        <v>-3.61236742932687E-011</v>
      </c>
      <c r="BZ8" s="18" t="n">
        <f aca="false">BZ5-BZ6</f>
        <v>-3.63343957266461E-011</v>
      </c>
      <c r="CA8" s="18" t="n">
        <f aca="false">CA5-CA6</f>
        <v>-3.65463463683849E-011</v>
      </c>
      <c r="CB8" s="18" t="n">
        <f aca="false">CB5-CB6</f>
        <v>-3.67595333888671E-011</v>
      </c>
      <c r="CC8" s="18" t="n">
        <f aca="false">CC5-CC6</f>
        <v>-3.69739640003022E-011</v>
      </c>
      <c r="CD8" s="18" t="n">
        <f aca="false">CD5-CD6</f>
        <v>-3.71896454569706E-011</v>
      </c>
      <c r="CE8" s="18" t="n">
        <f aca="false">CE5-CE6</f>
        <v>-3.74065850554696E-011</v>
      </c>
      <c r="CF8" s="18" t="n">
        <f aca="false">CF5-CF6</f>
        <v>-3.76247901349598E-011</v>
      </c>
      <c r="CG8" s="18" t="n">
        <f aca="false">CG5-CG6</f>
        <v>-3.78442680774138E-011</v>
      </c>
      <c r="CH8" s="18" t="n">
        <f aca="false">CH5-CH6</f>
        <v>-3.80650263078653E-011</v>
      </c>
      <c r="CI8" s="18" t="n">
        <f aca="false">CI5-CI6</f>
        <v>-3.82870722946612E-011</v>
      </c>
      <c r="CJ8" s="18" t="n">
        <f aca="false">CJ5-CJ6</f>
        <v>-3.85104135497134E-011</v>
      </c>
      <c r="CK8" s="18" t="n">
        <f aca="false">CK5-CK6</f>
        <v>-3.87350576287534E-011</v>
      </c>
      <c r="CL8" s="18" t="n">
        <f aca="false">CL5-CL6</f>
        <v>-3.89610121315878E-011</v>
      </c>
      <c r="CM8" s="18" t="n">
        <f aca="false">CM5-CM6</f>
        <v>-3.91882847023554E-011</v>
      </c>
      <c r="CN8" s="18" t="n">
        <f aca="false">CN5-CN6</f>
        <v>-3.94168830297858E-011</v>
      </c>
      <c r="CO8" s="18" t="n">
        <f aca="false">CO5-CO6</f>
        <v>-3.96468148474596E-011</v>
      </c>
      <c r="CP8" s="18" t="n">
        <f aca="false">CP5-CP6</f>
        <v>-3.98780879340697E-011</v>
      </c>
      <c r="CQ8" s="18" t="n">
        <f aca="false">CQ5-CQ6</f>
        <v>-4.01107101136852E-011</v>
      </c>
      <c r="CR8" s="18" t="n">
        <f aca="false">CR5-CR6</f>
        <v>-4.0344689256015E-011</v>
      </c>
      <c r="CS8" s="18" t="n">
        <f aca="false">CS5-CS6</f>
        <v>-4.05800332766751E-011</v>
      </c>
      <c r="CT8" s="18" t="n">
        <f aca="false">CT5-CT6</f>
        <v>-4.08167501374557E-011</v>
      </c>
      <c r="CU8" s="18" t="n">
        <f aca="false">CU5-CU6</f>
        <v>-4.10548478465908E-011</v>
      </c>
      <c r="CV8" s="18" t="n">
        <f aca="false">CV5-CV6</f>
        <v>-4.12943344590293E-011</v>
      </c>
      <c r="CW8" s="18" t="n">
        <f aca="false">CW5-CW6</f>
        <v>-4.15352180767069E-011</v>
      </c>
      <c r="CX8" s="18" t="n">
        <f aca="false">CX5-CX6</f>
        <v>-4.17775068488211E-011</v>
      </c>
      <c r="CY8" s="18" t="n">
        <f aca="false">CY5-CY6</f>
        <v>-4.20212089721059E-011</v>
      </c>
      <c r="CZ8" s="18" t="n">
        <f aca="false">CZ5-CZ6</f>
        <v>-4.22663326911098E-011</v>
      </c>
      <c r="DA8" s="18" t="n">
        <f aca="false">DA5-DA6</f>
        <v>-4.25128862984746E-011</v>
      </c>
      <c r="DB8" s="18" t="n">
        <f aca="false">DB5-DB6</f>
        <v>-4.27608781352157E-011</v>
      </c>
      <c r="DC8" s="18" t="n">
        <f aca="false">DC5-DC6</f>
        <v>-4.30103165910045E-011</v>
      </c>
      <c r="DD8" s="18" t="n">
        <f aca="false">DD5-DD6</f>
        <v>-4.3261210104452E-011</v>
      </c>
      <c r="DE8" s="18" t="n">
        <f aca="false">DE5-DE6</f>
        <v>-4.35135671633946E-011</v>
      </c>
      <c r="DF8" s="18" t="n">
        <f aca="false">DF5-DF6</f>
        <v>-4.37673963051811E-011</v>
      </c>
      <c r="DG8" s="18" t="n">
        <f aca="false">DG5-DG6</f>
        <v>-4.40227061169613E-011</v>
      </c>
      <c r="DH8" s="18" t="n">
        <f aca="false">DH5-DH6</f>
        <v>-4.4279505235977E-011</v>
      </c>
      <c r="DI8" s="18" t="n">
        <f aca="false">DI5-DI6</f>
        <v>-4.45378023498535E-011</v>
      </c>
      <c r="DJ8" s="18" t="n">
        <f aca="false">DJ5-DJ6</f>
        <v>-4.47976061968943E-011</v>
      </c>
      <c r="DK8" s="18" t="n">
        <f aca="false">DK5-DK6</f>
        <v>-4.50589255663762E-011</v>
      </c>
      <c r="DL8" s="18" t="n">
        <f aca="false">DL5-DL6</f>
        <v>-4.53217692988467E-011</v>
      </c>
      <c r="DM8" s="18" t="n">
        <f aca="false">DM5-DM6</f>
        <v>-4.55861462864233E-011</v>
      </c>
      <c r="DN8" s="18" t="n">
        <f aca="false">DN5-DN6</f>
        <v>-4.58520654730941E-011</v>
      </c>
      <c r="DO8" s="18" t="n">
        <f aca="false">DO5-DO6</f>
        <v>-4.61195358550205E-011</v>
      </c>
      <c r="DP8" s="18" t="n">
        <f aca="false">DP5-DP6</f>
        <v>-4.63885664808415E-011</v>
      </c>
      <c r="DQ8" s="18" t="n">
        <f aca="false">DQ5-DQ6</f>
        <v>-4.66591664519797E-011</v>
      </c>
      <c r="DR8" s="18" t="n">
        <f aca="false">DR5-DR6</f>
        <v>-4.69313449229496E-011</v>
      </c>
      <c r="DS8" s="18" t="n">
        <f aca="false">DS5-DS6</f>
        <v>-4.72051111016668E-011</v>
      </c>
      <c r="DT8" s="18" t="n">
        <f aca="false">DT5-DT6</f>
        <v>-4.74804742497598E-011</v>
      </c>
      <c r="DU8" s="18" t="n">
        <f aca="false">DU5-DU6</f>
        <v>-4.77574436828834E-011</v>
      </c>
      <c r="DV8" s="18" t="n">
        <f aca="false">DV5-DV6</f>
        <v>-4.80360287710336E-011</v>
      </c>
      <c r="DW8" s="18" t="n">
        <f aca="false">DW5-DW6</f>
        <v>-4.83162389388646E-011</v>
      </c>
      <c r="DX8" s="18" t="n">
        <f aca="false">DX5-DX6</f>
        <v>-4.8598083666008E-011</v>
      </c>
      <c r="DY8" s="18" t="n">
        <f aca="false">DY5-DY6</f>
        <v>-4.8881572487393E-011</v>
      </c>
      <c r="DZ8" s="18" t="n">
        <f aca="false">DZ5-DZ6</f>
        <v>-4.91667149935695E-011</v>
      </c>
      <c r="EA8" s="18" t="n">
        <f aca="false">EA5-EA6</f>
        <v>-4.9453520831032E-011</v>
      </c>
      <c r="EB8" s="18" t="n">
        <f aca="false">EB5-EB6</f>
        <v>-4.97419997025463E-011</v>
      </c>
      <c r="EC8" s="18" t="n">
        <f aca="false">EC5-EC6</f>
        <v>-5.00321613674779E-011</v>
      </c>
      <c r="ED8" s="18" t="n">
        <f aca="false">ED5-ED6</f>
        <v>-5.03240156421215E-011</v>
      </c>
      <c r="EE8" s="18" t="n">
        <f aca="false">EE5-EE6</f>
        <v>-5.06175724000339E-011</v>
      </c>
      <c r="EF8" s="18" t="n">
        <f aca="false">EF5-EF6</f>
        <v>-5.09128415723674E-011</v>
      </c>
      <c r="EG8" s="18" t="n">
        <f aca="false">EG5-EG6</f>
        <v>-5.12098331482062E-011</v>
      </c>
      <c r="EH8" s="18" t="n">
        <f aca="false">EH5-EH6</f>
        <v>-5.15085571749041E-011</v>
      </c>
      <c r="EI8" s="18" t="n">
        <f aca="false">EI5-EI6</f>
        <v>-5.18090237584244E-011</v>
      </c>
      <c r="EJ8" s="18" t="n">
        <f aca="false">EJ5-EJ6</f>
        <v>-5.21112430636818E-011</v>
      </c>
      <c r="EK8" s="18" t="n">
        <f aca="false">EK5-EK6</f>
        <v>-5.24152253148866E-011</v>
      </c>
      <c r="EL8" s="18" t="n">
        <f aca="false">EL5-EL6</f>
        <v>-5.27209807958901E-011</v>
      </c>
      <c r="EM8" s="18" t="n">
        <f aca="false">EM5-EM6</f>
        <v>-5.30285198505328E-011</v>
      </c>
      <c r="EN8" s="18" t="n">
        <f aca="false">EN5-EN6</f>
        <v>-5.33378528829943E-011</v>
      </c>
      <c r="EO8" s="18" t="n">
        <f aca="false">EO5-EO6</f>
        <v>-5.36489903581451E-011</v>
      </c>
      <c r="EP8" s="18" t="n">
        <f aca="false">EP5-EP6</f>
        <v>-5.39619428019009E-011</v>
      </c>
      <c r="EQ8" s="18" t="n">
        <f aca="false">EQ5-EQ6</f>
        <v>-5.42767208015787E-011</v>
      </c>
      <c r="ER8" s="18" t="n">
        <f aca="false">ER5-ER6</f>
        <v>-5.45933350062545E-011</v>
      </c>
      <c r="ES8" s="18" t="n">
        <f aca="false">ES5-ES6</f>
        <v>-5.49117961271244E-011</v>
      </c>
      <c r="ET8" s="18" t="n">
        <f aca="false">ET5-ET6</f>
        <v>-5.52321149378659E-011</v>
      </c>
      <c r="EU8" s="18" t="n">
        <f aca="false">EU5-EU6</f>
        <v>-5.55543022750035E-011</v>
      </c>
      <c r="EV8" s="18" t="n">
        <f aca="false">EV5-EV6</f>
        <v>-5.58783690382743E-011</v>
      </c>
      <c r="EW8" s="18" t="n">
        <f aca="false">EW5-EW6</f>
        <v>-5.62043261909976E-011</v>
      </c>
      <c r="EX8" s="18" t="n">
        <f aca="false">EX5-EX6</f>
        <v>-5.65321847604451E-011</v>
      </c>
      <c r="EY8" s="18" t="n">
        <f aca="false">EY5-EY6</f>
        <v>-5.68619558382143E-011</v>
      </c>
      <c r="EZ8" s="18" t="n">
        <f aca="false">EZ5-EZ6</f>
        <v>-5.71936505806039E-011</v>
      </c>
      <c r="FA8" s="18" t="n">
        <f aca="false">FA5-FA6</f>
        <v>-5.75272802089908E-011</v>
      </c>
      <c r="FB8" s="18" t="n">
        <f aca="false">FB5-FB6</f>
        <v>-5.78628560102099E-011</v>
      </c>
      <c r="FC8" s="18" t="n">
        <f aca="false">FC5-FC6</f>
        <v>-5.82003893369361E-011</v>
      </c>
      <c r="FD8" s="18" t="n">
        <f aca="false">FD5-FD6</f>
        <v>-5.85398916080682E-011</v>
      </c>
      <c r="FE8" s="18" t="n">
        <f aca="false">FE5-FE6</f>
        <v>-5.88813743091153E-011</v>
      </c>
      <c r="FF8" s="18" t="n">
        <f aca="false">FF5-FF6</f>
        <v>-5.92248489925851E-011</v>
      </c>
      <c r="FG8" s="18" t="n">
        <f aca="false">FG5-FG6</f>
        <v>-5.95703272783752E-011</v>
      </c>
      <c r="FH8" s="18" t="n">
        <f aca="false">FH5-FH6</f>
        <v>-5.99178208541658E-011</v>
      </c>
      <c r="FI8" s="18" t="n">
        <f aca="false">FI5-FI6</f>
        <v>-6.0267341475815E-011</v>
      </c>
      <c r="FJ8" s="18" t="n">
        <f aca="false">FJ5-FJ6</f>
        <v>-6.06189009677573E-011</v>
      </c>
      <c r="FK8" s="18" t="n">
        <f aca="false">FK5-FK6</f>
        <v>-6.09725112234025E-011</v>
      </c>
      <c r="FL8" s="18" t="n">
        <f aca="false">FL5-FL6</f>
        <v>-6.13281842055391E-011</v>
      </c>
      <c r="FM8" s="18" t="n">
        <f aca="false">FM5-FM6</f>
        <v>-6.1685931946738E-011</v>
      </c>
      <c r="FN8" s="18" t="n">
        <f aca="false">FN5-FN6</f>
        <v>-6.20457665497607E-011</v>
      </c>
      <c r="FO8" s="18" t="n">
        <f aca="false">FO5-FO6</f>
        <v>-6.24077001879676E-011</v>
      </c>
      <c r="FP8" s="18" t="n">
        <f aca="false">FP5-FP6</f>
        <v>-6.27717451057308E-011</v>
      </c>
      <c r="FQ8" s="18" t="n">
        <f aca="false">FQ5-FQ6</f>
        <v>-6.31379136188475E-011</v>
      </c>
      <c r="FR8" s="18" t="n">
        <f aca="false">FR5-FR6</f>
        <v>-6.35062181149575E-011</v>
      </c>
      <c r="FS8" s="18" t="n">
        <f aca="false">FS5-FS6</f>
        <v>-6.38766710539614E-011</v>
      </c>
      <c r="FT8" s="18" t="n">
        <f aca="false">FT5-FT6</f>
        <v>-6.42492849684428E-011</v>
      </c>
      <c r="FU8" s="18" t="n">
        <f aca="false">FU5-FU6</f>
        <v>-6.46240724640921E-011</v>
      </c>
      <c r="FV8" s="18" t="n">
        <f aca="false">FV5-FV6</f>
        <v>-6.50010462201326E-011</v>
      </c>
      <c r="FW8" s="18" t="n">
        <f aca="false">FW5-FW6</f>
        <v>-6.538021898975E-011</v>
      </c>
      <c r="FX8" s="18" t="n">
        <f aca="false">FX5-FX6</f>
        <v>-6.57616036005236E-011</v>
      </c>
      <c r="FY8" s="18" t="n">
        <f aca="false">FY5-FY6</f>
        <v>-6.614521295486E-011</v>
      </c>
      <c r="FZ8" s="18" t="n">
        <f aca="false">FZ5-FZ6</f>
        <v>-6.653106003043E-011</v>
      </c>
      <c r="GA8" s="18" t="n">
        <f aca="false">GA5-GA6</f>
        <v>-6.69191578806075E-011</v>
      </c>
      <c r="GB8" s="18" t="n">
        <f aca="false">GB5-GB6</f>
        <v>-6.7309519634911E-011</v>
      </c>
      <c r="GC8" s="18" t="n">
        <f aca="false">GC5-GC6</f>
        <v>-6.7702158499448E-011</v>
      </c>
      <c r="GD8" s="18" t="n">
        <f aca="false">GD5-GD6</f>
        <v>-6.80970877573615E-011</v>
      </c>
      <c r="GE8" s="18" t="n">
        <f aca="false">GE5-GE6</f>
        <v>-6.84943207692794E-011</v>
      </c>
      <c r="GF8" s="18" t="n">
        <f aca="false">GF5-GF6</f>
        <v>-6.88938709737669E-011</v>
      </c>
      <c r="GG8" s="18" t="n">
        <f aca="false">GG5-GG6</f>
        <v>-6.92957518877805E-011</v>
      </c>
      <c r="GH8" s="18" t="n">
        <f aca="false">GH5-GH6</f>
        <v>-6.96999771071259E-011</v>
      </c>
      <c r="GI8" s="18" t="n">
        <f aca="false">GI5-GI6</f>
        <v>-7.01065603069175E-011</v>
      </c>
      <c r="GJ8" s="18" t="n">
        <f aca="false">GJ5-GJ6</f>
        <v>-7.05155152420412E-011</v>
      </c>
      <c r="GK8" s="18" t="n">
        <f aca="false">GK5-GK6</f>
        <v>-7.09268557476197E-011</v>
      </c>
      <c r="GL8" s="18" t="n">
        <f aca="false">GL5-GL6</f>
        <v>-7.13405957394808E-011</v>
      </c>
      <c r="GM8" s="18" t="n">
        <f aca="false">GM5-GM6</f>
        <v>-7.17567492146278E-011</v>
      </c>
      <c r="GN8" s="18" t="n">
        <f aca="false">GN5-GN6</f>
        <v>-7.21753302517132E-011</v>
      </c>
      <c r="GO8" s="18" t="n">
        <f aca="false">GO5-GO6</f>
        <v>-7.25963530115148E-011</v>
      </c>
      <c r="GP8" s="18" t="n">
        <f aca="false">GP5-GP6</f>
        <v>-7.30198317374153E-011</v>
      </c>
      <c r="GQ8" s="18" t="n">
        <f aca="false">GQ5-GQ6</f>
        <v>-7.34457807558836E-011</v>
      </c>
      <c r="GR8" s="18" t="n">
        <f aca="false">GR5-GR6</f>
        <v>-7.38742144769595E-011</v>
      </c>
      <c r="GS8" s="18" t="n">
        <f aca="false">GS5-GS6</f>
        <v>-7.43051473947418E-011</v>
      </c>
      <c r="GT8" s="18" t="n">
        <f aca="false">GT5-GT6</f>
        <v>-7.47385940878778E-011</v>
      </c>
      <c r="GU8" s="18" t="n">
        <f aca="false">GU5-GU6</f>
        <v>-7.51745692200571E-011</v>
      </c>
      <c r="GV8" s="18" t="n">
        <f aca="false">GV5-GV6</f>
        <v>-7.56130875405074E-011</v>
      </c>
      <c r="GW8" s="18" t="n">
        <f aca="false">GW5-GW6</f>
        <v>-7.60541638844937E-011</v>
      </c>
      <c r="GX8" s="18" t="n">
        <f aca="false">GX5-GX6</f>
        <v>-7.64978131738199E-011</v>
      </c>
      <c r="GY8" s="18" t="n">
        <f aca="false">GY5-GY6</f>
        <v>-7.69440504173339E-011</v>
      </c>
      <c r="GZ8" s="18" t="n">
        <f aca="false">GZ5-GZ6</f>
        <v>-7.7392890711435E-011</v>
      </c>
      <c r="HA8" s="18" t="n">
        <f aca="false">HA5-HA6</f>
        <v>-7.7844349240585E-011</v>
      </c>
      <c r="HB8" s="18" t="n">
        <f aca="false">HB5-HB6</f>
        <v>-7.82984412778218E-011</v>
      </c>
      <c r="HC8" s="18" t="n">
        <f aca="false">HC5-HC6</f>
        <v>-7.87551821852757E-011</v>
      </c>
      <c r="HD8" s="18" t="n">
        <f aca="false">HD5-HD6</f>
        <v>-7.92145874146898E-011</v>
      </c>
      <c r="HE8" s="18" t="n">
        <f aca="false">HE5-HE6</f>
        <v>-7.96766725079422E-011</v>
      </c>
      <c r="HF8" s="18" t="n">
        <f aca="false">HF5-HF6</f>
        <v>-8.01414530975719E-011</v>
      </c>
      <c r="HG8" s="18" t="n">
        <f aca="false">HG5-HG6</f>
        <v>-8.06089449073077E-011</v>
      </c>
      <c r="HH8" s="18" t="n">
        <f aca="false">HH5-HH6</f>
        <v>-8.10791637526003E-011</v>
      </c>
      <c r="HI8" s="18" t="n">
        <f aca="false">HI5-HI6</f>
        <v>-8.15521255411572E-011</v>
      </c>
      <c r="HJ8" s="18" t="n">
        <f aca="false">HJ5-HJ6</f>
        <v>-8.20278462734806E-011</v>
      </c>
      <c r="HK8" s="18" t="n">
        <f aca="false">HK5-HK6</f>
        <v>-8.25063420434092E-011</v>
      </c>
      <c r="HL8" s="18" t="n">
        <f aca="false">HL5-HL6</f>
        <v>-8.29876290386624E-011</v>
      </c>
      <c r="HM8" s="18" t="n">
        <f aca="false">HM5-HM6</f>
        <v>-8.3471723541388E-011</v>
      </c>
      <c r="HN8" s="18" t="n">
        <f aca="false">HN5-HN6</f>
        <v>-8.39586419287127E-011</v>
      </c>
      <c r="HO8" s="18" t="n">
        <f aca="false">HO5-HO6</f>
        <v>-8.44484006732969E-011</v>
      </c>
      <c r="HP8" s="18" t="n">
        <f aca="false">HP5-HP6</f>
        <v>-8.49410163438911E-011</v>
      </c>
      <c r="HQ8" s="18" t="n">
        <f aca="false">HQ5-HQ6</f>
        <v>-8.54365056058971E-011</v>
      </c>
      <c r="HR8" s="18" t="n">
        <f aca="false">HR5-HR6</f>
        <v>-8.59348852219316E-011</v>
      </c>
      <c r="HS8" s="18" t="n">
        <f aca="false">HS5-HS6</f>
        <v>-8.64361720523928E-011</v>
      </c>
      <c r="HT8" s="18" t="n">
        <f aca="false">HT5-HT6</f>
        <v>-8.69403830560318E-011</v>
      </c>
      <c r="HU8" s="18" t="n">
        <f aca="false">HU5-HU6</f>
        <v>-8.74475352905253E-011</v>
      </c>
      <c r="HV8" s="18" t="n">
        <f aca="false">HV5-HV6</f>
        <v>-8.79576459130534E-011</v>
      </c>
      <c r="HW8" s="18" t="n">
        <f aca="false">HW5-HW6</f>
        <v>-8.84707321808795E-011</v>
      </c>
      <c r="HX8" s="18" t="n">
        <f aca="false">HX5-HX6</f>
        <v>-8.89868114519347E-011</v>
      </c>
      <c r="HY8" s="18" t="n">
        <f aca="false">HY5-HY6</f>
        <v>-8.95059011854043E-011</v>
      </c>
      <c r="HZ8" s="18" t="n">
        <f aca="false">HZ5-HZ6</f>
        <v>-9.00280189423191E-011</v>
      </c>
      <c r="IA8" s="18" t="n">
        <f aca="false">IA5-IA6</f>
        <v>-9.05531823861493E-011</v>
      </c>
      <c r="IB8" s="18" t="n">
        <f aca="false">IB5-IB6</f>
        <v>-9.10814092834019E-011</v>
      </c>
      <c r="IC8" s="18" t="n">
        <f aca="false">IC5-IC6</f>
        <v>-9.16127175042217E-011</v>
      </c>
      <c r="ID8" s="18" t="n">
        <f aca="false">ID5-ID6</f>
        <v>-9.21471250229963E-011</v>
      </c>
      <c r="IE8" s="18" t="n">
        <f aca="false">IE5-IE6</f>
        <v>-9.26846499189638E-011</v>
      </c>
      <c r="IF8" s="18" t="n">
        <f aca="false">IF5-IF6</f>
        <v>-9.32253103768244E-011</v>
      </c>
      <c r="IG8" s="18" t="n">
        <f aca="false">IG5-IG6</f>
        <v>-9.37691246873559E-011</v>
      </c>
      <c r="IH8" s="18" t="n">
        <f aca="false">IH5-IH6</f>
        <v>-9.43161112480322E-011</v>
      </c>
      <c r="II8" s="18" t="n">
        <f aca="false">II5-II6</f>
        <v>-9.48662885636457E-011</v>
      </c>
      <c r="IJ8" s="18" t="n">
        <f aca="false">IJ5-IJ6</f>
        <v>-9.54196752469336E-011</v>
      </c>
      <c r="IK8" s="18" t="n">
        <f aca="false">IK5-IK6</f>
        <v>-9.59762900192074E-011</v>
      </c>
      <c r="IL8" s="18" t="n">
        <f aca="false">IL5-IL6</f>
        <v>-9.65361517109861E-011</v>
      </c>
      <c r="IM8" s="18" t="n">
        <f aca="false">IM5-IM6</f>
        <v>-9.70992792626335E-011</v>
      </c>
      <c r="IN8" s="18" t="n">
        <f aca="false">IN5-IN6</f>
        <v>-9.76656917249989E-011</v>
      </c>
      <c r="IO8" s="18" t="n">
        <f aca="false">IO5-IO6</f>
        <v>-9.82354082600614E-011</v>
      </c>
      <c r="IP8" s="18" t="n">
        <f aca="false">IP5-IP6</f>
        <v>-9.88084481415784E-011</v>
      </c>
      <c r="IQ8" s="18" t="n">
        <f aca="false">IQ5-IQ6</f>
        <v>-9.93848307557376E-011</v>
      </c>
      <c r="IR8" s="18" t="n">
        <f aca="false">IR5-IR6</f>
        <v>-9.99645756018127E-011</v>
      </c>
      <c r="IS8" s="18" t="n">
        <f aca="false">IS5-IS6</f>
        <v>-1.00547702292823E-010</v>
      </c>
      <c r="IT8" s="18" t="n">
        <f aca="false">IT5-IT6</f>
        <v>-1.01134230556198E-010</v>
      </c>
      <c r="IU8" s="18" t="n">
        <f aca="false">IU5-IU6</f>
        <v>-1.01724180234443E-010</v>
      </c>
      <c r="IV8" s="18" t="n">
        <f aca="false">IV5-IV6</f>
        <v>-1.0231757128581E-010</v>
      </c>
      <c r="IW8" s="18" t="n">
        <f aca="false">IW5-IW6</f>
        <v>-1.02914423784977E-010</v>
      </c>
      <c r="IX8" s="18" t="n">
        <f aca="false">IX5-IX6</f>
        <v>-1.03514757923723E-010</v>
      </c>
      <c r="IY8" s="18" t="n">
        <f aca="false">IY5-IY6</f>
        <v>-1.04118594011612E-010</v>
      </c>
      <c r="IZ8" s="18" t="n">
        <f aca="false">IZ5-IZ6</f>
        <v>-1.04725952476679E-010</v>
      </c>
      <c r="JA8" s="18" t="n">
        <f aca="false">JA5-JA6</f>
        <v>-1.05336853866127E-010</v>
      </c>
      <c r="JB8" s="18" t="n">
        <f aca="false">JB5-JB6</f>
        <v>-1.05951318847012E-010</v>
      </c>
      <c r="JC8" s="18" t="n">
        <f aca="false">JC5-JC6</f>
        <v>-1.06569368206953E-010</v>
      </c>
      <c r="JD8" s="18" t="n">
        <f aca="false">JD5-JD6</f>
        <v>-1.07191022854827E-010</v>
      </c>
      <c r="JE8" s="18" t="n">
        <f aca="false">JE5-JE6</f>
        <v>-1.0781630382148E-010</v>
      </c>
      <c r="JF8" s="18" t="n">
        <f aca="false">JF5-JF6</f>
        <v>-1.08445232260439E-010</v>
      </c>
      <c r="JG8" s="18" t="n">
        <f aca="false">JG5-JG6</f>
        <v>-1.09077829448625E-010</v>
      </c>
      <c r="JH8" s="18" t="n">
        <f aca="false">JH5-JH6</f>
        <v>-1.09714116787075E-010</v>
      </c>
      <c r="JI8" s="18" t="n">
        <f aca="false">JI5-JI6</f>
        <v>-1.10354115801666E-010</v>
      </c>
      <c r="JJ8" s="18" t="n">
        <f aca="false">JJ5-JJ6</f>
        <v>-1.10997848143843E-010</v>
      </c>
      <c r="JK8" s="18" t="n">
        <f aca="false">JK5-JK6</f>
        <v>-1.11645335591348E-010</v>
      </c>
      <c r="JL8" s="18" t="n">
        <f aca="false">JL5-JL6</f>
        <v>-1.12296600048965E-010</v>
      </c>
      <c r="JM8" s="18" t="n">
        <f aca="false">JM5-JM6</f>
        <v>-1.1295166354925E-010</v>
      </c>
      <c r="JN8" s="18" t="n">
        <f aca="false">JN5-JN6</f>
        <v>-1.13610548253288E-010</v>
      </c>
      <c r="JO8" s="18" t="n">
        <f aca="false">JO5-JO6</f>
        <v>-1.14273276451432E-010</v>
      </c>
      <c r="JP8" s="18" t="n">
        <f aca="false">JP5-JP6</f>
        <v>-1.14939870564065E-010</v>
      </c>
      <c r="JQ8" s="18" t="n">
        <f aca="false">JQ5-JQ6</f>
        <v>-1.15610353142355E-010</v>
      </c>
      <c r="JR8" s="18" t="n">
        <f aca="false">JR5-JR6</f>
        <v>-1.16284746869019E-010</v>
      </c>
      <c r="JS8" s="18" t="n">
        <f aca="false">JS5-JS6</f>
        <v>-1.16963074559089E-010</v>
      </c>
      <c r="JT8" s="18" t="n">
        <f aca="false">JT5-JT6</f>
        <v>-1.17645359160683E-010</v>
      </c>
      <c r="JU8" s="18" t="n">
        <f aca="false">JU5-JU6</f>
        <v>-1.18331623755787E-010</v>
      </c>
      <c r="JV8" s="18" t="n">
        <f aca="false">JV5-JV6</f>
        <v>-1.19021891561029E-010</v>
      </c>
      <c r="JW8" s="18" t="n">
        <f aca="false">JW5-JW6</f>
        <v>-1.19716185928469E-010</v>
      </c>
      <c r="JX8" s="18" t="n">
        <f aca="false">JX5-JX6</f>
        <v>-1.20414530346385E-010</v>
      </c>
      <c r="JY8" s="18" t="n">
        <f aca="false">JY5-JY6</f>
        <v>-1.21116948440072E-010</v>
      </c>
      <c r="JZ8" s="18" t="n">
        <f aca="false">JZ5-JZ6</f>
        <v>-1.21823463972639E-010</v>
      </c>
      <c r="KA8" s="18" t="n">
        <f aca="false">KA5-KA6</f>
        <v>-1.22534100845813E-010</v>
      </c>
      <c r="KB8" s="18" t="n">
        <f aca="false">KB5-KB6</f>
        <v>-1.23248883100747E-010</v>
      </c>
      <c r="KC8" s="18" t="n">
        <f aca="false">KC5-KC6</f>
        <v>-1.23967834918834E-010</v>
      </c>
      <c r="KD8" s="18" t="n">
        <f aca="false">KD5-KD6</f>
        <v>-1.24690980622528E-010</v>
      </c>
      <c r="KE8" s="18" t="n">
        <f aca="false">KE5-KE6</f>
        <v>-1.25418344676159E-010</v>
      </c>
      <c r="KF8" s="18" t="n">
        <f aca="false">KF5-KF6</f>
        <v>-1.2614995168677E-010</v>
      </c>
      <c r="KG8" s="18" t="n">
        <f aca="false">KG5-KG6</f>
        <v>-1.26885826404943E-010</v>
      </c>
      <c r="KH8" s="18" t="n">
        <f aca="false">KH5-KH6</f>
        <v>-1.27625993725638E-010</v>
      </c>
      <c r="KI8" s="18" t="n">
        <f aca="false">KI5-KI6</f>
        <v>-1.28370478689038E-010</v>
      </c>
      <c r="KJ8" s="18" t="n">
        <f aca="false">KJ5-KJ6</f>
        <v>-1.2911930648139E-010</v>
      </c>
      <c r="KK8" s="18" t="n">
        <f aca="false">KK5-KK6</f>
        <v>-1.29872502435865E-010</v>
      </c>
      <c r="KL8" s="18" t="n">
        <f aca="false">KL5-KL6</f>
        <v>-1.30630092033408E-010</v>
      </c>
      <c r="KM8" s="18" t="n">
        <f aca="false">KM5-KM6</f>
        <v>-1.31392100903603E-010</v>
      </c>
      <c r="KN8" s="18" t="n">
        <f aca="false">KN5-KN6</f>
        <v>-1.3215855482554E-010</v>
      </c>
      <c r="KO8" s="18" t="n">
        <f aca="false">KO5-KO6</f>
        <v>-1.32929479728689E-010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35"/>
    <col collapsed="false" customWidth="true" hidden="false" outlineLevel="0" max="302" min="2" style="0" width="12"/>
  </cols>
  <sheetData>
    <row r="1" customFormat="false" ht="18" hidden="false" customHeight="true" outlineLevel="0" collapsed="false">
      <c r="A1" s="13" t="s">
        <v>414</v>
      </c>
    </row>
    <row r="3" customFormat="false" ht="14.25" hidden="false" customHeight="false" outlineLevel="0" collapsed="false">
      <c r="A3" s="16" t="s">
        <v>78</v>
      </c>
      <c r="B3" s="17" t="s">
        <v>415</v>
      </c>
      <c r="C3" s="17" t="s">
        <v>79</v>
      </c>
      <c r="D3" s="17" t="s">
        <v>80</v>
      </c>
      <c r="E3" s="17" t="s">
        <v>81</v>
      </c>
      <c r="F3" s="17" t="s">
        <v>82</v>
      </c>
      <c r="G3" s="17" t="s">
        <v>83</v>
      </c>
      <c r="H3" s="17" t="s">
        <v>84</v>
      </c>
      <c r="I3" s="17" t="s">
        <v>85</v>
      </c>
      <c r="J3" s="17" t="s">
        <v>86</v>
      </c>
      <c r="K3" s="17" t="s">
        <v>87</v>
      </c>
      <c r="L3" s="17" t="s">
        <v>88</v>
      </c>
      <c r="M3" s="17" t="s">
        <v>89</v>
      </c>
      <c r="N3" s="17" t="s">
        <v>90</v>
      </c>
      <c r="O3" s="17" t="s">
        <v>91</v>
      </c>
      <c r="P3" s="17" t="s">
        <v>92</v>
      </c>
      <c r="Q3" s="17" t="s">
        <v>93</v>
      </c>
      <c r="R3" s="17" t="s">
        <v>94</v>
      </c>
      <c r="S3" s="17" t="s">
        <v>95</v>
      </c>
      <c r="T3" s="17" t="s">
        <v>96</v>
      </c>
      <c r="U3" s="17" t="s">
        <v>97</v>
      </c>
      <c r="V3" s="17" t="s">
        <v>98</v>
      </c>
      <c r="W3" s="17" t="s">
        <v>99</v>
      </c>
      <c r="X3" s="17" t="s">
        <v>100</v>
      </c>
      <c r="Y3" s="17" t="s">
        <v>101</v>
      </c>
      <c r="Z3" s="17" t="s">
        <v>102</v>
      </c>
      <c r="AA3" s="17" t="s">
        <v>103</v>
      </c>
      <c r="AB3" s="17" t="s">
        <v>104</v>
      </c>
      <c r="AC3" s="17" t="s">
        <v>105</v>
      </c>
      <c r="AD3" s="17" t="s">
        <v>106</v>
      </c>
      <c r="AE3" s="17" t="s">
        <v>107</v>
      </c>
      <c r="AF3" s="17" t="s">
        <v>108</v>
      </c>
      <c r="AG3" s="17" t="s">
        <v>109</v>
      </c>
      <c r="AH3" s="17" t="s">
        <v>110</v>
      </c>
      <c r="AI3" s="17" t="s">
        <v>111</v>
      </c>
      <c r="AJ3" s="17" t="s">
        <v>112</v>
      </c>
      <c r="AK3" s="17" t="s">
        <v>113</v>
      </c>
      <c r="AL3" s="17" t="s">
        <v>114</v>
      </c>
      <c r="AM3" s="17" t="s">
        <v>115</v>
      </c>
      <c r="AN3" s="17" t="s">
        <v>116</v>
      </c>
      <c r="AO3" s="17" t="s">
        <v>117</v>
      </c>
      <c r="AP3" s="17" t="s">
        <v>118</v>
      </c>
      <c r="AQ3" s="17" t="s">
        <v>119</v>
      </c>
      <c r="AR3" s="17" t="s">
        <v>120</v>
      </c>
      <c r="AS3" s="17" t="s">
        <v>121</v>
      </c>
      <c r="AT3" s="17" t="s">
        <v>122</v>
      </c>
      <c r="AU3" s="17" t="s">
        <v>123</v>
      </c>
      <c r="AV3" s="17" t="s">
        <v>124</v>
      </c>
      <c r="AW3" s="17" t="s">
        <v>125</v>
      </c>
      <c r="AX3" s="17" t="s">
        <v>126</v>
      </c>
      <c r="AY3" s="17" t="s">
        <v>127</v>
      </c>
      <c r="AZ3" s="17" t="s">
        <v>128</v>
      </c>
      <c r="BA3" s="17" t="s">
        <v>129</v>
      </c>
      <c r="BB3" s="17" t="s">
        <v>130</v>
      </c>
      <c r="BC3" s="17" t="s">
        <v>131</v>
      </c>
      <c r="BD3" s="17" t="s">
        <v>132</v>
      </c>
      <c r="BE3" s="17" t="s">
        <v>133</v>
      </c>
      <c r="BF3" s="17" t="s">
        <v>134</v>
      </c>
      <c r="BG3" s="17" t="s">
        <v>135</v>
      </c>
      <c r="BH3" s="17" t="s">
        <v>136</v>
      </c>
      <c r="BI3" s="17" t="s">
        <v>137</v>
      </c>
      <c r="BJ3" s="17" t="s">
        <v>138</v>
      </c>
      <c r="BK3" s="17" t="s">
        <v>139</v>
      </c>
      <c r="BL3" s="17" t="s">
        <v>140</v>
      </c>
      <c r="BM3" s="17" t="s">
        <v>141</v>
      </c>
      <c r="BN3" s="17" t="s">
        <v>142</v>
      </c>
      <c r="BO3" s="17" t="s">
        <v>143</v>
      </c>
      <c r="BP3" s="17" t="s">
        <v>144</v>
      </c>
      <c r="BQ3" s="17" t="s">
        <v>145</v>
      </c>
      <c r="BR3" s="17" t="s">
        <v>146</v>
      </c>
      <c r="BS3" s="17" t="s">
        <v>147</v>
      </c>
      <c r="BT3" s="17" t="s">
        <v>148</v>
      </c>
      <c r="BU3" s="17" t="s">
        <v>149</v>
      </c>
      <c r="BV3" s="17" t="s">
        <v>150</v>
      </c>
      <c r="BW3" s="17" t="s">
        <v>151</v>
      </c>
      <c r="BX3" s="17" t="s">
        <v>152</v>
      </c>
      <c r="BY3" s="17" t="s">
        <v>153</v>
      </c>
      <c r="BZ3" s="17" t="s">
        <v>154</v>
      </c>
      <c r="CA3" s="17" t="s">
        <v>155</v>
      </c>
      <c r="CB3" s="17" t="s">
        <v>156</v>
      </c>
      <c r="CC3" s="17" t="s">
        <v>157</v>
      </c>
      <c r="CD3" s="17" t="s">
        <v>158</v>
      </c>
      <c r="CE3" s="17" t="s">
        <v>159</v>
      </c>
      <c r="CF3" s="17" t="s">
        <v>160</v>
      </c>
      <c r="CG3" s="17" t="s">
        <v>161</v>
      </c>
      <c r="CH3" s="17" t="s">
        <v>162</v>
      </c>
      <c r="CI3" s="17" t="s">
        <v>163</v>
      </c>
      <c r="CJ3" s="17" t="s">
        <v>164</v>
      </c>
      <c r="CK3" s="17" t="s">
        <v>165</v>
      </c>
      <c r="CL3" s="17" t="s">
        <v>166</v>
      </c>
      <c r="CM3" s="17" t="s">
        <v>167</v>
      </c>
      <c r="CN3" s="17" t="s">
        <v>168</v>
      </c>
      <c r="CO3" s="17" t="s">
        <v>169</v>
      </c>
      <c r="CP3" s="17" t="s">
        <v>170</v>
      </c>
      <c r="CQ3" s="17" t="s">
        <v>171</v>
      </c>
      <c r="CR3" s="17" t="s">
        <v>172</v>
      </c>
      <c r="CS3" s="17" t="s">
        <v>173</v>
      </c>
      <c r="CT3" s="17" t="s">
        <v>174</v>
      </c>
      <c r="CU3" s="17" t="s">
        <v>175</v>
      </c>
      <c r="CV3" s="17" t="s">
        <v>176</v>
      </c>
      <c r="CW3" s="17" t="s">
        <v>177</v>
      </c>
      <c r="CX3" s="17" t="s">
        <v>178</v>
      </c>
      <c r="CY3" s="17" t="s">
        <v>179</v>
      </c>
      <c r="CZ3" s="17" t="s">
        <v>180</v>
      </c>
      <c r="DA3" s="17" t="s">
        <v>181</v>
      </c>
      <c r="DB3" s="17" t="s">
        <v>182</v>
      </c>
      <c r="DC3" s="17" t="s">
        <v>183</v>
      </c>
      <c r="DD3" s="17" t="s">
        <v>184</v>
      </c>
      <c r="DE3" s="17" t="s">
        <v>185</v>
      </c>
      <c r="DF3" s="17" t="s">
        <v>186</v>
      </c>
      <c r="DG3" s="17" t="s">
        <v>187</v>
      </c>
      <c r="DH3" s="17" t="s">
        <v>188</v>
      </c>
      <c r="DI3" s="17" t="s">
        <v>189</v>
      </c>
      <c r="DJ3" s="17" t="s">
        <v>190</v>
      </c>
      <c r="DK3" s="17" t="s">
        <v>191</v>
      </c>
      <c r="DL3" s="17" t="s">
        <v>192</v>
      </c>
      <c r="DM3" s="17" t="s">
        <v>193</v>
      </c>
      <c r="DN3" s="17" t="s">
        <v>194</v>
      </c>
      <c r="DO3" s="17" t="s">
        <v>195</v>
      </c>
      <c r="DP3" s="17" t="s">
        <v>196</v>
      </c>
      <c r="DQ3" s="17" t="s">
        <v>197</v>
      </c>
      <c r="DR3" s="17" t="s">
        <v>198</v>
      </c>
      <c r="DS3" s="17" t="s">
        <v>199</v>
      </c>
      <c r="DT3" s="17" t="s">
        <v>200</v>
      </c>
      <c r="DU3" s="17" t="s">
        <v>201</v>
      </c>
      <c r="DV3" s="17" t="s">
        <v>202</v>
      </c>
      <c r="DW3" s="17" t="s">
        <v>203</v>
      </c>
      <c r="DX3" s="17" t="s">
        <v>204</v>
      </c>
      <c r="DY3" s="17" t="s">
        <v>205</v>
      </c>
      <c r="DZ3" s="17" t="s">
        <v>206</v>
      </c>
      <c r="EA3" s="17" t="s">
        <v>207</v>
      </c>
      <c r="EB3" s="17" t="s">
        <v>208</v>
      </c>
      <c r="EC3" s="17" t="s">
        <v>209</v>
      </c>
      <c r="ED3" s="17" t="s">
        <v>210</v>
      </c>
      <c r="EE3" s="17" t="s">
        <v>211</v>
      </c>
      <c r="EF3" s="17" t="s">
        <v>212</v>
      </c>
      <c r="EG3" s="17" t="s">
        <v>213</v>
      </c>
      <c r="EH3" s="17" t="s">
        <v>214</v>
      </c>
      <c r="EI3" s="17" t="s">
        <v>215</v>
      </c>
      <c r="EJ3" s="17" t="s">
        <v>216</v>
      </c>
      <c r="EK3" s="17" t="s">
        <v>217</v>
      </c>
      <c r="EL3" s="17" t="s">
        <v>218</v>
      </c>
      <c r="EM3" s="17" t="s">
        <v>219</v>
      </c>
      <c r="EN3" s="17" t="s">
        <v>220</v>
      </c>
      <c r="EO3" s="17" t="s">
        <v>221</v>
      </c>
      <c r="EP3" s="17" t="s">
        <v>222</v>
      </c>
      <c r="EQ3" s="17" t="s">
        <v>223</v>
      </c>
      <c r="ER3" s="17" t="s">
        <v>224</v>
      </c>
      <c r="ES3" s="17" t="s">
        <v>225</v>
      </c>
      <c r="ET3" s="17" t="s">
        <v>226</v>
      </c>
      <c r="EU3" s="17" t="s">
        <v>227</v>
      </c>
      <c r="EV3" s="17" t="s">
        <v>228</v>
      </c>
      <c r="EW3" s="17" t="s">
        <v>229</v>
      </c>
      <c r="EX3" s="17" t="s">
        <v>230</v>
      </c>
      <c r="EY3" s="17" t="s">
        <v>231</v>
      </c>
      <c r="EZ3" s="17" t="s">
        <v>232</v>
      </c>
      <c r="FA3" s="17" t="s">
        <v>233</v>
      </c>
      <c r="FB3" s="17" t="s">
        <v>234</v>
      </c>
      <c r="FC3" s="17" t="s">
        <v>235</v>
      </c>
      <c r="FD3" s="17" t="s">
        <v>236</v>
      </c>
      <c r="FE3" s="17" t="s">
        <v>237</v>
      </c>
      <c r="FF3" s="17" t="s">
        <v>238</v>
      </c>
      <c r="FG3" s="17" t="s">
        <v>239</v>
      </c>
      <c r="FH3" s="17" t="s">
        <v>240</v>
      </c>
      <c r="FI3" s="17" t="s">
        <v>241</v>
      </c>
      <c r="FJ3" s="17" t="s">
        <v>242</v>
      </c>
      <c r="FK3" s="17" t="s">
        <v>243</v>
      </c>
      <c r="FL3" s="17" t="s">
        <v>244</v>
      </c>
      <c r="FM3" s="17" t="s">
        <v>245</v>
      </c>
      <c r="FN3" s="17" t="s">
        <v>246</v>
      </c>
      <c r="FO3" s="17" t="s">
        <v>247</v>
      </c>
      <c r="FP3" s="17" t="s">
        <v>248</v>
      </c>
      <c r="FQ3" s="17" t="s">
        <v>249</v>
      </c>
      <c r="FR3" s="17" t="s">
        <v>250</v>
      </c>
      <c r="FS3" s="17" t="s">
        <v>251</v>
      </c>
      <c r="FT3" s="17" t="s">
        <v>252</v>
      </c>
      <c r="FU3" s="17" t="s">
        <v>253</v>
      </c>
      <c r="FV3" s="17" t="s">
        <v>254</v>
      </c>
      <c r="FW3" s="17" t="s">
        <v>255</v>
      </c>
      <c r="FX3" s="17" t="s">
        <v>256</v>
      </c>
      <c r="FY3" s="17" t="s">
        <v>257</v>
      </c>
      <c r="FZ3" s="17" t="s">
        <v>258</v>
      </c>
      <c r="GA3" s="17" t="s">
        <v>259</v>
      </c>
      <c r="GB3" s="17" t="s">
        <v>260</v>
      </c>
      <c r="GC3" s="17" t="s">
        <v>261</v>
      </c>
      <c r="GD3" s="17" t="s">
        <v>262</v>
      </c>
      <c r="GE3" s="17" t="s">
        <v>263</v>
      </c>
      <c r="GF3" s="17" t="s">
        <v>264</v>
      </c>
      <c r="GG3" s="17" t="s">
        <v>265</v>
      </c>
      <c r="GH3" s="17" t="s">
        <v>266</v>
      </c>
      <c r="GI3" s="17" t="s">
        <v>267</v>
      </c>
      <c r="GJ3" s="17" t="s">
        <v>268</v>
      </c>
      <c r="GK3" s="17" t="s">
        <v>269</v>
      </c>
      <c r="GL3" s="17" t="s">
        <v>270</v>
      </c>
      <c r="GM3" s="17" t="s">
        <v>271</v>
      </c>
      <c r="GN3" s="17" t="s">
        <v>272</v>
      </c>
      <c r="GO3" s="17" t="s">
        <v>273</v>
      </c>
      <c r="GP3" s="17" t="s">
        <v>274</v>
      </c>
      <c r="GQ3" s="17" t="s">
        <v>275</v>
      </c>
      <c r="GR3" s="17" t="s">
        <v>276</v>
      </c>
      <c r="GS3" s="17" t="s">
        <v>277</v>
      </c>
      <c r="GT3" s="17" t="s">
        <v>278</v>
      </c>
      <c r="GU3" s="17" t="s">
        <v>279</v>
      </c>
      <c r="GV3" s="17" t="s">
        <v>280</v>
      </c>
      <c r="GW3" s="17" t="s">
        <v>281</v>
      </c>
      <c r="GX3" s="17" t="s">
        <v>282</v>
      </c>
      <c r="GY3" s="17" t="s">
        <v>283</v>
      </c>
      <c r="GZ3" s="17" t="s">
        <v>284</v>
      </c>
      <c r="HA3" s="17" t="s">
        <v>285</v>
      </c>
      <c r="HB3" s="17" t="s">
        <v>286</v>
      </c>
      <c r="HC3" s="17" t="s">
        <v>287</v>
      </c>
      <c r="HD3" s="17" t="s">
        <v>288</v>
      </c>
      <c r="HE3" s="17" t="s">
        <v>289</v>
      </c>
      <c r="HF3" s="17" t="s">
        <v>290</v>
      </c>
      <c r="HG3" s="17" t="s">
        <v>291</v>
      </c>
      <c r="HH3" s="17" t="s">
        <v>292</v>
      </c>
      <c r="HI3" s="17" t="s">
        <v>293</v>
      </c>
      <c r="HJ3" s="17" t="s">
        <v>294</v>
      </c>
      <c r="HK3" s="17" t="s">
        <v>295</v>
      </c>
      <c r="HL3" s="17" t="s">
        <v>296</v>
      </c>
      <c r="HM3" s="17" t="s">
        <v>297</v>
      </c>
      <c r="HN3" s="17" t="s">
        <v>298</v>
      </c>
      <c r="HO3" s="17" t="s">
        <v>299</v>
      </c>
      <c r="HP3" s="17" t="s">
        <v>300</v>
      </c>
      <c r="HQ3" s="17" t="s">
        <v>301</v>
      </c>
      <c r="HR3" s="17" t="s">
        <v>302</v>
      </c>
      <c r="HS3" s="17" t="s">
        <v>303</v>
      </c>
      <c r="HT3" s="17" t="s">
        <v>304</v>
      </c>
      <c r="HU3" s="17" t="s">
        <v>305</v>
      </c>
      <c r="HV3" s="17" t="s">
        <v>306</v>
      </c>
      <c r="HW3" s="17" t="s">
        <v>307</v>
      </c>
      <c r="HX3" s="17" t="s">
        <v>308</v>
      </c>
      <c r="HY3" s="17" t="s">
        <v>309</v>
      </c>
      <c r="HZ3" s="17" t="s">
        <v>310</v>
      </c>
      <c r="IA3" s="17" t="s">
        <v>311</v>
      </c>
      <c r="IB3" s="17" t="s">
        <v>312</v>
      </c>
      <c r="IC3" s="17" t="s">
        <v>313</v>
      </c>
      <c r="ID3" s="17" t="s">
        <v>314</v>
      </c>
      <c r="IE3" s="17" t="s">
        <v>315</v>
      </c>
      <c r="IF3" s="17" t="s">
        <v>316</v>
      </c>
      <c r="IG3" s="17" t="s">
        <v>317</v>
      </c>
      <c r="IH3" s="17" t="s">
        <v>318</v>
      </c>
      <c r="II3" s="17" t="s">
        <v>319</v>
      </c>
      <c r="IJ3" s="17" t="s">
        <v>320</v>
      </c>
      <c r="IK3" s="17" t="s">
        <v>321</v>
      </c>
      <c r="IL3" s="17" t="s">
        <v>322</v>
      </c>
      <c r="IM3" s="17" t="s">
        <v>323</v>
      </c>
      <c r="IN3" s="17" t="s">
        <v>324</v>
      </c>
      <c r="IO3" s="17" t="s">
        <v>325</v>
      </c>
      <c r="IP3" s="17" t="s">
        <v>326</v>
      </c>
      <c r="IQ3" s="17" t="s">
        <v>327</v>
      </c>
      <c r="IR3" s="17" t="s">
        <v>328</v>
      </c>
      <c r="IS3" s="17" t="s">
        <v>329</v>
      </c>
      <c r="IT3" s="17" t="s">
        <v>330</v>
      </c>
      <c r="IU3" s="17" t="s">
        <v>331</v>
      </c>
      <c r="IV3" s="17" t="s">
        <v>332</v>
      </c>
      <c r="IW3" s="17" t="s">
        <v>333</v>
      </c>
      <c r="IX3" s="17" t="s">
        <v>334</v>
      </c>
      <c r="IY3" s="17" t="s">
        <v>335</v>
      </c>
      <c r="IZ3" s="17" t="s">
        <v>336</v>
      </c>
      <c r="JA3" s="17" t="s">
        <v>337</v>
      </c>
      <c r="JB3" s="17" t="s">
        <v>338</v>
      </c>
      <c r="JC3" s="17" t="s">
        <v>339</v>
      </c>
      <c r="JD3" s="17" t="s">
        <v>340</v>
      </c>
      <c r="JE3" s="17" t="s">
        <v>341</v>
      </c>
      <c r="JF3" s="17" t="s">
        <v>342</v>
      </c>
      <c r="JG3" s="17" t="s">
        <v>343</v>
      </c>
      <c r="JH3" s="17" t="s">
        <v>344</v>
      </c>
      <c r="JI3" s="17" t="s">
        <v>345</v>
      </c>
      <c r="JJ3" s="17" t="s">
        <v>346</v>
      </c>
      <c r="JK3" s="17" t="s">
        <v>347</v>
      </c>
      <c r="JL3" s="17" t="s">
        <v>348</v>
      </c>
      <c r="JM3" s="17" t="s">
        <v>349</v>
      </c>
      <c r="JN3" s="17" t="s">
        <v>350</v>
      </c>
      <c r="JO3" s="17" t="s">
        <v>351</v>
      </c>
      <c r="JP3" s="17" t="s">
        <v>352</v>
      </c>
      <c r="JQ3" s="17" t="s">
        <v>353</v>
      </c>
      <c r="JR3" s="17" t="s">
        <v>354</v>
      </c>
      <c r="JS3" s="17" t="s">
        <v>355</v>
      </c>
      <c r="JT3" s="17" t="s">
        <v>356</v>
      </c>
      <c r="JU3" s="17" t="s">
        <v>357</v>
      </c>
      <c r="JV3" s="17" t="s">
        <v>358</v>
      </c>
      <c r="JW3" s="17" t="s">
        <v>359</v>
      </c>
      <c r="JX3" s="17" t="s">
        <v>360</v>
      </c>
      <c r="JY3" s="17" t="s">
        <v>361</v>
      </c>
      <c r="JZ3" s="17" t="s">
        <v>362</v>
      </c>
      <c r="KA3" s="17" t="s">
        <v>363</v>
      </c>
      <c r="KB3" s="17" t="s">
        <v>364</v>
      </c>
      <c r="KC3" s="17" t="s">
        <v>365</v>
      </c>
      <c r="KD3" s="17" t="s">
        <v>366</v>
      </c>
      <c r="KE3" s="17" t="s">
        <v>367</v>
      </c>
      <c r="KF3" s="17" t="s">
        <v>368</v>
      </c>
      <c r="KG3" s="17" t="s">
        <v>369</v>
      </c>
      <c r="KH3" s="17" t="s">
        <v>370</v>
      </c>
      <c r="KI3" s="17" t="s">
        <v>371</v>
      </c>
      <c r="KJ3" s="17" t="s">
        <v>372</v>
      </c>
      <c r="KK3" s="17" t="s">
        <v>373</v>
      </c>
      <c r="KL3" s="17" t="s">
        <v>374</v>
      </c>
      <c r="KM3" s="17" t="s">
        <v>375</v>
      </c>
      <c r="KN3" s="17" t="s">
        <v>376</v>
      </c>
      <c r="KO3" s="17" t="s">
        <v>377</v>
      </c>
      <c r="KP3" s="17" t="s">
        <v>378</v>
      </c>
    </row>
    <row r="4" customFormat="false" ht="14.25" hidden="false" customHeight="false" outlineLevel="0" collapsed="false">
      <c r="A4" s="0" t="s">
        <v>416</v>
      </c>
      <c r="B4" s="21" t="n">
        <v>0</v>
      </c>
      <c r="C4" s="22" t="n">
        <f aca="false">'Estado de Resultados'!B11</f>
        <v>-575666.666666667</v>
      </c>
      <c r="D4" s="22" t="n">
        <f aca="false">'Estado de Resultados'!C11</f>
        <v>-575666.666666667</v>
      </c>
      <c r="E4" s="22" t="n">
        <f aca="false">'Estado de Resultados'!D11</f>
        <v>-575666.666666667</v>
      </c>
      <c r="F4" s="22" t="n">
        <f aca="false">'Estado de Resultados'!E11</f>
        <v>-575666.666666667</v>
      </c>
      <c r="G4" s="22" t="n">
        <f aca="false">'Estado de Resultados'!F11</f>
        <v>-575666.666666667</v>
      </c>
      <c r="H4" s="22" t="n">
        <f aca="false">'Estado de Resultados'!G11</f>
        <v>-575666.666666667</v>
      </c>
      <c r="I4" s="22" t="n">
        <f aca="false">'Estado de Resultados'!H11</f>
        <v>-575666.666666667</v>
      </c>
      <c r="J4" s="22" t="n">
        <f aca="false">'Estado de Resultados'!I11</f>
        <v>-575666.666666667</v>
      </c>
      <c r="K4" s="22" t="n">
        <f aca="false">'Estado de Resultados'!J11</f>
        <v>-575666.666666667</v>
      </c>
      <c r="L4" s="22" t="n">
        <f aca="false">'Estado de Resultados'!K11</f>
        <v>-575666.666666667</v>
      </c>
      <c r="M4" s="22" t="n">
        <f aca="false">'Estado de Resultados'!L11</f>
        <v>-575666.666666667</v>
      </c>
      <c r="N4" s="22" t="n">
        <f aca="false">'Estado de Resultados'!M11</f>
        <v>-575666.666666667</v>
      </c>
      <c r="O4" s="22" t="n">
        <f aca="false">'Estado de Resultados'!N11</f>
        <v>-103796.666666667</v>
      </c>
      <c r="P4" s="22" t="n">
        <f aca="false">'Estado de Resultados'!O11</f>
        <v>-103796.666666667</v>
      </c>
      <c r="Q4" s="22" t="n">
        <f aca="false">'Estado de Resultados'!P11</f>
        <v>-103796.666666667</v>
      </c>
      <c r="R4" s="22" t="n">
        <f aca="false">'Estado de Resultados'!Q11</f>
        <v>-103796.666666667</v>
      </c>
      <c r="S4" s="22" t="n">
        <f aca="false">'Estado de Resultados'!R11</f>
        <v>-103796.666666667</v>
      </c>
      <c r="T4" s="22" t="n">
        <f aca="false">'Estado de Resultados'!S11</f>
        <v>-103796.666666667</v>
      </c>
      <c r="U4" s="22" t="n">
        <f aca="false">'Estado de Resultados'!T11</f>
        <v>-103796.666666667</v>
      </c>
      <c r="V4" s="22" t="n">
        <f aca="false">'Estado de Resultados'!U11</f>
        <v>-103796.666666667</v>
      </c>
      <c r="W4" s="22" t="n">
        <f aca="false">'Estado de Resultados'!V11</f>
        <v>-103796.666666667</v>
      </c>
      <c r="X4" s="22" t="n">
        <f aca="false">'Estado de Resultados'!W11</f>
        <v>-103796.666666667</v>
      </c>
      <c r="Y4" s="22" t="n">
        <f aca="false">'Estado de Resultados'!X11</f>
        <v>-103796.666666667</v>
      </c>
      <c r="Z4" s="22" t="n">
        <f aca="false">'Estado de Resultados'!Y11</f>
        <v>-103796.666666667</v>
      </c>
      <c r="AA4" s="22" t="n">
        <f aca="false">'Estado de Resultados'!Z11</f>
        <v>401104.233333334</v>
      </c>
      <c r="AB4" s="22" t="n">
        <f aca="false">'Estado de Resultados'!AA11</f>
        <v>401104.233333334</v>
      </c>
      <c r="AC4" s="22" t="n">
        <f aca="false">'Estado de Resultados'!AB11</f>
        <v>401104.233333334</v>
      </c>
      <c r="AD4" s="22" t="n">
        <f aca="false">'Estado de Resultados'!AC11</f>
        <v>401104.233333334</v>
      </c>
      <c r="AE4" s="22" t="n">
        <f aca="false">'Estado de Resultados'!AD11</f>
        <v>401104.233333334</v>
      </c>
      <c r="AF4" s="22" t="n">
        <f aca="false">'Estado de Resultados'!AE11</f>
        <v>401104.233333334</v>
      </c>
      <c r="AG4" s="22" t="n">
        <f aca="false">'Estado de Resultados'!AF11</f>
        <v>401104.233333334</v>
      </c>
      <c r="AH4" s="22" t="n">
        <f aca="false">'Estado de Resultados'!AG11</f>
        <v>401104.233333334</v>
      </c>
      <c r="AI4" s="22" t="n">
        <f aca="false">'Estado de Resultados'!AH11</f>
        <v>401104.233333334</v>
      </c>
      <c r="AJ4" s="22" t="n">
        <f aca="false">'Estado de Resultados'!AI11</f>
        <v>401104.233333334</v>
      </c>
      <c r="AK4" s="22" t="n">
        <f aca="false">'Estado de Resultados'!AJ11</f>
        <v>401104.233333334</v>
      </c>
      <c r="AL4" s="22" t="n">
        <f aca="false">'Estado de Resultados'!AK11</f>
        <v>401104.233333334</v>
      </c>
      <c r="AM4" s="22" t="n">
        <f aca="false">'Estado de Resultados'!AL11</f>
        <v>941348.196333334</v>
      </c>
      <c r="AN4" s="22" t="n">
        <f aca="false">'Estado de Resultados'!AM11</f>
        <v>941348.196333334</v>
      </c>
      <c r="AO4" s="22" t="n">
        <f aca="false">'Estado de Resultados'!AN11</f>
        <v>941348.196333334</v>
      </c>
      <c r="AP4" s="22" t="n">
        <f aca="false">'Estado de Resultados'!AO11</f>
        <v>941348.196333334</v>
      </c>
      <c r="AQ4" s="22" t="n">
        <f aca="false">'Estado de Resultados'!AP11</f>
        <v>941348.196333334</v>
      </c>
      <c r="AR4" s="22" t="n">
        <f aca="false">'Estado de Resultados'!AQ11</f>
        <v>941348.196333334</v>
      </c>
      <c r="AS4" s="22" t="n">
        <f aca="false">'Estado de Resultados'!AR11</f>
        <v>941348.196333334</v>
      </c>
      <c r="AT4" s="22" t="n">
        <f aca="false">'Estado de Resultados'!AS11</f>
        <v>941348.196333334</v>
      </c>
      <c r="AU4" s="22" t="n">
        <f aca="false">'Estado de Resultados'!AT11</f>
        <v>941348.196333334</v>
      </c>
      <c r="AV4" s="22" t="n">
        <f aca="false">'Estado de Resultados'!AU11</f>
        <v>941348.196333334</v>
      </c>
      <c r="AW4" s="22" t="n">
        <f aca="false">'Estado de Resultados'!AV11</f>
        <v>941348.196333334</v>
      </c>
      <c r="AX4" s="22" t="n">
        <f aca="false">'Estado de Resultados'!AW11</f>
        <v>941348.196333334</v>
      </c>
      <c r="AY4" s="22" t="n">
        <f aca="false">'Estado de Resultados'!AX11</f>
        <v>1519409.23674334</v>
      </c>
      <c r="AZ4" s="22" t="n">
        <f aca="false">'Estado de Resultados'!AY11</f>
        <v>1519409.23674334</v>
      </c>
      <c r="BA4" s="22" t="n">
        <f aca="false">'Estado de Resultados'!AZ11</f>
        <v>1519409.23674334</v>
      </c>
      <c r="BB4" s="22" t="n">
        <f aca="false">'Estado de Resultados'!BA11</f>
        <v>1519409.23674334</v>
      </c>
      <c r="BC4" s="22" t="n">
        <f aca="false">'Estado de Resultados'!BB11</f>
        <v>1519409.23674334</v>
      </c>
      <c r="BD4" s="22" t="n">
        <f aca="false">'Estado de Resultados'!BC11</f>
        <v>1519409.23674334</v>
      </c>
      <c r="BE4" s="22" t="n">
        <f aca="false">'Estado de Resultados'!BD11</f>
        <v>1519409.23674334</v>
      </c>
      <c r="BF4" s="22" t="n">
        <f aca="false">'Estado de Resultados'!BE11</f>
        <v>1519409.23674334</v>
      </c>
      <c r="BG4" s="22" t="n">
        <f aca="false">'Estado de Resultados'!BF11</f>
        <v>1519409.23674334</v>
      </c>
      <c r="BH4" s="22" t="n">
        <f aca="false">'Estado de Resultados'!BG11</f>
        <v>1519409.23674334</v>
      </c>
      <c r="BI4" s="22" t="n">
        <f aca="false">'Estado de Resultados'!BH11</f>
        <v>1519409.23674334</v>
      </c>
      <c r="BJ4" s="22" t="n">
        <f aca="false">'Estado de Resultados'!BI11</f>
        <v>1519409.23674334</v>
      </c>
      <c r="BK4" s="22" t="n">
        <f aca="false">'Estado de Resultados'!BJ11</f>
        <v>2137934.54998204</v>
      </c>
      <c r="BL4" s="22" t="n">
        <f aca="false">'Estado de Resultados'!BK11</f>
        <v>2137934.54998204</v>
      </c>
      <c r="BM4" s="22" t="n">
        <f aca="false">'Estado de Resultados'!BL11</f>
        <v>2137934.54998204</v>
      </c>
      <c r="BN4" s="22" t="n">
        <f aca="false">'Estado de Resultados'!BM11</f>
        <v>2137934.54998204</v>
      </c>
      <c r="BO4" s="22" t="n">
        <f aca="false">'Estado de Resultados'!BN11</f>
        <v>2137934.54998204</v>
      </c>
      <c r="BP4" s="22" t="n">
        <f aca="false">'Estado de Resultados'!BO11</f>
        <v>2137934.54998204</v>
      </c>
      <c r="BQ4" s="22" t="n">
        <f aca="false">'Estado de Resultados'!BP11</f>
        <v>2137934.54998204</v>
      </c>
      <c r="BR4" s="22" t="n">
        <f aca="false">'Estado de Resultados'!BQ11</f>
        <v>2137934.54998204</v>
      </c>
      <c r="BS4" s="22" t="n">
        <f aca="false">'Estado de Resultados'!BR11</f>
        <v>2137934.54998204</v>
      </c>
      <c r="BT4" s="22" t="n">
        <f aca="false">'Estado de Resultados'!BS11</f>
        <v>2137934.54998204</v>
      </c>
      <c r="BU4" s="22" t="n">
        <f aca="false">'Estado de Resultados'!BT11</f>
        <v>2137934.54998204</v>
      </c>
      <c r="BV4" s="22" t="n">
        <f aca="false">'Estado de Resultados'!BU11</f>
        <v>2137934.54998204</v>
      </c>
      <c r="BW4" s="22" t="n">
        <f aca="false">'Estado de Resultados'!BV11</f>
        <v>2799756.63514745</v>
      </c>
      <c r="BX4" s="22" t="n">
        <f aca="false">'Estado de Resultados'!BW11</f>
        <v>2799756.63514745</v>
      </c>
      <c r="BY4" s="22" t="n">
        <f aca="false">'Estado de Resultados'!BX11</f>
        <v>2799756.63514745</v>
      </c>
      <c r="BZ4" s="22" t="n">
        <f aca="false">'Estado de Resultados'!BY11</f>
        <v>2799756.63514745</v>
      </c>
      <c r="CA4" s="22" t="n">
        <f aca="false">'Estado de Resultados'!BZ11</f>
        <v>2799756.63514745</v>
      </c>
      <c r="CB4" s="22" t="n">
        <f aca="false">'Estado de Resultados'!CA11</f>
        <v>2799756.63514745</v>
      </c>
      <c r="CC4" s="22" t="n">
        <f aca="false">'Estado de Resultados'!CB11</f>
        <v>2799756.63514745</v>
      </c>
      <c r="CD4" s="22" t="n">
        <f aca="false">'Estado de Resultados'!CC11</f>
        <v>2799756.63514745</v>
      </c>
      <c r="CE4" s="22" t="n">
        <f aca="false">'Estado de Resultados'!CD11</f>
        <v>2799756.63514745</v>
      </c>
      <c r="CF4" s="22" t="n">
        <f aca="false">'Estado de Resultados'!CE11</f>
        <v>2799756.63514745</v>
      </c>
      <c r="CG4" s="22" t="n">
        <f aca="false">'Estado de Resultados'!CF11</f>
        <v>2799756.63514745</v>
      </c>
      <c r="CH4" s="22" t="n">
        <f aca="false">'Estado de Resultados'!CG11</f>
        <v>2799756.63514745</v>
      </c>
      <c r="CI4" s="22" t="n">
        <f aca="false">'Estado de Resultados'!CH11</f>
        <v>3507906.26627444</v>
      </c>
      <c r="CJ4" s="22" t="n">
        <f aca="false">'Estado de Resultados'!CI11</f>
        <v>3507906.26627444</v>
      </c>
      <c r="CK4" s="22" t="n">
        <f aca="false">'Estado de Resultados'!CJ11</f>
        <v>3507906.26627444</v>
      </c>
      <c r="CL4" s="22" t="n">
        <f aca="false">'Estado de Resultados'!CK11</f>
        <v>3507906.26627444</v>
      </c>
      <c r="CM4" s="22" t="n">
        <f aca="false">'Estado de Resultados'!CL11</f>
        <v>3507906.26627444</v>
      </c>
      <c r="CN4" s="22" t="n">
        <f aca="false">'Estado de Resultados'!CM11</f>
        <v>3507906.26627444</v>
      </c>
      <c r="CO4" s="22" t="n">
        <f aca="false">'Estado de Resultados'!CN11</f>
        <v>3507906.26627444</v>
      </c>
      <c r="CP4" s="22" t="n">
        <f aca="false">'Estado de Resultados'!CO11</f>
        <v>3507906.26627444</v>
      </c>
      <c r="CQ4" s="22" t="n">
        <f aca="false">'Estado de Resultados'!CP11</f>
        <v>3507906.26627444</v>
      </c>
      <c r="CR4" s="22" t="n">
        <f aca="false">'Estado de Resultados'!CQ11</f>
        <v>3507906.26627444</v>
      </c>
      <c r="CS4" s="22" t="n">
        <f aca="false">'Estado de Resultados'!CR11</f>
        <v>3507906.26627444</v>
      </c>
      <c r="CT4" s="22" t="n">
        <f aca="false">'Estado de Resultados'!CS11</f>
        <v>3507906.26627444</v>
      </c>
      <c r="CU4" s="22" t="n">
        <f aca="false">'Estado de Resultados'!CT11</f>
        <v>4265626.37158031</v>
      </c>
      <c r="CV4" s="22" t="n">
        <f aca="false">'Estado de Resultados'!CU11</f>
        <v>4265626.37158031</v>
      </c>
      <c r="CW4" s="22" t="n">
        <f aca="false">'Estado de Resultados'!CV11</f>
        <v>4265626.37158031</v>
      </c>
      <c r="CX4" s="22" t="n">
        <f aca="false">'Estado de Resultados'!CW11</f>
        <v>4265626.37158031</v>
      </c>
      <c r="CY4" s="22" t="n">
        <f aca="false">'Estado de Resultados'!CX11</f>
        <v>4265626.37158031</v>
      </c>
      <c r="CZ4" s="22" t="n">
        <f aca="false">'Estado de Resultados'!CY11</f>
        <v>4265626.37158031</v>
      </c>
      <c r="DA4" s="22" t="n">
        <f aca="false">'Estado de Resultados'!CZ11</f>
        <v>4265626.37158031</v>
      </c>
      <c r="DB4" s="22" t="n">
        <f aca="false">'Estado de Resultados'!DA11</f>
        <v>4265626.37158031</v>
      </c>
      <c r="DC4" s="22" t="n">
        <f aca="false">'Estado de Resultados'!DB11</f>
        <v>4265626.37158031</v>
      </c>
      <c r="DD4" s="22" t="n">
        <f aca="false">'Estado de Resultados'!DC11</f>
        <v>4265626.37158031</v>
      </c>
      <c r="DE4" s="22" t="n">
        <f aca="false">'Estado de Resultados'!DD11</f>
        <v>4265626.37158031</v>
      </c>
      <c r="DF4" s="22" t="n">
        <f aca="false">'Estado de Resultados'!DE11</f>
        <v>4265626.37158031</v>
      </c>
      <c r="DG4" s="22" t="n">
        <f aca="false">'Estado de Resultados'!DF11</f>
        <v>5076386.8842576</v>
      </c>
      <c r="DH4" s="22" t="n">
        <f aca="false">'Estado de Resultados'!DG11</f>
        <v>5076386.8842576</v>
      </c>
      <c r="DI4" s="22" t="n">
        <f aca="false">'Estado de Resultados'!DH11</f>
        <v>5076386.8842576</v>
      </c>
      <c r="DJ4" s="22" t="n">
        <f aca="false">'Estado de Resultados'!DI11</f>
        <v>5076386.8842576</v>
      </c>
      <c r="DK4" s="22" t="n">
        <f aca="false">'Estado de Resultados'!DJ11</f>
        <v>5076386.8842576</v>
      </c>
      <c r="DL4" s="22" t="n">
        <f aca="false">'Estado de Resultados'!DK11</f>
        <v>5076386.8842576</v>
      </c>
      <c r="DM4" s="22" t="n">
        <f aca="false">'Estado de Resultados'!DL11</f>
        <v>5076386.8842576</v>
      </c>
      <c r="DN4" s="22" t="n">
        <f aca="false">'Estado de Resultados'!DM11</f>
        <v>5076386.8842576</v>
      </c>
      <c r="DO4" s="22" t="n">
        <f aca="false">'Estado de Resultados'!DN11</f>
        <v>5076386.8842576</v>
      </c>
      <c r="DP4" s="22" t="n">
        <f aca="false">'Estado de Resultados'!DO11</f>
        <v>5076386.8842576</v>
      </c>
      <c r="DQ4" s="22" t="n">
        <f aca="false">'Estado de Resultados'!DP11</f>
        <v>5076386.8842576</v>
      </c>
      <c r="DR4" s="22" t="n">
        <f aca="false">'Estado de Resultados'!DQ11</f>
        <v>5076386.8842576</v>
      </c>
      <c r="DS4" s="22" t="n">
        <f aca="false">'Estado de Resultados'!DR11</f>
        <v>6360567.29948897</v>
      </c>
      <c r="DT4" s="22" t="n">
        <f aca="false">'Estado de Resultados'!DS11</f>
        <v>6360567.29948897</v>
      </c>
      <c r="DU4" s="22" t="n">
        <f aca="false">'Estado de Resultados'!DT11</f>
        <v>6360567.29948897</v>
      </c>
      <c r="DV4" s="22" t="n">
        <f aca="false">'Estado de Resultados'!DU11</f>
        <v>6360567.29948897</v>
      </c>
      <c r="DW4" s="22" t="n">
        <f aca="false">'Estado de Resultados'!DV11</f>
        <v>6360567.29948897</v>
      </c>
      <c r="DX4" s="22" t="n">
        <f aca="false">'Estado de Resultados'!DW11</f>
        <v>6360567.29948897</v>
      </c>
      <c r="DY4" s="22" t="n">
        <f aca="false">'Estado de Resultados'!DX11</f>
        <v>6360567.29948897</v>
      </c>
      <c r="DZ4" s="22" t="n">
        <f aca="false">'Estado de Resultados'!DY11</f>
        <v>6360567.29948897</v>
      </c>
      <c r="EA4" s="22" t="n">
        <f aca="false">'Estado de Resultados'!DZ11</f>
        <v>6360567.29948897</v>
      </c>
      <c r="EB4" s="22" t="n">
        <f aca="false">'Estado de Resultados'!EA11</f>
        <v>6360567.29948897</v>
      </c>
      <c r="EC4" s="22" t="n">
        <f aca="false">'Estado de Resultados'!EB11</f>
        <v>6360567.29948897</v>
      </c>
      <c r="ED4" s="22" t="n">
        <f aca="false">'Estado de Resultados'!EC11</f>
        <v>6360567.29948897</v>
      </c>
      <c r="EE4" s="22" t="n">
        <f aca="false">'Estado de Resultados'!ED11</f>
        <v>7288807.0104532</v>
      </c>
      <c r="EF4" s="22" t="n">
        <f aca="false">'Estado de Resultados'!EE11</f>
        <v>7288807.0104532</v>
      </c>
      <c r="EG4" s="22" t="n">
        <f aca="false">'Estado de Resultados'!EF11</f>
        <v>7288807.0104532</v>
      </c>
      <c r="EH4" s="22" t="n">
        <f aca="false">'Estado de Resultados'!EG11</f>
        <v>7288807.0104532</v>
      </c>
      <c r="EI4" s="22" t="n">
        <f aca="false">'Estado de Resultados'!EH11</f>
        <v>7288807.0104532</v>
      </c>
      <c r="EJ4" s="22" t="n">
        <f aca="false">'Estado de Resultados'!EI11</f>
        <v>7288807.0104532</v>
      </c>
      <c r="EK4" s="22" t="n">
        <f aca="false">'Estado de Resultados'!EJ11</f>
        <v>7288807.0104532</v>
      </c>
      <c r="EL4" s="22" t="n">
        <f aca="false">'Estado de Resultados'!EK11</f>
        <v>7288807.0104532</v>
      </c>
      <c r="EM4" s="22" t="n">
        <f aca="false">'Estado de Resultados'!EL11</f>
        <v>7288807.0104532</v>
      </c>
      <c r="EN4" s="22" t="n">
        <f aca="false">'Estado de Resultados'!EM11</f>
        <v>7288807.0104532</v>
      </c>
      <c r="EO4" s="22" t="n">
        <f aca="false">'Estado de Resultados'!EN11</f>
        <v>7288807.0104532</v>
      </c>
      <c r="EP4" s="22" t="n">
        <f aca="false">'Estado de Resultados'!EO11</f>
        <v>7288807.0104532</v>
      </c>
      <c r="EQ4" s="22" t="n">
        <f aca="false">'Estado de Resultados'!EP11</f>
        <v>8282023.50118492</v>
      </c>
      <c r="ER4" s="22" t="n">
        <f aca="false">'Estado de Resultados'!EQ11</f>
        <v>8282023.50118492</v>
      </c>
      <c r="ES4" s="22" t="n">
        <f aca="false">'Estado de Resultados'!ER11</f>
        <v>8282023.50118492</v>
      </c>
      <c r="ET4" s="22" t="n">
        <f aca="false">'Estado de Resultados'!ES11</f>
        <v>8282023.50118492</v>
      </c>
      <c r="EU4" s="22" t="n">
        <f aca="false">'Estado de Resultados'!ET11</f>
        <v>8282023.50118492</v>
      </c>
      <c r="EV4" s="22" t="n">
        <f aca="false">'Estado de Resultados'!EU11</f>
        <v>8282023.50118492</v>
      </c>
      <c r="EW4" s="22" t="n">
        <f aca="false">'Estado de Resultados'!EV11</f>
        <v>8282023.50118492</v>
      </c>
      <c r="EX4" s="22" t="n">
        <f aca="false">'Estado de Resultados'!EW11</f>
        <v>8282023.50118492</v>
      </c>
      <c r="EY4" s="22" t="n">
        <f aca="false">'Estado de Resultados'!EX11</f>
        <v>8282023.50118492</v>
      </c>
      <c r="EZ4" s="22" t="n">
        <f aca="false">'Estado de Resultados'!EY11</f>
        <v>8282023.50118492</v>
      </c>
      <c r="FA4" s="22" t="n">
        <f aca="false">'Estado de Resultados'!EZ11</f>
        <v>8282023.50118492</v>
      </c>
      <c r="FB4" s="22" t="n">
        <f aca="false">'Estado de Resultados'!FA11</f>
        <v>8282023.50118492</v>
      </c>
      <c r="FC4" s="22" t="n">
        <f aca="false">'Estado de Resultados'!FB11</f>
        <v>9344765.14626787</v>
      </c>
      <c r="FD4" s="22" t="n">
        <f aca="false">'Estado de Resultados'!FC11</f>
        <v>9344765.14626787</v>
      </c>
      <c r="FE4" s="22" t="n">
        <f aca="false">'Estado de Resultados'!FD11</f>
        <v>9344765.14626787</v>
      </c>
      <c r="FF4" s="22" t="n">
        <f aca="false">'Estado de Resultados'!FE11</f>
        <v>9344765.14626787</v>
      </c>
      <c r="FG4" s="22" t="n">
        <f aca="false">'Estado de Resultados'!FF11</f>
        <v>9344765.14626787</v>
      </c>
      <c r="FH4" s="22" t="n">
        <f aca="false">'Estado de Resultados'!FG11</f>
        <v>9344765.14626787</v>
      </c>
      <c r="FI4" s="22" t="n">
        <f aca="false">'Estado de Resultados'!FH11</f>
        <v>9344765.14626787</v>
      </c>
      <c r="FJ4" s="22" t="n">
        <f aca="false">'Estado de Resultados'!FI11</f>
        <v>9344765.14626787</v>
      </c>
      <c r="FK4" s="22" t="n">
        <f aca="false">'Estado de Resultados'!FJ11</f>
        <v>9344765.14626787</v>
      </c>
      <c r="FL4" s="22" t="n">
        <f aca="false">'Estado de Resultados'!FK11</f>
        <v>9344765.14626787</v>
      </c>
      <c r="FM4" s="22" t="n">
        <f aca="false">'Estado de Resultados'!FL11</f>
        <v>9344765.14626787</v>
      </c>
      <c r="FN4" s="22" t="n">
        <f aca="false">'Estado de Resultados'!FM11</f>
        <v>9344765.14626787</v>
      </c>
      <c r="FO4" s="22" t="n">
        <f aca="false">'Estado de Resultados'!FN11</f>
        <v>10481898.7065066</v>
      </c>
      <c r="FP4" s="22" t="n">
        <f aca="false">'Estado de Resultados'!FO11</f>
        <v>10481898.7065066</v>
      </c>
      <c r="FQ4" s="22" t="n">
        <f aca="false">'Estado de Resultados'!FP11</f>
        <v>10481898.7065066</v>
      </c>
      <c r="FR4" s="22" t="n">
        <f aca="false">'Estado de Resultados'!FQ11</f>
        <v>10481898.7065066</v>
      </c>
      <c r="FS4" s="22" t="n">
        <f aca="false">'Estado de Resultados'!FR11</f>
        <v>10481898.7065066</v>
      </c>
      <c r="FT4" s="22" t="n">
        <f aca="false">'Estado de Resultados'!FS11</f>
        <v>10481898.7065066</v>
      </c>
      <c r="FU4" s="22" t="n">
        <f aca="false">'Estado de Resultados'!FT11</f>
        <v>10481898.7065066</v>
      </c>
      <c r="FV4" s="22" t="n">
        <f aca="false">'Estado de Resultados'!FU11</f>
        <v>10481898.7065066</v>
      </c>
      <c r="FW4" s="22" t="n">
        <f aca="false">'Estado de Resultados'!FV11</f>
        <v>10481898.7065066</v>
      </c>
      <c r="FX4" s="22" t="n">
        <f aca="false">'Estado de Resultados'!FW11</f>
        <v>10481898.7065066</v>
      </c>
      <c r="FY4" s="22" t="n">
        <f aca="false">'Estado de Resultados'!FX11</f>
        <v>10481898.7065066</v>
      </c>
      <c r="FZ4" s="22" t="n">
        <f aca="false">'Estado de Resultados'!FY11</f>
        <v>10481898.7065066</v>
      </c>
      <c r="GA4" s="22" t="n">
        <f aca="false">'Estado de Resultados'!FZ11</f>
        <v>11698631.6159621</v>
      </c>
      <c r="GB4" s="22" t="n">
        <f aca="false">'Estado de Resultados'!GA11</f>
        <v>11698631.6159621</v>
      </c>
      <c r="GC4" s="22" t="n">
        <f aca="false">'Estado de Resultados'!GB11</f>
        <v>11698631.6159621</v>
      </c>
      <c r="GD4" s="22" t="n">
        <f aca="false">'Estado de Resultados'!GC11</f>
        <v>11698631.6159621</v>
      </c>
      <c r="GE4" s="22" t="n">
        <f aca="false">'Estado de Resultados'!GD11</f>
        <v>11698631.6159621</v>
      </c>
      <c r="GF4" s="22" t="n">
        <f aca="false">'Estado de Resultados'!GE11</f>
        <v>11698631.6159621</v>
      </c>
      <c r="GG4" s="22" t="n">
        <f aca="false">'Estado de Resultados'!GF11</f>
        <v>11698631.6159621</v>
      </c>
      <c r="GH4" s="22" t="n">
        <f aca="false">'Estado de Resultados'!GG11</f>
        <v>11698631.6159621</v>
      </c>
      <c r="GI4" s="22" t="n">
        <f aca="false">'Estado de Resultados'!GH11</f>
        <v>11698631.6159621</v>
      </c>
      <c r="GJ4" s="22" t="n">
        <f aca="false">'Estado de Resultados'!GI11</f>
        <v>11698631.6159621</v>
      </c>
      <c r="GK4" s="22" t="n">
        <f aca="false">'Estado de Resultados'!GJ11</f>
        <v>11698631.6159621</v>
      </c>
      <c r="GL4" s="22" t="n">
        <f aca="false">'Estado de Resultados'!GK11</f>
        <v>11698631.6159621</v>
      </c>
      <c r="GM4" s="22" t="n">
        <f aca="false">'Estado de Resultados'!GL11</f>
        <v>13000535.8290794</v>
      </c>
      <c r="GN4" s="22" t="n">
        <f aca="false">'Estado de Resultados'!GM11</f>
        <v>13000535.8290794</v>
      </c>
      <c r="GO4" s="22" t="n">
        <f aca="false">'Estado de Resultados'!GN11</f>
        <v>13000535.8290794</v>
      </c>
      <c r="GP4" s="22" t="n">
        <f aca="false">'Estado de Resultados'!GO11</f>
        <v>13000535.8290794</v>
      </c>
      <c r="GQ4" s="22" t="n">
        <f aca="false">'Estado de Resultados'!GP11</f>
        <v>13000535.8290794</v>
      </c>
      <c r="GR4" s="22" t="n">
        <f aca="false">'Estado de Resultados'!GQ11</f>
        <v>13000535.8290794</v>
      </c>
      <c r="GS4" s="22" t="n">
        <f aca="false">'Estado de Resultados'!GR11</f>
        <v>13000535.8290794</v>
      </c>
      <c r="GT4" s="22" t="n">
        <f aca="false">'Estado de Resultados'!GS11</f>
        <v>13000535.8290794</v>
      </c>
      <c r="GU4" s="22" t="n">
        <f aca="false">'Estado de Resultados'!GT11</f>
        <v>13000535.8290794</v>
      </c>
      <c r="GV4" s="22" t="n">
        <f aca="false">'Estado de Resultados'!GU11</f>
        <v>13000535.8290794</v>
      </c>
      <c r="GW4" s="22" t="n">
        <f aca="false">'Estado de Resultados'!GV11</f>
        <v>13000535.8290794</v>
      </c>
      <c r="GX4" s="22" t="n">
        <f aca="false">'Estado de Resultados'!GW11</f>
        <v>13000535.8290794</v>
      </c>
      <c r="GY4" s="22" t="n">
        <f aca="false">'Estado de Resultados'!GX11</f>
        <v>14393573.337115</v>
      </c>
      <c r="GZ4" s="22" t="n">
        <f aca="false">'Estado de Resultados'!GY11</f>
        <v>14393573.337115</v>
      </c>
      <c r="HA4" s="22" t="n">
        <f aca="false">'Estado de Resultados'!GZ11</f>
        <v>14393573.337115</v>
      </c>
      <c r="HB4" s="22" t="n">
        <f aca="false">'Estado de Resultados'!HA11</f>
        <v>14393573.337115</v>
      </c>
      <c r="HC4" s="22" t="n">
        <f aca="false">'Estado de Resultados'!HB11</f>
        <v>14393573.337115</v>
      </c>
      <c r="HD4" s="22" t="n">
        <f aca="false">'Estado de Resultados'!HC11</f>
        <v>14393573.337115</v>
      </c>
      <c r="HE4" s="22" t="n">
        <f aca="false">'Estado de Resultados'!HD11</f>
        <v>14393573.337115</v>
      </c>
      <c r="HF4" s="22" t="n">
        <f aca="false">'Estado de Resultados'!HE11</f>
        <v>14393573.337115</v>
      </c>
      <c r="HG4" s="22" t="n">
        <f aca="false">'Estado de Resultados'!HF11</f>
        <v>14393573.337115</v>
      </c>
      <c r="HH4" s="22" t="n">
        <f aca="false">'Estado de Resultados'!HG11</f>
        <v>14393573.337115</v>
      </c>
      <c r="HI4" s="22" t="n">
        <f aca="false">'Estado de Resultados'!HH11</f>
        <v>14393573.337115</v>
      </c>
      <c r="HJ4" s="22" t="n">
        <f aca="false">'Estado de Resultados'!HI11</f>
        <v>14393573.337115</v>
      </c>
      <c r="HK4" s="22" t="n">
        <f aca="false">'Estado de Resultados'!HJ11</f>
        <v>15884123.470713</v>
      </c>
      <c r="HL4" s="22" t="n">
        <f aca="false">'Estado de Resultados'!HK11</f>
        <v>15884123.470713</v>
      </c>
      <c r="HM4" s="22" t="n">
        <f aca="false">'Estado de Resultados'!HL11</f>
        <v>15884123.470713</v>
      </c>
      <c r="HN4" s="22" t="n">
        <f aca="false">'Estado de Resultados'!HM11</f>
        <v>15884123.470713</v>
      </c>
      <c r="HO4" s="22" t="n">
        <f aca="false">'Estado de Resultados'!HN11</f>
        <v>15884123.470713</v>
      </c>
      <c r="HP4" s="22" t="n">
        <f aca="false">'Estado de Resultados'!HO11</f>
        <v>15884123.470713</v>
      </c>
      <c r="HQ4" s="22" t="n">
        <f aca="false">'Estado de Resultados'!HP11</f>
        <v>15884123.470713</v>
      </c>
      <c r="HR4" s="22" t="n">
        <f aca="false">'Estado de Resultados'!HQ11</f>
        <v>15884123.470713</v>
      </c>
      <c r="HS4" s="22" t="n">
        <f aca="false">'Estado de Resultados'!HR11</f>
        <v>15884123.470713</v>
      </c>
      <c r="HT4" s="22" t="n">
        <f aca="false">'Estado de Resultados'!HS11</f>
        <v>15884123.470713</v>
      </c>
      <c r="HU4" s="22" t="n">
        <f aca="false">'Estado de Resultados'!HT11</f>
        <v>15884123.470713</v>
      </c>
      <c r="HV4" s="22" t="n">
        <f aca="false">'Estado de Resultados'!HU11</f>
        <v>15884123.470713</v>
      </c>
      <c r="HW4" s="22" t="n">
        <f aca="false">'Estado de Resultados'!HV11</f>
        <v>17479012.113663</v>
      </c>
      <c r="HX4" s="22" t="n">
        <f aca="false">'Estado de Resultados'!HW11</f>
        <v>17479012.113663</v>
      </c>
      <c r="HY4" s="22" t="n">
        <f aca="false">'Estado de Resultados'!HX11</f>
        <v>17479012.113663</v>
      </c>
      <c r="HZ4" s="22" t="n">
        <f aca="false">'Estado de Resultados'!HY11</f>
        <v>17479012.113663</v>
      </c>
      <c r="IA4" s="22" t="n">
        <f aca="false">'Estado de Resultados'!HZ11</f>
        <v>17479012.113663</v>
      </c>
      <c r="IB4" s="22" t="n">
        <f aca="false">'Estado de Resultados'!IA11</f>
        <v>17479012.113663</v>
      </c>
      <c r="IC4" s="22" t="n">
        <f aca="false">'Estado de Resultados'!IB11</f>
        <v>17479012.113663</v>
      </c>
      <c r="ID4" s="22" t="n">
        <f aca="false">'Estado de Resultados'!IC11</f>
        <v>17479012.113663</v>
      </c>
      <c r="IE4" s="22" t="n">
        <f aca="false">'Estado de Resultados'!ID11</f>
        <v>17479012.113663</v>
      </c>
      <c r="IF4" s="22" t="n">
        <f aca="false">'Estado de Resultados'!IE11</f>
        <v>17479012.113663</v>
      </c>
      <c r="IG4" s="22" t="n">
        <f aca="false">'Estado de Resultados'!IF11</f>
        <v>17479012.113663</v>
      </c>
      <c r="IH4" s="22" t="n">
        <f aca="false">'Estado de Resultados'!IG11</f>
        <v>17479012.113663</v>
      </c>
      <c r="II4" s="22" t="n">
        <f aca="false">'Estado de Resultados'!IH11</f>
        <v>19185542.9616194</v>
      </c>
      <c r="IJ4" s="22" t="n">
        <f aca="false">'Estado de Resultados'!II11</f>
        <v>19185542.9616194</v>
      </c>
      <c r="IK4" s="22" t="n">
        <f aca="false">'Estado de Resultados'!IJ11</f>
        <v>19185542.9616194</v>
      </c>
      <c r="IL4" s="22" t="n">
        <f aca="false">'Estado de Resultados'!IK11</f>
        <v>19185542.9616194</v>
      </c>
      <c r="IM4" s="22" t="n">
        <f aca="false">'Estado de Resultados'!IL11</f>
        <v>19185542.9616194</v>
      </c>
      <c r="IN4" s="22" t="n">
        <f aca="false">'Estado de Resultados'!IM11</f>
        <v>19185542.9616194</v>
      </c>
      <c r="IO4" s="22" t="n">
        <f aca="false">'Estado de Resultados'!IN11</f>
        <v>19185542.9616194</v>
      </c>
      <c r="IP4" s="22" t="n">
        <f aca="false">'Estado de Resultados'!IO11</f>
        <v>19185542.9616194</v>
      </c>
      <c r="IQ4" s="22" t="n">
        <f aca="false">'Estado de Resultados'!IP11</f>
        <v>19185542.9616194</v>
      </c>
      <c r="IR4" s="22" t="n">
        <f aca="false">'Estado de Resultados'!IQ11</f>
        <v>19185542.9616194</v>
      </c>
      <c r="IS4" s="22" t="n">
        <f aca="false">'Estado de Resultados'!IR11</f>
        <v>19185542.9616194</v>
      </c>
      <c r="IT4" s="22" t="n">
        <f aca="false">'Estado de Resultados'!IS11</f>
        <v>19185542.9616194</v>
      </c>
      <c r="IU4" s="22" t="n">
        <f aca="false">'Estado de Resultados'!IT11</f>
        <v>21011530.9689327</v>
      </c>
      <c r="IV4" s="22" t="n">
        <f aca="false">'Estado de Resultados'!IU11</f>
        <v>21011530.9689327</v>
      </c>
      <c r="IW4" s="22" t="n">
        <f aca="false">'Estado de Resultados'!IV11</f>
        <v>21011530.9689327</v>
      </c>
      <c r="IX4" s="22" t="n">
        <f aca="false">'Estado de Resultados'!IW11</f>
        <v>21011530.9689327</v>
      </c>
      <c r="IY4" s="22" t="n">
        <f aca="false">'Estado de Resultados'!IX11</f>
        <v>21011530.9689327</v>
      </c>
      <c r="IZ4" s="22" t="n">
        <f aca="false">'Estado de Resultados'!IY11</f>
        <v>21011530.9689327</v>
      </c>
      <c r="JA4" s="22" t="n">
        <f aca="false">'Estado de Resultados'!IZ11</f>
        <v>21011530.9689327</v>
      </c>
      <c r="JB4" s="22" t="n">
        <f aca="false">'Estado de Resultados'!JA11</f>
        <v>21011530.9689327</v>
      </c>
      <c r="JC4" s="22" t="n">
        <f aca="false">'Estado de Resultados'!JB11</f>
        <v>21011530.9689327</v>
      </c>
      <c r="JD4" s="22" t="n">
        <f aca="false">'Estado de Resultados'!JC11</f>
        <v>21011530.9689327</v>
      </c>
      <c r="JE4" s="22" t="n">
        <f aca="false">'Estado de Resultados'!JD11</f>
        <v>21011530.9689327</v>
      </c>
      <c r="JF4" s="22" t="n">
        <f aca="false">'Estado de Resultados'!JE11</f>
        <v>21011530.9689327</v>
      </c>
      <c r="JG4" s="22" t="n">
        <f aca="false">'Estado de Resultados'!JF11</f>
        <v>22965338.136758</v>
      </c>
      <c r="JH4" s="22" t="n">
        <f aca="false">'Estado de Resultados'!JG11</f>
        <v>22965338.136758</v>
      </c>
      <c r="JI4" s="22" t="n">
        <f aca="false">'Estado de Resultados'!JH11</f>
        <v>22965338.136758</v>
      </c>
      <c r="JJ4" s="22" t="n">
        <f aca="false">'Estado de Resultados'!JI11</f>
        <v>22965338.136758</v>
      </c>
      <c r="JK4" s="22" t="n">
        <f aca="false">'Estado de Resultados'!JJ11</f>
        <v>22965338.136758</v>
      </c>
      <c r="JL4" s="22" t="n">
        <f aca="false">'Estado de Resultados'!JK11</f>
        <v>22965338.136758</v>
      </c>
      <c r="JM4" s="22" t="n">
        <f aca="false">'Estado de Resultados'!JL11</f>
        <v>22965338.136758</v>
      </c>
      <c r="JN4" s="22" t="n">
        <f aca="false">'Estado de Resultados'!JM11</f>
        <v>22965338.136758</v>
      </c>
      <c r="JO4" s="22" t="n">
        <f aca="false">'Estado de Resultados'!JN11</f>
        <v>22965338.136758</v>
      </c>
      <c r="JP4" s="22" t="n">
        <f aca="false">'Estado de Resultados'!JO11</f>
        <v>22965338.136758</v>
      </c>
      <c r="JQ4" s="22" t="n">
        <f aca="false">'Estado de Resultados'!JP11</f>
        <v>22965338.136758</v>
      </c>
      <c r="JR4" s="22" t="n">
        <f aca="false">'Estado de Resultados'!JQ11</f>
        <v>22965338.136758</v>
      </c>
      <c r="JS4" s="22" t="n">
        <f aca="false">'Estado de Resultados'!JR11</f>
        <v>25055911.8063311</v>
      </c>
      <c r="JT4" s="22" t="n">
        <f aca="false">'Estado de Resultados'!JS11</f>
        <v>25055911.8063311</v>
      </c>
      <c r="JU4" s="22" t="n">
        <f aca="false">'Estado de Resultados'!JT11</f>
        <v>25055911.8063311</v>
      </c>
      <c r="JV4" s="22" t="n">
        <f aca="false">'Estado de Resultados'!JU11</f>
        <v>25055911.8063311</v>
      </c>
      <c r="JW4" s="22" t="n">
        <f aca="false">'Estado de Resultados'!JV11</f>
        <v>25055911.8063311</v>
      </c>
      <c r="JX4" s="22" t="n">
        <f aca="false">'Estado de Resultados'!JW11</f>
        <v>25055911.8063311</v>
      </c>
      <c r="JY4" s="22" t="n">
        <f aca="false">'Estado de Resultados'!JX11</f>
        <v>25055911.8063311</v>
      </c>
      <c r="JZ4" s="22" t="n">
        <f aca="false">'Estado de Resultados'!JY11</f>
        <v>25055911.8063311</v>
      </c>
      <c r="KA4" s="22" t="n">
        <f aca="false">'Estado de Resultados'!JZ11</f>
        <v>25055911.8063311</v>
      </c>
      <c r="KB4" s="22" t="n">
        <f aca="false">'Estado de Resultados'!KA11</f>
        <v>25055911.8063311</v>
      </c>
      <c r="KC4" s="22" t="n">
        <f aca="false">'Estado de Resultados'!KB11</f>
        <v>25055911.8063311</v>
      </c>
      <c r="KD4" s="22" t="n">
        <f aca="false">'Estado de Resultados'!KC11</f>
        <v>25055911.8063311</v>
      </c>
      <c r="KE4" s="22" t="n">
        <f aca="false">'Estado de Resultados'!KD11</f>
        <v>27292825.6327743</v>
      </c>
      <c r="KF4" s="22" t="n">
        <f aca="false">'Estado de Resultados'!KE11</f>
        <v>27292825.6327743</v>
      </c>
      <c r="KG4" s="22" t="n">
        <f aca="false">'Estado de Resultados'!KF11</f>
        <v>27292825.6327743</v>
      </c>
      <c r="KH4" s="22" t="n">
        <f aca="false">'Estado de Resultados'!KG11</f>
        <v>27292825.6327743</v>
      </c>
      <c r="KI4" s="22" t="n">
        <f aca="false">'Estado de Resultados'!KH11</f>
        <v>27292825.6327743</v>
      </c>
      <c r="KJ4" s="22" t="n">
        <f aca="false">'Estado de Resultados'!KI11</f>
        <v>27292825.6327743</v>
      </c>
      <c r="KK4" s="22" t="n">
        <f aca="false">'Estado de Resultados'!KJ11</f>
        <v>27292825.6327743</v>
      </c>
      <c r="KL4" s="22" t="n">
        <f aca="false">'Estado de Resultados'!KK11</f>
        <v>27292825.6327743</v>
      </c>
      <c r="KM4" s="22" t="n">
        <f aca="false">'Estado de Resultados'!KL11</f>
        <v>27292825.6327743</v>
      </c>
      <c r="KN4" s="22" t="n">
        <f aca="false">'Estado de Resultados'!KM11</f>
        <v>27292825.6327743</v>
      </c>
      <c r="KO4" s="22" t="n">
        <f aca="false">'Estado de Resultados'!KN11</f>
        <v>27292825.6327743</v>
      </c>
      <c r="KP4" s="22" t="n">
        <f aca="false">'Estado de Resultados'!KO11</f>
        <v>27292825.6327743</v>
      </c>
    </row>
    <row r="5" customFormat="false" ht="14.25" hidden="false" customHeight="false" outlineLevel="0" collapsed="false">
      <c r="A5" s="0" t="s">
        <v>417</v>
      </c>
      <c r="B5" s="21" t="n">
        <v>0</v>
      </c>
      <c r="C5" s="18" t="n">
        <f aca="false">IF(C4&gt;0,C4*'Panel de Control'!$B$15,0)</f>
        <v>0</v>
      </c>
      <c r="D5" s="18" t="n">
        <f aca="false">IF(D4&gt;0,D4*'Panel de Control'!$B$15,0)</f>
        <v>0</v>
      </c>
      <c r="E5" s="18" t="n">
        <f aca="false">IF(E4&gt;0,E4*'Panel de Control'!$B$15,0)</f>
        <v>0</v>
      </c>
      <c r="F5" s="18" t="n">
        <f aca="false">IF(F4&gt;0,F4*'Panel de Control'!$B$15,0)</f>
        <v>0</v>
      </c>
      <c r="G5" s="18" t="n">
        <f aca="false">IF(G4&gt;0,G4*'Panel de Control'!$B$15,0)</f>
        <v>0</v>
      </c>
      <c r="H5" s="18" t="n">
        <f aca="false">IF(H4&gt;0,H4*'Panel de Control'!$B$15,0)</f>
        <v>0</v>
      </c>
      <c r="I5" s="18" t="n">
        <f aca="false">IF(I4&gt;0,I4*'Panel de Control'!$B$15,0)</f>
        <v>0</v>
      </c>
      <c r="J5" s="18" t="n">
        <f aca="false">IF(J4&gt;0,J4*'Panel de Control'!$B$15,0)</f>
        <v>0</v>
      </c>
      <c r="K5" s="18" t="n">
        <f aca="false">IF(K4&gt;0,K4*'Panel de Control'!$B$15,0)</f>
        <v>0</v>
      </c>
      <c r="L5" s="18" t="n">
        <f aca="false">IF(L4&gt;0,L4*'Panel de Control'!$B$15,0)</f>
        <v>0</v>
      </c>
      <c r="M5" s="18" t="n">
        <f aca="false">IF(M4&gt;0,M4*'Panel de Control'!$B$15,0)</f>
        <v>0</v>
      </c>
      <c r="N5" s="18" t="n">
        <f aca="false">IF(N4&gt;0,N4*'Panel de Control'!$B$15,0)</f>
        <v>0</v>
      </c>
      <c r="O5" s="18" t="n">
        <f aca="false">IF(O4&gt;0,O4*'Panel de Control'!$B$15,0)</f>
        <v>0</v>
      </c>
      <c r="P5" s="18" t="n">
        <f aca="false">IF(P4&gt;0,P4*'Panel de Control'!$B$15,0)</f>
        <v>0</v>
      </c>
      <c r="Q5" s="18" t="n">
        <f aca="false">IF(Q4&gt;0,Q4*'Panel de Control'!$B$15,0)</f>
        <v>0</v>
      </c>
      <c r="R5" s="18" t="n">
        <f aca="false">IF(R4&gt;0,R4*'Panel de Control'!$B$15,0)</f>
        <v>0</v>
      </c>
      <c r="S5" s="18" t="n">
        <f aca="false">IF(S4&gt;0,S4*'Panel de Control'!$B$15,0)</f>
        <v>0</v>
      </c>
      <c r="T5" s="18" t="n">
        <f aca="false">IF(T4&gt;0,T4*'Panel de Control'!$B$15,0)</f>
        <v>0</v>
      </c>
      <c r="U5" s="18" t="n">
        <f aca="false">IF(U4&gt;0,U4*'Panel de Control'!$B$15,0)</f>
        <v>0</v>
      </c>
      <c r="V5" s="18" t="n">
        <f aca="false">IF(V4&gt;0,V4*'Panel de Control'!$B$15,0)</f>
        <v>0</v>
      </c>
      <c r="W5" s="18" t="n">
        <f aca="false">IF(W4&gt;0,W4*'Panel de Control'!$B$15,0)</f>
        <v>0</v>
      </c>
      <c r="X5" s="18" t="n">
        <f aca="false">IF(X4&gt;0,X4*'Panel de Control'!$B$15,0)</f>
        <v>0</v>
      </c>
      <c r="Y5" s="18" t="n">
        <f aca="false">IF(Y4&gt;0,Y4*'Panel de Control'!$B$15,0)</f>
        <v>0</v>
      </c>
      <c r="Z5" s="18" t="n">
        <f aca="false">IF(Z4&gt;0,Z4*'Panel de Control'!$B$15,0)</f>
        <v>0</v>
      </c>
      <c r="AA5" s="18" t="n">
        <f aca="false">IF(AA4&gt;0,AA4*'Panel de Control'!$B$15,0)</f>
        <v>108298.143</v>
      </c>
      <c r="AB5" s="18" t="n">
        <f aca="false">IF(AB4&gt;0,AB4*'Panel de Control'!$B$15,0)</f>
        <v>108298.143</v>
      </c>
      <c r="AC5" s="18" t="n">
        <f aca="false">IF(AC4&gt;0,AC4*'Panel de Control'!$B$15,0)</f>
        <v>108298.143</v>
      </c>
      <c r="AD5" s="18" t="n">
        <f aca="false">IF(AD4&gt;0,AD4*'Panel de Control'!$B$15,0)</f>
        <v>108298.143</v>
      </c>
      <c r="AE5" s="18" t="n">
        <f aca="false">IF(AE4&gt;0,AE4*'Panel de Control'!$B$15,0)</f>
        <v>108298.143</v>
      </c>
      <c r="AF5" s="18" t="n">
        <f aca="false">IF(AF4&gt;0,AF4*'Panel de Control'!$B$15,0)</f>
        <v>108298.143</v>
      </c>
      <c r="AG5" s="18" t="n">
        <f aca="false">IF(AG4&gt;0,AG4*'Panel de Control'!$B$15,0)</f>
        <v>108298.143</v>
      </c>
      <c r="AH5" s="18" t="n">
        <f aca="false">IF(AH4&gt;0,AH4*'Panel de Control'!$B$15,0)</f>
        <v>108298.143</v>
      </c>
      <c r="AI5" s="18" t="n">
        <f aca="false">IF(AI4&gt;0,AI4*'Panel de Control'!$B$15,0)</f>
        <v>108298.143</v>
      </c>
      <c r="AJ5" s="18" t="n">
        <f aca="false">IF(AJ4&gt;0,AJ4*'Panel de Control'!$B$15,0)</f>
        <v>108298.143</v>
      </c>
      <c r="AK5" s="18" t="n">
        <f aca="false">IF(AK4&gt;0,AK4*'Panel de Control'!$B$15,0)</f>
        <v>108298.143</v>
      </c>
      <c r="AL5" s="18" t="n">
        <f aca="false">IF(AL4&gt;0,AL4*'Panel de Control'!$B$15,0)</f>
        <v>108298.143</v>
      </c>
      <c r="AM5" s="18" t="n">
        <f aca="false">IF(AM4&gt;0,AM4*'Panel de Control'!$B$15,0)</f>
        <v>254164.01301</v>
      </c>
      <c r="AN5" s="18" t="n">
        <f aca="false">IF(AN4&gt;0,AN4*'Panel de Control'!$B$15,0)</f>
        <v>254164.01301</v>
      </c>
      <c r="AO5" s="18" t="n">
        <f aca="false">IF(AO4&gt;0,AO4*'Panel de Control'!$B$15,0)</f>
        <v>254164.01301</v>
      </c>
      <c r="AP5" s="18" t="n">
        <f aca="false">IF(AP4&gt;0,AP4*'Panel de Control'!$B$15,0)</f>
        <v>254164.01301</v>
      </c>
      <c r="AQ5" s="18" t="n">
        <f aca="false">IF(AQ4&gt;0,AQ4*'Panel de Control'!$B$15,0)</f>
        <v>254164.01301</v>
      </c>
      <c r="AR5" s="18" t="n">
        <f aca="false">IF(AR4&gt;0,AR4*'Panel de Control'!$B$15,0)</f>
        <v>254164.01301</v>
      </c>
      <c r="AS5" s="18" t="n">
        <f aca="false">IF(AS4&gt;0,AS4*'Panel de Control'!$B$15,0)</f>
        <v>254164.01301</v>
      </c>
      <c r="AT5" s="18" t="n">
        <f aca="false">IF(AT4&gt;0,AT4*'Panel de Control'!$B$15,0)</f>
        <v>254164.01301</v>
      </c>
      <c r="AU5" s="18" t="n">
        <f aca="false">IF(AU4&gt;0,AU4*'Panel de Control'!$B$15,0)</f>
        <v>254164.01301</v>
      </c>
      <c r="AV5" s="18" t="n">
        <f aca="false">IF(AV4&gt;0,AV4*'Panel de Control'!$B$15,0)</f>
        <v>254164.01301</v>
      </c>
      <c r="AW5" s="18" t="n">
        <f aca="false">IF(AW4&gt;0,AW4*'Panel de Control'!$B$15,0)</f>
        <v>254164.01301</v>
      </c>
      <c r="AX5" s="18" t="n">
        <f aca="false">IF(AX4&gt;0,AX4*'Panel de Control'!$B$15,0)</f>
        <v>254164.01301</v>
      </c>
      <c r="AY5" s="18" t="n">
        <f aca="false">IF(AY4&gt;0,AY4*'Panel de Control'!$B$15,0)</f>
        <v>410240.493920701</v>
      </c>
      <c r="AZ5" s="18" t="n">
        <f aca="false">IF(AZ4&gt;0,AZ4*'Panel de Control'!$B$15,0)</f>
        <v>410240.493920701</v>
      </c>
      <c r="BA5" s="18" t="n">
        <f aca="false">IF(BA4&gt;0,BA4*'Panel de Control'!$B$15,0)</f>
        <v>410240.493920701</v>
      </c>
      <c r="BB5" s="18" t="n">
        <f aca="false">IF(BB4&gt;0,BB4*'Panel de Control'!$B$15,0)</f>
        <v>410240.493920701</v>
      </c>
      <c r="BC5" s="18" t="n">
        <f aca="false">IF(BC4&gt;0,BC4*'Panel de Control'!$B$15,0)</f>
        <v>410240.493920701</v>
      </c>
      <c r="BD5" s="18" t="n">
        <f aca="false">IF(BD4&gt;0,BD4*'Panel de Control'!$B$15,0)</f>
        <v>410240.493920701</v>
      </c>
      <c r="BE5" s="18" t="n">
        <f aca="false">IF(BE4&gt;0,BE4*'Panel de Control'!$B$15,0)</f>
        <v>410240.493920701</v>
      </c>
      <c r="BF5" s="18" t="n">
        <f aca="false">IF(BF4&gt;0,BF4*'Panel de Control'!$B$15,0)</f>
        <v>410240.493920701</v>
      </c>
      <c r="BG5" s="18" t="n">
        <f aca="false">IF(BG4&gt;0,BG4*'Panel de Control'!$B$15,0)</f>
        <v>410240.493920701</v>
      </c>
      <c r="BH5" s="18" t="n">
        <f aca="false">IF(BH4&gt;0,BH4*'Panel de Control'!$B$15,0)</f>
        <v>410240.493920701</v>
      </c>
      <c r="BI5" s="18" t="n">
        <f aca="false">IF(BI4&gt;0,BI4*'Panel de Control'!$B$15,0)</f>
        <v>410240.493920701</v>
      </c>
      <c r="BJ5" s="18" t="n">
        <f aca="false">IF(BJ4&gt;0,BJ4*'Panel de Control'!$B$15,0)</f>
        <v>410240.493920701</v>
      </c>
      <c r="BK5" s="18" t="n">
        <f aca="false">IF(BK4&gt;0,BK4*'Panel de Control'!$B$15,0)</f>
        <v>577242.32849515</v>
      </c>
      <c r="BL5" s="18" t="n">
        <f aca="false">IF(BL4&gt;0,BL4*'Panel de Control'!$B$15,0)</f>
        <v>577242.32849515</v>
      </c>
      <c r="BM5" s="18" t="n">
        <f aca="false">IF(BM4&gt;0,BM4*'Panel de Control'!$B$15,0)</f>
        <v>577242.32849515</v>
      </c>
      <c r="BN5" s="18" t="n">
        <f aca="false">IF(BN4&gt;0,BN4*'Panel de Control'!$B$15,0)</f>
        <v>577242.32849515</v>
      </c>
      <c r="BO5" s="18" t="n">
        <f aca="false">IF(BO4&gt;0,BO4*'Panel de Control'!$B$15,0)</f>
        <v>577242.32849515</v>
      </c>
      <c r="BP5" s="18" t="n">
        <f aca="false">IF(BP4&gt;0,BP4*'Panel de Control'!$B$15,0)</f>
        <v>577242.32849515</v>
      </c>
      <c r="BQ5" s="18" t="n">
        <f aca="false">IF(BQ4&gt;0,BQ4*'Panel de Control'!$B$15,0)</f>
        <v>577242.32849515</v>
      </c>
      <c r="BR5" s="18" t="n">
        <f aca="false">IF(BR4&gt;0,BR4*'Panel de Control'!$B$15,0)</f>
        <v>577242.32849515</v>
      </c>
      <c r="BS5" s="18" t="n">
        <f aca="false">IF(BS4&gt;0,BS4*'Panel de Control'!$B$15,0)</f>
        <v>577242.32849515</v>
      </c>
      <c r="BT5" s="18" t="n">
        <f aca="false">IF(BT4&gt;0,BT4*'Panel de Control'!$B$15,0)</f>
        <v>577242.32849515</v>
      </c>
      <c r="BU5" s="18" t="n">
        <f aca="false">IF(BU4&gt;0,BU4*'Panel de Control'!$B$15,0)</f>
        <v>577242.32849515</v>
      </c>
      <c r="BV5" s="18" t="n">
        <f aca="false">IF(BV4&gt;0,BV4*'Panel de Control'!$B$15,0)</f>
        <v>577242.32849515</v>
      </c>
      <c r="BW5" s="18" t="n">
        <f aca="false">IF(BW4&gt;0,BW4*'Panel de Control'!$B$15,0)</f>
        <v>755934.291489811</v>
      </c>
      <c r="BX5" s="18" t="n">
        <f aca="false">IF(BX4&gt;0,BX4*'Panel de Control'!$B$15,0)</f>
        <v>755934.291489811</v>
      </c>
      <c r="BY5" s="18" t="n">
        <f aca="false">IF(BY4&gt;0,BY4*'Panel de Control'!$B$15,0)</f>
        <v>755934.291489811</v>
      </c>
      <c r="BZ5" s="18" t="n">
        <f aca="false">IF(BZ4&gt;0,BZ4*'Panel de Control'!$B$15,0)</f>
        <v>755934.291489811</v>
      </c>
      <c r="CA5" s="18" t="n">
        <f aca="false">IF(CA4&gt;0,CA4*'Panel de Control'!$B$15,0)</f>
        <v>755934.291489811</v>
      </c>
      <c r="CB5" s="18" t="n">
        <f aca="false">IF(CB4&gt;0,CB4*'Panel de Control'!$B$15,0)</f>
        <v>755934.291489811</v>
      </c>
      <c r="CC5" s="18" t="n">
        <f aca="false">IF(CC4&gt;0,CC4*'Panel de Control'!$B$15,0)</f>
        <v>755934.291489811</v>
      </c>
      <c r="CD5" s="18" t="n">
        <f aca="false">IF(CD4&gt;0,CD4*'Panel de Control'!$B$15,0)</f>
        <v>755934.291489811</v>
      </c>
      <c r="CE5" s="18" t="n">
        <f aca="false">IF(CE4&gt;0,CE4*'Panel de Control'!$B$15,0)</f>
        <v>755934.291489811</v>
      </c>
      <c r="CF5" s="18" t="n">
        <f aca="false">IF(CF4&gt;0,CF4*'Panel de Control'!$B$15,0)</f>
        <v>755934.291489811</v>
      </c>
      <c r="CG5" s="18" t="n">
        <f aca="false">IF(CG4&gt;0,CG4*'Panel de Control'!$B$15,0)</f>
        <v>755934.291489811</v>
      </c>
      <c r="CH5" s="18" t="n">
        <f aca="false">IF(CH4&gt;0,CH4*'Panel de Control'!$B$15,0)</f>
        <v>755934.291489811</v>
      </c>
      <c r="CI5" s="18" t="n">
        <f aca="false">IF(CI4&gt;0,CI4*'Panel de Control'!$B$15,0)</f>
        <v>947134.691894098</v>
      </c>
      <c r="CJ5" s="18" t="n">
        <f aca="false">IF(CJ4&gt;0,CJ4*'Panel de Control'!$B$15,0)</f>
        <v>947134.691894098</v>
      </c>
      <c r="CK5" s="18" t="n">
        <f aca="false">IF(CK4&gt;0,CK4*'Panel de Control'!$B$15,0)</f>
        <v>947134.691894098</v>
      </c>
      <c r="CL5" s="18" t="n">
        <f aca="false">IF(CL4&gt;0,CL4*'Panel de Control'!$B$15,0)</f>
        <v>947134.691894098</v>
      </c>
      <c r="CM5" s="18" t="n">
        <f aca="false">IF(CM4&gt;0,CM4*'Panel de Control'!$B$15,0)</f>
        <v>947134.691894098</v>
      </c>
      <c r="CN5" s="18" t="n">
        <f aca="false">IF(CN4&gt;0,CN4*'Panel de Control'!$B$15,0)</f>
        <v>947134.691894098</v>
      </c>
      <c r="CO5" s="18" t="n">
        <f aca="false">IF(CO4&gt;0,CO4*'Panel de Control'!$B$15,0)</f>
        <v>947134.691894098</v>
      </c>
      <c r="CP5" s="18" t="n">
        <f aca="false">IF(CP4&gt;0,CP4*'Panel de Control'!$B$15,0)</f>
        <v>947134.691894098</v>
      </c>
      <c r="CQ5" s="18" t="n">
        <f aca="false">IF(CQ4&gt;0,CQ4*'Panel de Control'!$B$15,0)</f>
        <v>947134.691894098</v>
      </c>
      <c r="CR5" s="18" t="n">
        <f aca="false">IF(CR4&gt;0,CR4*'Panel de Control'!$B$15,0)</f>
        <v>947134.691894098</v>
      </c>
      <c r="CS5" s="18" t="n">
        <f aca="false">IF(CS4&gt;0,CS4*'Panel de Control'!$B$15,0)</f>
        <v>947134.691894098</v>
      </c>
      <c r="CT5" s="18" t="n">
        <f aca="false">IF(CT4&gt;0,CT4*'Panel de Control'!$B$15,0)</f>
        <v>947134.691894098</v>
      </c>
      <c r="CU5" s="18" t="n">
        <f aca="false">IF(CU4&gt;0,CU4*'Panel de Control'!$B$15,0)</f>
        <v>1151719.12032668</v>
      </c>
      <c r="CV5" s="18" t="n">
        <f aca="false">IF(CV4&gt;0,CV4*'Panel de Control'!$B$15,0)</f>
        <v>1151719.12032668</v>
      </c>
      <c r="CW5" s="18" t="n">
        <f aca="false">IF(CW4&gt;0,CW4*'Panel de Control'!$B$15,0)</f>
        <v>1151719.12032668</v>
      </c>
      <c r="CX5" s="18" t="n">
        <f aca="false">IF(CX4&gt;0,CX4*'Panel de Control'!$B$15,0)</f>
        <v>1151719.12032668</v>
      </c>
      <c r="CY5" s="18" t="n">
        <f aca="false">IF(CY4&gt;0,CY4*'Panel de Control'!$B$15,0)</f>
        <v>1151719.12032668</v>
      </c>
      <c r="CZ5" s="18" t="n">
        <f aca="false">IF(CZ4&gt;0,CZ4*'Panel de Control'!$B$15,0)</f>
        <v>1151719.12032668</v>
      </c>
      <c r="DA5" s="18" t="n">
        <f aca="false">IF(DA4&gt;0,DA4*'Panel de Control'!$B$15,0)</f>
        <v>1151719.12032668</v>
      </c>
      <c r="DB5" s="18" t="n">
        <f aca="false">IF(DB4&gt;0,DB4*'Panel de Control'!$B$15,0)</f>
        <v>1151719.12032668</v>
      </c>
      <c r="DC5" s="18" t="n">
        <f aca="false">IF(DC4&gt;0,DC4*'Panel de Control'!$B$15,0)</f>
        <v>1151719.12032668</v>
      </c>
      <c r="DD5" s="18" t="n">
        <f aca="false">IF(DD4&gt;0,DD4*'Panel de Control'!$B$15,0)</f>
        <v>1151719.12032668</v>
      </c>
      <c r="DE5" s="18" t="n">
        <f aca="false">IF(DE4&gt;0,DE4*'Panel de Control'!$B$15,0)</f>
        <v>1151719.12032668</v>
      </c>
      <c r="DF5" s="18" t="n">
        <f aca="false">IF(DF4&gt;0,DF4*'Panel de Control'!$B$15,0)</f>
        <v>1151719.12032668</v>
      </c>
      <c r="DG5" s="18" t="n">
        <f aca="false">IF(DG4&gt;0,DG4*'Panel de Control'!$B$15,0)</f>
        <v>1370624.45874955</v>
      </c>
      <c r="DH5" s="18" t="n">
        <f aca="false">IF(DH4&gt;0,DH4*'Panel de Control'!$B$15,0)</f>
        <v>1370624.45874955</v>
      </c>
      <c r="DI5" s="18" t="n">
        <f aca="false">IF(DI4&gt;0,DI4*'Panel de Control'!$B$15,0)</f>
        <v>1370624.45874955</v>
      </c>
      <c r="DJ5" s="18" t="n">
        <f aca="false">IF(DJ4&gt;0,DJ4*'Panel de Control'!$B$15,0)</f>
        <v>1370624.45874955</v>
      </c>
      <c r="DK5" s="18" t="n">
        <f aca="false">IF(DK4&gt;0,DK4*'Panel de Control'!$B$15,0)</f>
        <v>1370624.45874955</v>
      </c>
      <c r="DL5" s="18" t="n">
        <f aca="false">IF(DL4&gt;0,DL4*'Panel de Control'!$B$15,0)</f>
        <v>1370624.45874955</v>
      </c>
      <c r="DM5" s="18" t="n">
        <f aca="false">IF(DM4&gt;0,DM4*'Panel de Control'!$B$15,0)</f>
        <v>1370624.45874955</v>
      </c>
      <c r="DN5" s="18" t="n">
        <f aca="false">IF(DN4&gt;0,DN4*'Panel de Control'!$B$15,0)</f>
        <v>1370624.45874955</v>
      </c>
      <c r="DO5" s="18" t="n">
        <f aca="false">IF(DO4&gt;0,DO4*'Panel de Control'!$B$15,0)</f>
        <v>1370624.45874955</v>
      </c>
      <c r="DP5" s="18" t="n">
        <f aca="false">IF(DP4&gt;0,DP4*'Panel de Control'!$B$15,0)</f>
        <v>1370624.45874955</v>
      </c>
      <c r="DQ5" s="18" t="n">
        <f aca="false">IF(DQ4&gt;0,DQ4*'Panel de Control'!$B$15,0)</f>
        <v>1370624.45874955</v>
      </c>
      <c r="DR5" s="18" t="n">
        <f aca="false">IF(DR4&gt;0,DR4*'Panel de Control'!$B$15,0)</f>
        <v>1370624.45874955</v>
      </c>
      <c r="DS5" s="18" t="n">
        <f aca="false">IF(DS4&gt;0,DS4*'Panel de Control'!$B$15,0)</f>
        <v>1717353.17086202</v>
      </c>
      <c r="DT5" s="18" t="n">
        <f aca="false">IF(DT4&gt;0,DT4*'Panel de Control'!$B$15,0)</f>
        <v>1717353.17086202</v>
      </c>
      <c r="DU5" s="18" t="n">
        <f aca="false">IF(DU4&gt;0,DU4*'Panel de Control'!$B$15,0)</f>
        <v>1717353.17086202</v>
      </c>
      <c r="DV5" s="18" t="n">
        <f aca="false">IF(DV4&gt;0,DV4*'Panel de Control'!$B$15,0)</f>
        <v>1717353.17086202</v>
      </c>
      <c r="DW5" s="18" t="n">
        <f aca="false">IF(DW4&gt;0,DW4*'Panel de Control'!$B$15,0)</f>
        <v>1717353.17086202</v>
      </c>
      <c r="DX5" s="18" t="n">
        <f aca="false">IF(DX4&gt;0,DX4*'Panel de Control'!$B$15,0)</f>
        <v>1717353.17086202</v>
      </c>
      <c r="DY5" s="18" t="n">
        <f aca="false">IF(DY4&gt;0,DY4*'Panel de Control'!$B$15,0)</f>
        <v>1717353.17086202</v>
      </c>
      <c r="DZ5" s="18" t="n">
        <f aca="false">IF(DZ4&gt;0,DZ4*'Panel de Control'!$B$15,0)</f>
        <v>1717353.17086202</v>
      </c>
      <c r="EA5" s="18" t="n">
        <f aca="false">IF(EA4&gt;0,EA4*'Panel de Control'!$B$15,0)</f>
        <v>1717353.17086202</v>
      </c>
      <c r="EB5" s="18" t="n">
        <f aca="false">IF(EB4&gt;0,EB4*'Panel de Control'!$B$15,0)</f>
        <v>1717353.17086202</v>
      </c>
      <c r="EC5" s="18" t="n">
        <f aca="false">IF(EC4&gt;0,EC4*'Panel de Control'!$B$15,0)</f>
        <v>1717353.17086202</v>
      </c>
      <c r="ED5" s="18" t="n">
        <f aca="false">IF(ED4&gt;0,ED4*'Panel de Control'!$B$15,0)</f>
        <v>1717353.17086202</v>
      </c>
      <c r="EE5" s="18" t="n">
        <f aca="false">IF(EE4&gt;0,EE4*'Panel de Control'!$B$15,0)</f>
        <v>1967977.89282236</v>
      </c>
      <c r="EF5" s="18" t="n">
        <f aca="false">IF(EF4&gt;0,EF4*'Panel de Control'!$B$15,0)</f>
        <v>1967977.89282236</v>
      </c>
      <c r="EG5" s="18" t="n">
        <f aca="false">IF(EG4&gt;0,EG4*'Panel de Control'!$B$15,0)</f>
        <v>1967977.89282236</v>
      </c>
      <c r="EH5" s="18" t="n">
        <f aca="false">IF(EH4&gt;0,EH4*'Panel de Control'!$B$15,0)</f>
        <v>1967977.89282236</v>
      </c>
      <c r="EI5" s="18" t="n">
        <f aca="false">IF(EI4&gt;0,EI4*'Panel de Control'!$B$15,0)</f>
        <v>1967977.89282236</v>
      </c>
      <c r="EJ5" s="18" t="n">
        <f aca="false">IF(EJ4&gt;0,EJ4*'Panel de Control'!$B$15,0)</f>
        <v>1967977.89282236</v>
      </c>
      <c r="EK5" s="18" t="n">
        <f aca="false">IF(EK4&gt;0,EK4*'Panel de Control'!$B$15,0)</f>
        <v>1967977.89282236</v>
      </c>
      <c r="EL5" s="18" t="n">
        <f aca="false">IF(EL4&gt;0,EL4*'Panel de Control'!$B$15,0)</f>
        <v>1967977.89282236</v>
      </c>
      <c r="EM5" s="18" t="n">
        <f aca="false">IF(EM4&gt;0,EM4*'Panel de Control'!$B$15,0)</f>
        <v>1967977.89282236</v>
      </c>
      <c r="EN5" s="18" t="n">
        <f aca="false">IF(EN4&gt;0,EN4*'Panel de Control'!$B$15,0)</f>
        <v>1967977.89282236</v>
      </c>
      <c r="EO5" s="18" t="n">
        <f aca="false">IF(EO4&gt;0,EO4*'Panel de Control'!$B$15,0)</f>
        <v>1967977.89282236</v>
      </c>
      <c r="EP5" s="18" t="n">
        <f aca="false">IF(EP4&gt;0,EP4*'Panel de Control'!$B$15,0)</f>
        <v>1967977.89282236</v>
      </c>
      <c r="EQ5" s="18" t="n">
        <f aca="false">IF(EQ4&gt;0,EQ4*'Panel de Control'!$B$15,0)</f>
        <v>2236146.34531993</v>
      </c>
      <c r="ER5" s="18" t="n">
        <f aca="false">IF(ER4&gt;0,ER4*'Panel de Control'!$B$15,0)</f>
        <v>2236146.34531993</v>
      </c>
      <c r="ES5" s="18" t="n">
        <f aca="false">IF(ES4&gt;0,ES4*'Panel de Control'!$B$15,0)</f>
        <v>2236146.34531993</v>
      </c>
      <c r="ET5" s="18" t="n">
        <f aca="false">IF(ET4&gt;0,ET4*'Panel de Control'!$B$15,0)</f>
        <v>2236146.34531993</v>
      </c>
      <c r="EU5" s="18" t="n">
        <f aca="false">IF(EU4&gt;0,EU4*'Panel de Control'!$B$15,0)</f>
        <v>2236146.34531993</v>
      </c>
      <c r="EV5" s="18" t="n">
        <f aca="false">IF(EV4&gt;0,EV4*'Panel de Control'!$B$15,0)</f>
        <v>2236146.34531993</v>
      </c>
      <c r="EW5" s="18" t="n">
        <f aca="false">IF(EW4&gt;0,EW4*'Panel de Control'!$B$15,0)</f>
        <v>2236146.34531993</v>
      </c>
      <c r="EX5" s="18" t="n">
        <f aca="false">IF(EX4&gt;0,EX4*'Panel de Control'!$B$15,0)</f>
        <v>2236146.34531993</v>
      </c>
      <c r="EY5" s="18" t="n">
        <f aca="false">IF(EY4&gt;0,EY4*'Panel de Control'!$B$15,0)</f>
        <v>2236146.34531993</v>
      </c>
      <c r="EZ5" s="18" t="n">
        <f aca="false">IF(EZ4&gt;0,EZ4*'Panel de Control'!$B$15,0)</f>
        <v>2236146.34531993</v>
      </c>
      <c r="FA5" s="18" t="n">
        <f aca="false">IF(FA4&gt;0,FA4*'Panel de Control'!$B$15,0)</f>
        <v>2236146.34531993</v>
      </c>
      <c r="FB5" s="18" t="n">
        <f aca="false">IF(FB4&gt;0,FB4*'Panel de Control'!$B$15,0)</f>
        <v>2236146.34531993</v>
      </c>
      <c r="FC5" s="18" t="n">
        <f aca="false">IF(FC4&gt;0,FC4*'Panel de Control'!$B$15,0)</f>
        <v>2523086.58949232</v>
      </c>
      <c r="FD5" s="18" t="n">
        <f aca="false">IF(FD4&gt;0,FD4*'Panel de Control'!$B$15,0)</f>
        <v>2523086.58949232</v>
      </c>
      <c r="FE5" s="18" t="n">
        <f aca="false">IF(FE4&gt;0,FE4*'Panel de Control'!$B$15,0)</f>
        <v>2523086.58949232</v>
      </c>
      <c r="FF5" s="18" t="n">
        <f aca="false">IF(FF4&gt;0,FF4*'Panel de Control'!$B$15,0)</f>
        <v>2523086.58949232</v>
      </c>
      <c r="FG5" s="18" t="n">
        <f aca="false">IF(FG4&gt;0,FG4*'Panel de Control'!$B$15,0)</f>
        <v>2523086.58949232</v>
      </c>
      <c r="FH5" s="18" t="n">
        <f aca="false">IF(FH4&gt;0,FH4*'Panel de Control'!$B$15,0)</f>
        <v>2523086.58949232</v>
      </c>
      <c r="FI5" s="18" t="n">
        <f aca="false">IF(FI4&gt;0,FI4*'Panel de Control'!$B$15,0)</f>
        <v>2523086.58949232</v>
      </c>
      <c r="FJ5" s="18" t="n">
        <f aca="false">IF(FJ4&gt;0,FJ4*'Panel de Control'!$B$15,0)</f>
        <v>2523086.58949232</v>
      </c>
      <c r="FK5" s="18" t="n">
        <f aca="false">IF(FK4&gt;0,FK4*'Panel de Control'!$B$15,0)</f>
        <v>2523086.58949232</v>
      </c>
      <c r="FL5" s="18" t="n">
        <f aca="false">IF(FL4&gt;0,FL4*'Panel de Control'!$B$15,0)</f>
        <v>2523086.58949232</v>
      </c>
      <c r="FM5" s="18" t="n">
        <f aca="false">IF(FM4&gt;0,FM4*'Panel de Control'!$B$15,0)</f>
        <v>2523086.58949232</v>
      </c>
      <c r="FN5" s="18" t="n">
        <f aca="false">IF(FN4&gt;0,FN4*'Panel de Control'!$B$15,0)</f>
        <v>2523086.58949232</v>
      </c>
      <c r="FO5" s="18" t="n">
        <f aca="false">IF(FO4&gt;0,FO4*'Panel de Control'!$B$15,0)</f>
        <v>2830112.65075679</v>
      </c>
      <c r="FP5" s="18" t="n">
        <f aca="false">IF(FP4&gt;0,FP4*'Panel de Control'!$B$15,0)</f>
        <v>2830112.65075679</v>
      </c>
      <c r="FQ5" s="18" t="n">
        <f aca="false">IF(FQ4&gt;0,FQ4*'Panel de Control'!$B$15,0)</f>
        <v>2830112.65075679</v>
      </c>
      <c r="FR5" s="18" t="n">
        <f aca="false">IF(FR4&gt;0,FR4*'Panel de Control'!$B$15,0)</f>
        <v>2830112.65075679</v>
      </c>
      <c r="FS5" s="18" t="n">
        <f aca="false">IF(FS4&gt;0,FS4*'Panel de Control'!$B$15,0)</f>
        <v>2830112.65075679</v>
      </c>
      <c r="FT5" s="18" t="n">
        <f aca="false">IF(FT4&gt;0,FT4*'Panel de Control'!$B$15,0)</f>
        <v>2830112.65075679</v>
      </c>
      <c r="FU5" s="18" t="n">
        <f aca="false">IF(FU4&gt;0,FU4*'Panel de Control'!$B$15,0)</f>
        <v>2830112.65075679</v>
      </c>
      <c r="FV5" s="18" t="n">
        <f aca="false">IF(FV4&gt;0,FV4*'Panel de Control'!$B$15,0)</f>
        <v>2830112.65075679</v>
      </c>
      <c r="FW5" s="18" t="n">
        <f aca="false">IF(FW4&gt;0,FW4*'Panel de Control'!$B$15,0)</f>
        <v>2830112.65075679</v>
      </c>
      <c r="FX5" s="18" t="n">
        <f aca="false">IF(FX4&gt;0,FX4*'Panel de Control'!$B$15,0)</f>
        <v>2830112.65075679</v>
      </c>
      <c r="FY5" s="18" t="n">
        <f aca="false">IF(FY4&gt;0,FY4*'Panel de Control'!$B$15,0)</f>
        <v>2830112.65075679</v>
      </c>
      <c r="FZ5" s="18" t="n">
        <f aca="false">IF(FZ4&gt;0,FZ4*'Panel de Control'!$B$15,0)</f>
        <v>2830112.65075679</v>
      </c>
      <c r="GA5" s="18" t="n">
        <f aca="false">IF(GA4&gt;0,GA4*'Panel de Control'!$B$15,0)</f>
        <v>3158630.53630976</v>
      </c>
      <c r="GB5" s="18" t="n">
        <f aca="false">IF(GB4&gt;0,GB4*'Panel de Control'!$B$15,0)</f>
        <v>3158630.53630976</v>
      </c>
      <c r="GC5" s="18" t="n">
        <f aca="false">IF(GC4&gt;0,GC4*'Panel de Control'!$B$15,0)</f>
        <v>3158630.53630976</v>
      </c>
      <c r="GD5" s="18" t="n">
        <f aca="false">IF(GD4&gt;0,GD4*'Panel de Control'!$B$15,0)</f>
        <v>3158630.53630976</v>
      </c>
      <c r="GE5" s="18" t="n">
        <f aca="false">IF(GE4&gt;0,GE4*'Panel de Control'!$B$15,0)</f>
        <v>3158630.53630976</v>
      </c>
      <c r="GF5" s="18" t="n">
        <f aca="false">IF(GF4&gt;0,GF4*'Panel de Control'!$B$15,0)</f>
        <v>3158630.53630976</v>
      </c>
      <c r="GG5" s="18" t="n">
        <f aca="false">IF(GG4&gt;0,GG4*'Panel de Control'!$B$15,0)</f>
        <v>3158630.53630976</v>
      </c>
      <c r="GH5" s="18" t="n">
        <f aca="false">IF(GH4&gt;0,GH4*'Panel de Control'!$B$15,0)</f>
        <v>3158630.53630976</v>
      </c>
      <c r="GI5" s="18" t="n">
        <f aca="false">IF(GI4&gt;0,GI4*'Panel de Control'!$B$15,0)</f>
        <v>3158630.53630976</v>
      </c>
      <c r="GJ5" s="18" t="n">
        <f aca="false">IF(GJ4&gt;0,GJ4*'Panel de Control'!$B$15,0)</f>
        <v>3158630.53630976</v>
      </c>
      <c r="GK5" s="18" t="n">
        <f aca="false">IF(GK4&gt;0,GK4*'Panel de Control'!$B$15,0)</f>
        <v>3158630.53630976</v>
      </c>
      <c r="GL5" s="18" t="n">
        <f aca="false">IF(GL4&gt;0,GL4*'Panel de Control'!$B$15,0)</f>
        <v>3158630.53630976</v>
      </c>
      <c r="GM5" s="18" t="n">
        <f aca="false">IF(GM4&gt;0,GM4*'Panel de Control'!$B$15,0)</f>
        <v>3510144.67385145</v>
      </c>
      <c r="GN5" s="18" t="n">
        <f aca="false">IF(GN4&gt;0,GN4*'Panel de Control'!$B$15,0)</f>
        <v>3510144.67385145</v>
      </c>
      <c r="GO5" s="18" t="n">
        <f aca="false">IF(GO4&gt;0,GO4*'Panel de Control'!$B$15,0)</f>
        <v>3510144.67385145</v>
      </c>
      <c r="GP5" s="18" t="n">
        <f aca="false">IF(GP4&gt;0,GP4*'Panel de Control'!$B$15,0)</f>
        <v>3510144.67385145</v>
      </c>
      <c r="GQ5" s="18" t="n">
        <f aca="false">IF(GQ4&gt;0,GQ4*'Panel de Control'!$B$15,0)</f>
        <v>3510144.67385145</v>
      </c>
      <c r="GR5" s="18" t="n">
        <f aca="false">IF(GR4&gt;0,GR4*'Panel de Control'!$B$15,0)</f>
        <v>3510144.67385145</v>
      </c>
      <c r="GS5" s="18" t="n">
        <f aca="false">IF(GS4&gt;0,GS4*'Panel de Control'!$B$15,0)</f>
        <v>3510144.67385145</v>
      </c>
      <c r="GT5" s="18" t="n">
        <f aca="false">IF(GT4&gt;0,GT4*'Panel de Control'!$B$15,0)</f>
        <v>3510144.67385145</v>
      </c>
      <c r="GU5" s="18" t="n">
        <f aca="false">IF(GU4&gt;0,GU4*'Panel de Control'!$B$15,0)</f>
        <v>3510144.67385145</v>
      </c>
      <c r="GV5" s="18" t="n">
        <f aca="false">IF(GV4&gt;0,GV4*'Panel de Control'!$B$15,0)</f>
        <v>3510144.67385145</v>
      </c>
      <c r="GW5" s="18" t="n">
        <f aca="false">IF(GW4&gt;0,GW4*'Panel de Control'!$B$15,0)</f>
        <v>3510144.67385145</v>
      </c>
      <c r="GX5" s="18" t="n">
        <f aca="false">IF(GX4&gt;0,GX4*'Panel de Control'!$B$15,0)</f>
        <v>3510144.67385145</v>
      </c>
      <c r="GY5" s="18" t="n">
        <f aca="false">IF(GY4&gt;0,GY4*'Panel de Control'!$B$15,0)</f>
        <v>3886264.80102105</v>
      </c>
      <c r="GZ5" s="18" t="n">
        <f aca="false">IF(GZ4&gt;0,GZ4*'Panel de Control'!$B$15,0)</f>
        <v>3886264.80102105</v>
      </c>
      <c r="HA5" s="18" t="n">
        <f aca="false">IF(HA4&gt;0,HA4*'Panel de Control'!$B$15,0)</f>
        <v>3886264.80102105</v>
      </c>
      <c r="HB5" s="18" t="n">
        <f aca="false">IF(HB4&gt;0,HB4*'Panel de Control'!$B$15,0)</f>
        <v>3886264.80102105</v>
      </c>
      <c r="HC5" s="18" t="n">
        <f aca="false">IF(HC4&gt;0,HC4*'Panel de Control'!$B$15,0)</f>
        <v>3886264.80102105</v>
      </c>
      <c r="HD5" s="18" t="n">
        <f aca="false">IF(HD4&gt;0,HD4*'Panel de Control'!$B$15,0)</f>
        <v>3886264.80102105</v>
      </c>
      <c r="HE5" s="18" t="n">
        <f aca="false">IF(HE4&gt;0,HE4*'Panel de Control'!$B$15,0)</f>
        <v>3886264.80102105</v>
      </c>
      <c r="HF5" s="18" t="n">
        <f aca="false">IF(HF4&gt;0,HF4*'Panel de Control'!$B$15,0)</f>
        <v>3886264.80102105</v>
      </c>
      <c r="HG5" s="18" t="n">
        <f aca="false">IF(HG4&gt;0,HG4*'Panel de Control'!$B$15,0)</f>
        <v>3886264.80102105</v>
      </c>
      <c r="HH5" s="18" t="n">
        <f aca="false">IF(HH4&gt;0,HH4*'Panel de Control'!$B$15,0)</f>
        <v>3886264.80102105</v>
      </c>
      <c r="HI5" s="18" t="n">
        <f aca="false">IF(HI4&gt;0,HI4*'Panel de Control'!$B$15,0)</f>
        <v>3886264.80102105</v>
      </c>
      <c r="HJ5" s="18" t="n">
        <f aca="false">IF(HJ4&gt;0,HJ4*'Panel de Control'!$B$15,0)</f>
        <v>3886264.80102105</v>
      </c>
      <c r="HK5" s="18" t="n">
        <f aca="false">IF(HK4&gt;0,HK4*'Panel de Control'!$B$15,0)</f>
        <v>4288713.33709252</v>
      </c>
      <c r="HL5" s="18" t="n">
        <f aca="false">IF(HL4&gt;0,HL4*'Panel de Control'!$B$15,0)</f>
        <v>4288713.33709252</v>
      </c>
      <c r="HM5" s="18" t="n">
        <f aca="false">IF(HM4&gt;0,HM4*'Panel de Control'!$B$15,0)</f>
        <v>4288713.33709252</v>
      </c>
      <c r="HN5" s="18" t="n">
        <f aca="false">IF(HN4&gt;0,HN4*'Panel de Control'!$B$15,0)</f>
        <v>4288713.33709252</v>
      </c>
      <c r="HO5" s="18" t="n">
        <f aca="false">IF(HO4&gt;0,HO4*'Panel de Control'!$B$15,0)</f>
        <v>4288713.33709252</v>
      </c>
      <c r="HP5" s="18" t="n">
        <f aca="false">IF(HP4&gt;0,HP4*'Panel de Control'!$B$15,0)</f>
        <v>4288713.33709252</v>
      </c>
      <c r="HQ5" s="18" t="n">
        <f aca="false">IF(HQ4&gt;0,HQ4*'Panel de Control'!$B$15,0)</f>
        <v>4288713.33709252</v>
      </c>
      <c r="HR5" s="18" t="n">
        <f aca="false">IF(HR4&gt;0,HR4*'Panel de Control'!$B$15,0)</f>
        <v>4288713.33709252</v>
      </c>
      <c r="HS5" s="18" t="n">
        <f aca="false">IF(HS4&gt;0,HS4*'Panel de Control'!$B$15,0)</f>
        <v>4288713.33709252</v>
      </c>
      <c r="HT5" s="18" t="n">
        <f aca="false">IF(HT4&gt;0,HT4*'Panel de Control'!$B$15,0)</f>
        <v>4288713.33709252</v>
      </c>
      <c r="HU5" s="18" t="n">
        <f aca="false">IF(HU4&gt;0,HU4*'Panel de Control'!$B$15,0)</f>
        <v>4288713.33709252</v>
      </c>
      <c r="HV5" s="18" t="n">
        <f aca="false">IF(HV4&gt;0,HV4*'Panel de Control'!$B$15,0)</f>
        <v>4288713.33709252</v>
      </c>
      <c r="HW5" s="18" t="n">
        <f aca="false">IF(HW4&gt;0,HW4*'Panel de Control'!$B$15,0)</f>
        <v>4719333.270689</v>
      </c>
      <c r="HX5" s="18" t="n">
        <f aca="false">IF(HX4&gt;0,HX4*'Panel de Control'!$B$15,0)</f>
        <v>4719333.270689</v>
      </c>
      <c r="HY5" s="18" t="n">
        <f aca="false">IF(HY4&gt;0,HY4*'Panel de Control'!$B$15,0)</f>
        <v>4719333.270689</v>
      </c>
      <c r="HZ5" s="18" t="n">
        <f aca="false">IF(HZ4&gt;0,HZ4*'Panel de Control'!$B$15,0)</f>
        <v>4719333.270689</v>
      </c>
      <c r="IA5" s="18" t="n">
        <f aca="false">IF(IA4&gt;0,IA4*'Panel de Control'!$B$15,0)</f>
        <v>4719333.270689</v>
      </c>
      <c r="IB5" s="18" t="n">
        <f aca="false">IF(IB4&gt;0,IB4*'Panel de Control'!$B$15,0)</f>
        <v>4719333.270689</v>
      </c>
      <c r="IC5" s="18" t="n">
        <f aca="false">IF(IC4&gt;0,IC4*'Panel de Control'!$B$15,0)</f>
        <v>4719333.270689</v>
      </c>
      <c r="ID5" s="18" t="n">
        <f aca="false">IF(ID4&gt;0,ID4*'Panel de Control'!$B$15,0)</f>
        <v>4719333.270689</v>
      </c>
      <c r="IE5" s="18" t="n">
        <f aca="false">IF(IE4&gt;0,IE4*'Panel de Control'!$B$15,0)</f>
        <v>4719333.270689</v>
      </c>
      <c r="IF5" s="18" t="n">
        <f aca="false">IF(IF4&gt;0,IF4*'Panel de Control'!$B$15,0)</f>
        <v>4719333.270689</v>
      </c>
      <c r="IG5" s="18" t="n">
        <f aca="false">IF(IG4&gt;0,IG4*'Panel de Control'!$B$15,0)</f>
        <v>4719333.270689</v>
      </c>
      <c r="IH5" s="18" t="n">
        <f aca="false">IF(IH4&gt;0,IH4*'Panel de Control'!$B$15,0)</f>
        <v>4719333.270689</v>
      </c>
      <c r="II5" s="18" t="n">
        <f aca="false">IF(II4&gt;0,II4*'Panel de Control'!$B$15,0)</f>
        <v>5180096.59963723</v>
      </c>
      <c r="IJ5" s="18" t="n">
        <f aca="false">IF(IJ4&gt;0,IJ4*'Panel de Control'!$B$15,0)</f>
        <v>5180096.59963723</v>
      </c>
      <c r="IK5" s="18" t="n">
        <f aca="false">IF(IK4&gt;0,IK4*'Panel de Control'!$B$15,0)</f>
        <v>5180096.59963723</v>
      </c>
      <c r="IL5" s="18" t="n">
        <f aca="false">IF(IL4&gt;0,IL4*'Panel de Control'!$B$15,0)</f>
        <v>5180096.59963723</v>
      </c>
      <c r="IM5" s="18" t="n">
        <f aca="false">IF(IM4&gt;0,IM4*'Panel de Control'!$B$15,0)</f>
        <v>5180096.59963723</v>
      </c>
      <c r="IN5" s="18" t="n">
        <f aca="false">IF(IN4&gt;0,IN4*'Panel de Control'!$B$15,0)</f>
        <v>5180096.59963723</v>
      </c>
      <c r="IO5" s="18" t="n">
        <f aca="false">IF(IO4&gt;0,IO4*'Panel de Control'!$B$15,0)</f>
        <v>5180096.59963723</v>
      </c>
      <c r="IP5" s="18" t="n">
        <f aca="false">IF(IP4&gt;0,IP4*'Panel de Control'!$B$15,0)</f>
        <v>5180096.59963723</v>
      </c>
      <c r="IQ5" s="18" t="n">
        <f aca="false">IF(IQ4&gt;0,IQ4*'Panel de Control'!$B$15,0)</f>
        <v>5180096.59963723</v>
      </c>
      <c r="IR5" s="18" t="n">
        <f aca="false">IF(IR4&gt;0,IR4*'Panel de Control'!$B$15,0)</f>
        <v>5180096.59963723</v>
      </c>
      <c r="IS5" s="18" t="n">
        <f aca="false">IF(IS4&gt;0,IS4*'Panel de Control'!$B$15,0)</f>
        <v>5180096.59963723</v>
      </c>
      <c r="IT5" s="18" t="n">
        <f aca="false">IF(IT4&gt;0,IT4*'Panel de Control'!$B$15,0)</f>
        <v>5180096.59963723</v>
      </c>
      <c r="IU5" s="18" t="n">
        <f aca="false">IF(IU4&gt;0,IU4*'Panel de Control'!$B$15,0)</f>
        <v>5673113.36161184</v>
      </c>
      <c r="IV5" s="18" t="n">
        <f aca="false">IF(IV4&gt;0,IV4*'Panel de Control'!$B$15,0)</f>
        <v>5673113.36161184</v>
      </c>
      <c r="IW5" s="18" t="n">
        <f aca="false">IF(IW4&gt;0,IW4*'Panel de Control'!$B$15,0)</f>
        <v>5673113.36161184</v>
      </c>
      <c r="IX5" s="18" t="n">
        <f aca="false">IF(IX4&gt;0,IX4*'Panel de Control'!$B$15,0)</f>
        <v>5673113.36161184</v>
      </c>
      <c r="IY5" s="18" t="n">
        <f aca="false">IF(IY4&gt;0,IY4*'Panel de Control'!$B$15,0)</f>
        <v>5673113.36161184</v>
      </c>
      <c r="IZ5" s="18" t="n">
        <f aca="false">IF(IZ4&gt;0,IZ4*'Panel de Control'!$B$15,0)</f>
        <v>5673113.36161184</v>
      </c>
      <c r="JA5" s="18" t="n">
        <f aca="false">IF(JA4&gt;0,JA4*'Panel de Control'!$B$15,0)</f>
        <v>5673113.36161184</v>
      </c>
      <c r="JB5" s="18" t="n">
        <f aca="false">IF(JB4&gt;0,JB4*'Panel de Control'!$B$15,0)</f>
        <v>5673113.36161184</v>
      </c>
      <c r="JC5" s="18" t="n">
        <f aca="false">IF(JC4&gt;0,JC4*'Panel de Control'!$B$15,0)</f>
        <v>5673113.36161184</v>
      </c>
      <c r="JD5" s="18" t="n">
        <f aca="false">IF(JD4&gt;0,JD4*'Panel de Control'!$B$15,0)</f>
        <v>5673113.36161184</v>
      </c>
      <c r="JE5" s="18" t="n">
        <f aca="false">IF(JE4&gt;0,JE4*'Panel de Control'!$B$15,0)</f>
        <v>5673113.36161184</v>
      </c>
      <c r="JF5" s="18" t="n">
        <f aca="false">IF(JF4&gt;0,JF4*'Panel de Control'!$B$15,0)</f>
        <v>5673113.36161184</v>
      </c>
      <c r="JG5" s="18" t="n">
        <f aca="false">IF(JG4&gt;0,JG4*'Panel de Control'!$B$15,0)</f>
        <v>6200641.29692467</v>
      </c>
      <c r="JH5" s="18" t="n">
        <f aca="false">IF(JH4&gt;0,JH4*'Panel de Control'!$B$15,0)</f>
        <v>6200641.29692467</v>
      </c>
      <c r="JI5" s="18" t="n">
        <f aca="false">IF(JI4&gt;0,JI4*'Panel de Control'!$B$15,0)</f>
        <v>6200641.29692467</v>
      </c>
      <c r="JJ5" s="18" t="n">
        <f aca="false">IF(JJ4&gt;0,JJ4*'Panel de Control'!$B$15,0)</f>
        <v>6200641.29692467</v>
      </c>
      <c r="JK5" s="18" t="n">
        <f aca="false">IF(JK4&gt;0,JK4*'Panel de Control'!$B$15,0)</f>
        <v>6200641.29692467</v>
      </c>
      <c r="JL5" s="18" t="n">
        <f aca="false">IF(JL4&gt;0,JL4*'Panel de Control'!$B$15,0)</f>
        <v>6200641.29692467</v>
      </c>
      <c r="JM5" s="18" t="n">
        <f aca="false">IF(JM4&gt;0,JM4*'Panel de Control'!$B$15,0)</f>
        <v>6200641.29692467</v>
      </c>
      <c r="JN5" s="18" t="n">
        <f aca="false">IF(JN4&gt;0,JN4*'Panel de Control'!$B$15,0)</f>
        <v>6200641.29692467</v>
      </c>
      <c r="JO5" s="18" t="n">
        <f aca="false">IF(JO4&gt;0,JO4*'Panel de Control'!$B$15,0)</f>
        <v>6200641.29692467</v>
      </c>
      <c r="JP5" s="18" t="n">
        <f aca="false">IF(JP4&gt;0,JP4*'Panel de Control'!$B$15,0)</f>
        <v>6200641.29692467</v>
      </c>
      <c r="JQ5" s="18" t="n">
        <f aca="false">IF(JQ4&gt;0,JQ4*'Panel de Control'!$B$15,0)</f>
        <v>6200641.29692467</v>
      </c>
      <c r="JR5" s="18" t="n">
        <f aca="false">IF(JR4&gt;0,JR4*'Panel de Control'!$B$15,0)</f>
        <v>6200641.29692467</v>
      </c>
      <c r="JS5" s="18" t="n">
        <f aca="false">IF(JS4&gt;0,JS4*'Panel de Control'!$B$15,0)</f>
        <v>6765096.18770939</v>
      </c>
      <c r="JT5" s="18" t="n">
        <f aca="false">IF(JT4&gt;0,JT4*'Panel de Control'!$B$15,0)</f>
        <v>6765096.18770939</v>
      </c>
      <c r="JU5" s="18" t="n">
        <f aca="false">IF(JU4&gt;0,JU4*'Panel de Control'!$B$15,0)</f>
        <v>6765096.18770939</v>
      </c>
      <c r="JV5" s="18" t="n">
        <f aca="false">IF(JV4&gt;0,JV4*'Panel de Control'!$B$15,0)</f>
        <v>6765096.18770939</v>
      </c>
      <c r="JW5" s="18" t="n">
        <f aca="false">IF(JW4&gt;0,JW4*'Panel de Control'!$B$15,0)</f>
        <v>6765096.18770939</v>
      </c>
      <c r="JX5" s="18" t="n">
        <f aca="false">IF(JX4&gt;0,JX4*'Panel de Control'!$B$15,0)</f>
        <v>6765096.18770939</v>
      </c>
      <c r="JY5" s="18" t="n">
        <f aca="false">IF(JY4&gt;0,JY4*'Panel de Control'!$B$15,0)</f>
        <v>6765096.18770939</v>
      </c>
      <c r="JZ5" s="18" t="n">
        <f aca="false">IF(JZ4&gt;0,JZ4*'Panel de Control'!$B$15,0)</f>
        <v>6765096.18770939</v>
      </c>
      <c r="KA5" s="18" t="n">
        <f aca="false">IF(KA4&gt;0,KA4*'Panel de Control'!$B$15,0)</f>
        <v>6765096.18770939</v>
      </c>
      <c r="KB5" s="18" t="n">
        <f aca="false">IF(KB4&gt;0,KB4*'Panel de Control'!$B$15,0)</f>
        <v>6765096.18770939</v>
      </c>
      <c r="KC5" s="18" t="n">
        <f aca="false">IF(KC4&gt;0,KC4*'Panel de Control'!$B$15,0)</f>
        <v>6765096.18770939</v>
      </c>
      <c r="KD5" s="18" t="n">
        <f aca="false">IF(KD4&gt;0,KD4*'Panel de Control'!$B$15,0)</f>
        <v>6765096.18770939</v>
      </c>
      <c r="KE5" s="18" t="n">
        <f aca="false">IF(KE4&gt;0,KE4*'Panel de Control'!$B$15,0)</f>
        <v>7369062.92084905</v>
      </c>
      <c r="KF5" s="18" t="n">
        <f aca="false">IF(KF4&gt;0,KF4*'Panel de Control'!$B$15,0)</f>
        <v>7369062.92084905</v>
      </c>
      <c r="KG5" s="18" t="n">
        <f aca="false">IF(KG4&gt;0,KG4*'Panel de Control'!$B$15,0)</f>
        <v>7369062.92084905</v>
      </c>
      <c r="KH5" s="18" t="n">
        <f aca="false">IF(KH4&gt;0,KH4*'Panel de Control'!$B$15,0)</f>
        <v>7369062.92084905</v>
      </c>
      <c r="KI5" s="18" t="n">
        <f aca="false">IF(KI4&gt;0,KI4*'Panel de Control'!$B$15,0)</f>
        <v>7369062.92084905</v>
      </c>
      <c r="KJ5" s="18" t="n">
        <f aca="false">IF(KJ4&gt;0,KJ4*'Panel de Control'!$B$15,0)</f>
        <v>7369062.92084905</v>
      </c>
      <c r="KK5" s="18" t="n">
        <f aca="false">IF(KK4&gt;0,KK4*'Panel de Control'!$B$15,0)</f>
        <v>7369062.92084905</v>
      </c>
      <c r="KL5" s="18" t="n">
        <f aca="false">IF(KL4&gt;0,KL4*'Panel de Control'!$B$15,0)</f>
        <v>7369062.92084905</v>
      </c>
      <c r="KM5" s="18" t="n">
        <f aca="false">IF(KM4&gt;0,KM4*'Panel de Control'!$B$15,0)</f>
        <v>7369062.92084905</v>
      </c>
      <c r="KN5" s="18" t="n">
        <f aca="false">IF(KN4&gt;0,KN4*'Panel de Control'!$B$15,0)</f>
        <v>7369062.92084905</v>
      </c>
      <c r="KO5" s="18" t="n">
        <f aca="false">IF(KO4&gt;0,KO4*'Panel de Control'!$B$15,0)</f>
        <v>7369062.92084905</v>
      </c>
      <c r="KP5" s="18" t="n">
        <f aca="false">IF(KP4&gt;0,KP4*'Panel de Control'!$B$15,0)</f>
        <v>7369062.92084905</v>
      </c>
    </row>
    <row r="6" customFormat="false" ht="14.25" hidden="false" customHeight="false" outlineLevel="0" collapsed="false">
      <c r="A6" s="14" t="s">
        <v>418</v>
      </c>
      <c r="B6" s="21" t="n">
        <v>0</v>
      </c>
      <c r="C6" s="18" t="n">
        <f aca="false">C4-C5</f>
        <v>-575666.666666667</v>
      </c>
      <c r="D6" s="18" t="n">
        <f aca="false">D4-D5</f>
        <v>-575666.666666667</v>
      </c>
      <c r="E6" s="18" t="n">
        <f aca="false">E4-E5</f>
        <v>-575666.666666667</v>
      </c>
      <c r="F6" s="18" t="n">
        <f aca="false">F4-F5</f>
        <v>-575666.666666667</v>
      </c>
      <c r="G6" s="18" t="n">
        <f aca="false">G4-G5</f>
        <v>-575666.666666667</v>
      </c>
      <c r="H6" s="18" t="n">
        <f aca="false">H4-H5</f>
        <v>-575666.666666667</v>
      </c>
      <c r="I6" s="18" t="n">
        <f aca="false">I4-I5</f>
        <v>-575666.666666667</v>
      </c>
      <c r="J6" s="18" t="n">
        <f aca="false">J4-J5</f>
        <v>-575666.666666667</v>
      </c>
      <c r="K6" s="18" t="n">
        <f aca="false">K4-K5</f>
        <v>-575666.666666667</v>
      </c>
      <c r="L6" s="18" t="n">
        <f aca="false">L4-L5</f>
        <v>-575666.666666667</v>
      </c>
      <c r="M6" s="18" t="n">
        <f aca="false">M4-M5</f>
        <v>-575666.666666667</v>
      </c>
      <c r="N6" s="18" t="n">
        <f aca="false">N4-N5</f>
        <v>-575666.666666667</v>
      </c>
      <c r="O6" s="18" t="n">
        <f aca="false">O4-O5</f>
        <v>-103796.666666667</v>
      </c>
      <c r="P6" s="18" t="n">
        <f aca="false">P4-P5</f>
        <v>-103796.666666667</v>
      </c>
      <c r="Q6" s="18" t="n">
        <f aca="false">Q4-Q5</f>
        <v>-103796.666666667</v>
      </c>
      <c r="R6" s="18" t="n">
        <f aca="false">R4-R5</f>
        <v>-103796.666666667</v>
      </c>
      <c r="S6" s="18" t="n">
        <f aca="false">S4-S5</f>
        <v>-103796.666666667</v>
      </c>
      <c r="T6" s="18" t="n">
        <f aca="false">T4-T5</f>
        <v>-103796.666666667</v>
      </c>
      <c r="U6" s="18" t="n">
        <f aca="false">U4-U5</f>
        <v>-103796.666666667</v>
      </c>
      <c r="V6" s="18" t="n">
        <f aca="false">V4-V5</f>
        <v>-103796.666666667</v>
      </c>
      <c r="W6" s="18" t="n">
        <f aca="false">W4-W5</f>
        <v>-103796.666666667</v>
      </c>
      <c r="X6" s="18" t="n">
        <f aca="false">X4-X5</f>
        <v>-103796.666666667</v>
      </c>
      <c r="Y6" s="18" t="n">
        <f aca="false">Y4-Y5</f>
        <v>-103796.666666667</v>
      </c>
      <c r="Z6" s="18" t="n">
        <f aca="false">Z4-Z5</f>
        <v>-103796.666666667</v>
      </c>
      <c r="AA6" s="18" t="n">
        <f aca="false">AA4-AA5</f>
        <v>292806.090333334</v>
      </c>
      <c r="AB6" s="18" t="n">
        <f aca="false">AB4-AB5</f>
        <v>292806.090333334</v>
      </c>
      <c r="AC6" s="18" t="n">
        <f aca="false">AC4-AC5</f>
        <v>292806.090333334</v>
      </c>
      <c r="AD6" s="18" t="n">
        <f aca="false">AD4-AD5</f>
        <v>292806.090333334</v>
      </c>
      <c r="AE6" s="18" t="n">
        <f aca="false">AE4-AE5</f>
        <v>292806.090333334</v>
      </c>
      <c r="AF6" s="18" t="n">
        <f aca="false">AF4-AF5</f>
        <v>292806.090333334</v>
      </c>
      <c r="AG6" s="18" t="n">
        <f aca="false">AG4-AG5</f>
        <v>292806.090333334</v>
      </c>
      <c r="AH6" s="18" t="n">
        <f aca="false">AH4-AH5</f>
        <v>292806.090333334</v>
      </c>
      <c r="AI6" s="18" t="n">
        <f aca="false">AI4-AI5</f>
        <v>292806.090333334</v>
      </c>
      <c r="AJ6" s="18" t="n">
        <f aca="false">AJ4-AJ5</f>
        <v>292806.090333334</v>
      </c>
      <c r="AK6" s="18" t="n">
        <f aca="false">AK4-AK5</f>
        <v>292806.090333334</v>
      </c>
      <c r="AL6" s="18" t="n">
        <f aca="false">AL4-AL5</f>
        <v>292806.090333334</v>
      </c>
      <c r="AM6" s="18" t="n">
        <f aca="false">AM4-AM5</f>
        <v>687184.183323334</v>
      </c>
      <c r="AN6" s="18" t="n">
        <f aca="false">AN4-AN5</f>
        <v>687184.183323334</v>
      </c>
      <c r="AO6" s="18" t="n">
        <f aca="false">AO4-AO5</f>
        <v>687184.183323334</v>
      </c>
      <c r="AP6" s="18" t="n">
        <f aca="false">AP4-AP5</f>
        <v>687184.183323334</v>
      </c>
      <c r="AQ6" s="18" t="n">
        <f aca="false">AQ4-AQ5</f>
        <v>687184.183323334</v>
      </c>
      <c r="AR6" s="18" t="n">
        <f aca="false">AR4-AR5</f>
        <v>687184.183323334</v>
      </c>
      <c r="AS6" s="18" t="n">
        <f aca="false">AS4-AS5</f>
        <v>687184.183323334</v>
      </c>
      <c r="AT6" s="18" t="n">
        <f aca="false">AT4-AT5</f>
        <v>687184.183323334</v>
      </c>
      <c r="AU6" s="18" t="n">
        <f aca="false">AU4-AU5</f>
        <v>687184.183323334</v>
      </c>
      <c r="AV6" s="18" t="n">
        <f aca="false">AV4-AV5</f>
        <v>687184.183323334</v>
      </c>
      <c r="AW6" s="18" t="n">
        <f aca="false">AW4-AW5</f>
        <v>687184.183323334</v>
      </c>
      <c r="AX6" s="18" t="n">
        <f aca="false">AX4-AX5</f>
        <v>687184.183323334</v>
      </c>
      <c r="AY6" s="18" t="n">
        <f aca="false">AY4-AY5</f>
        <v>1109168.74282264</v>
      </c>
      <c r="AZ6" s="18" t="n">
        <f aca="false">AZ4-AZ5</f>
        <v>1109168.74282264</v>
      </c>
      <c r="BA6" s="18" t="n">
        <f aca="false">BA4-BA5</f>
        <v>1109168.74282264</v>
      </c>
      <c r="BB6" s="18" t="n">
        <f aca="false">BB4-BB5</f>
        <v>1109168.74282264</v>
      </c>
      <c r="BC6" s="18" t="n">
        <f aca="false">BC4-BC5</f>
        <v>1109168.74282264</v>
      </c>
      <c r="BD6" s="18" t="n">
        <f aca="false">BD4-BD5</f>
        <v>1109168.74282264</v>
      </c>
      <c r="BE6" s="18" t="n">
        <f aca="false">BE4-BE5</f>
        <v>1109168.74282264</v>
      </c>
      <c r="BF6" s="18" t="n">
        <f aca="false">BF4-BF5</f>
        <v>1109168.74282264</v>
      </c>
      <c r="BG6" s="18" t="n">
        <f aca="false">BG4-BG5</f>
        <v>1109168.74282264</v>
      </c>
      <c r="BH6" s="18" t="n">
        <f aca="false">BH4-BH5</f>
        <v>1109168.74282264</v>
      </c>
      <c r="BI6" s="18" t="n">
        <f aca="false">BI4-BI5</f>
        <v>1109168.74282264</v>
      </c>
      <c r="BJ6" s="18" t="n">
        <f aca="false">BJ4-BJ5</f>
        <v>1109168.74282264</v>
      </c>
      <c r="BK6" s="18" t="n">
        <f aca="false">BK4-BK5</f>
        <v>1560692.22148689</v>
      </c>
      <c r="BL6" s="18" t="n">
        <f aca="false">BL4-BL5</f>
        <v>1560692.22148689</v>
      </c>
      <c r="BM6" s="18" t="n">
        <f aca="false">BM4-BM5</f>
        <v>1560692.22148689</v>
      </c>
      <c r="BN6" s="18" t="n">
        <f aca="false">BN4-BN5</f>
        <v>1560692.22148689</v>
      </c>
      <c r="BO6" s="18" t="n">
        <f aca="false">BO4-BO5</f>
        <v>1560692.22148689</v>
      </c>
      <c r="BP6" s="18" t="n">
        <f aca="false">BP4-BP5</f>
        <v>1560692.22148689</v>
      </c>
      <c r="BQ6" s="18" t="n">
        <f aca="false">BQ4-BQ5</f>
        <v>1560692.22148689</v>
      </c>
      <c r="BR6" s="18" t="n">
        <f aca="false">BR4-BR5</f>
        <v>1560692.22148689</v>
      </c>
      <c r="BS6" s="18" t="n">
        <f aca="false">BS4-BS5</f>
        <v>1560692.22148689</v>
      </c>
      <c r="BT6" s="18" t="n">
        <f aca="false">BT4-BT5</f>
        <v>1560692.22148689</v>
      </c>
      <c r="BU6" s="18" t="n">
        <f aca="false">BU4-BU5</f>
        <v>1560692.22148689</v>
      </c>
      <c r="BV6" s="18" t="n">
        <f aca="false">BV4-BV5</f>
        <v>1560692.22148689</v>
      </c>
      <c r="BW6" s="18" t="n">
        <f aca="false">BW4-BW5</f>
        <v>2043822.34365764</v>
      </c>
      <c r="BX6" s="18" t="n">
        <f aca="false">BX4-BX5</f>
        <v>2043822.34365764</v>
      </c>
      <c r="BY6" s="18" t="n">
        <f aca="false">BY4-BY5</f>
        <v>2043822.34365764</v>
      </c>
      <c r="BZ6" s="18" t="n">
        <f aca="false">BZ4-BZ5</f>
        <v>2043822.34365764</v>
      </c>
      <c r="CA6" s="18" t="n">
        <f aca="false">CA4-CA5</f>
        <v>2043822.34365764</v>
      </c>
      <c r="CB6" s="18" t="n">
        <f aca="false">CB4-CB5</f>
        <v>2043822.34365764</v>
      </c>
      <c r="CC6" s="18" t="n">
        <f aca="false">CC4-CC5</f>
        <v>2043822.34365764</v>
      </c>
      <c r="CD6" s="18" t="n">
        <f aca="false">CD4-CD5</f>
        <v>2043822.34365764</v>
      </c>
      <c r="CE6" s="18" t="n">
        <f aca="false">CE4-CE5</f>
        <v>2043822.34365764</v>
      </c>
      <c r="CF6" s="18" t="n">
        <f aca="false">CF4-CF5</f>
        <v>2043822.34365764</v>
      </c>
      <c r="CG6" s="18" t="n">
        <f aca="false">CG4-CG5</f>
        <v>2043822.34365764</v>
      </c>
      <c r="CH6" s="18" t="n">
        <f aca="false">CH4-CH5</f>
        <v>2043822.34365764</v>
      </c>
      <c r="CI6" s="18" t="n">
        <f aca="false">CI4-CI5</f>
        <v>2560771.57438034</v>
      </c>
      <c r="CJ6" s="18" t="n">
        <f aca="false">CJ4-CJ5</f>
        <v>2560771.57438034</v>
      </c>
      <c r="CK6" s="18" t="n">
        <f aca="false">CK4-CK5</f>
        <v>2560771.57438034</v>
      </c>
      <c r="CL6" s="18" t="n">
        <f aca="false">CL4-CL5</f>
        <v>2560771.57438034</v>
      </c>
      <c r="CM6" s="18" t="n">
        <f aca="false">CM4-CM5</f>
        <v>2560771.57438034</v>
      </c>
      <c r="CN6" s="18" t="n">
        <f aca="false">CN4-CN5</f>
        <v>2560771.57438034</v>
      </c>
      <c r="CO6" s="18" t="n">
        <f aca="false">CO4-CO5</f>
        <v>2560771.57438034</v>
      </c>
      <c r="CP6" s="18" t="n">
        <f aca="false">CP4-CP5</f>
        <v>2560771.57438034</v>
      </c>
      <c r="CQ6" s="18" t="n">
        <f aca="false">CQ4-CQ5</f>
        <v>2560771.57438034</v>
      </c>
      <c r="CR6" s="18" t="n">
        <f aca="false">CR4-CR5</f>
        <v>2560771.57438034</v>
      </c>
      <c r="CS6" s="18" t="n">
        <f aca="false">CS4-CS5</f>
        <v>2560771.57438034</v>
      </c>
      <c r="CT6" s="18" t="n">
        <f aca="false">CT4-CT5</f>
        <v>2560771.57438034</v>
      </c>
      <c r="CU6" s="18" t="n">
        <f aca="false">CU4-CU5</f>
        <v>3113907.25125363</v>
      </c>
      <c r="CV6" s="18" t="n">
        <f aca="false">CV4-CV5</f>
        <v>3113907.25125363</v>
      </c>
      <c r="CW6" s="18" t="n">
        <f aca="false">CW4-CW5</f>
        <v>3113907.25125363</v>
      </c>
      <c r="CX6" s="18" t="n">
        <f aca="false">CX4-CX5</f>
        <v>3113907.25125363</v>
      </c>
      <c r="CY6" s="18" t="n">
        <f aca="false">CY4-CY5</f>
        <v>3113907.25125363</v>
      </c>
      <c r="CZ6" s="18" t="n">
        <f aca="false">CZ4-CZ5</f>
        <v>3113907.25125363</v>
      </c>
      <c r="DA6" s="18" t="n">
        <f aca="false">DA4-DA5</f>
        <v>3113907.25125363</v>
      </c>
      <c r="DB6" s="18" t="n">
        <f aca="false">DB4-DB5</f>
        <v>3113907.25125363</v>
      </c>
      <c r="DC6" s="18" t="n">
        <f aca="false">DC4-DC5</f>
        <v>3113907.25125363</v>
      </c>
      <c r="DD6" s="18" t="n">
        <f aca="false">DD4-DD5</f>
        <v>3113907.25125363</v>
      </c>
      <c r="DE6" s="18" t="n">
        <f aca="false">DE4-DE5</f>
        <v>3113907.25125363</v>
      </c>
      <c r="DF6" s="18" t="n">
        <f aca="false">DF4-DF5</f>
        <v>3113907.25125363</v>
      </c>
      <c r="DG6" s="18" t="n">
        <f aca="false">DG4-DG5</f>
        <v>3705762.42550805</v>
      </c>
      <c r="DH6" s="18" t="n">
        <f aca="false">DH4-DH5</f>
        <v>3705762.42550805</v>
      </c>
      <c r="DI6" s="18" t="n">
        <f aca="false">DI4-DI5</f>
        <v>3705762.42550805</v>
      </c>
      <c r="DJ6" s="18" t="n">
        <f aca="false">DJ4-DJ5</f>
        <v>3705762.42550805</v>
      </c>
      <c r="DK6" s="18" t="n">
        <f aca="false">DK4-DK5</f>
        <v>3705762.42550805</v>
      </c>
      <c r="DL6" s="18" t="n">
        <f aca="false">DL4-DL5</f>
        <v>3705762.42550805</v>
      </c>
      <c r="DM6" s="18" t="n">
        <f aca="false">DM4-DM5</f>
        <v>3705762.42550805</v>
      </c>
      <c r="DN6" s="18" t="n">
        <f aca="false">DN4-DN5</f>
        <v>3705762.42550805</v>
      </c>
      <c r="DO6" s="18" t="n">
        <f aca="false">DO4-DO5</f>
        <v>3705762.42550805</v>
      </c>
      <c r="DP6" s="18" t="n">
        <f aca="false">DP4-DP5</f>
        <v>3705762.42550805</v>
      </c>
      <c r="DQ6" s="18" t="n">
        <f aca="false">DQ4-DQ5</f>
        <v>3705762.42550805</v>
      </c>
      <c r="DR6" s="18" t="n">
        <f aca="false">DR4-DR5</f>
        <v>3705762.42550805</v>
      </c>
      <c r="DS6" s="18" t="n">
        <f aca="false">DS4-DS5</f>
        <v>4643214.12862695</v>
      </c>
      <c r="DT6" s="18" t="n">
        <f aca="false">DT4-DT5</f>
        <v>4643214.12862695</v>
      </c>
      <c r="DU6" s="18" t="n">
        <f aca="false">DU4-DU5</f>
        <v>4643214.12862695</v>
      </c>
      <c r="DV6" s="18" t="n">
        <f aca="false">DV4-DV5</f>
        <v>4643214.12862695</v>
      </c>
      <c r="DW6" s="18" t="n">
        <f aca="false">DW4-DW5</f>
        <v>4643214.12862695</v>
      </c>
      <c r="DX6" s="18" t="n">
        <f aca="false">DX4-DX5</f>
        <v>4643214.12862695</v>
      </c>
      <c r="DY6" s="18" t="n">
        <f aca="false">DY4-DY5</f>
        <v>4643214.12862695</v>
      </c>
      <c r="DZ6" s="18" t="n">
        <f aca="false">DZ4-DZ5</f>
        <v>4643214.12862695</v>
      </c>
      <c r="EA6" s="18" t="n">
        <f aca="false">EA4-EA5</f>
        <v>4643214.12862695</v>
      </c>
      <c r="EB6" s="18" t="n">
        <f aca="false">EB4-EB5</f>
        <v>4643214.12862695</v>
      </c>
      <c r="EC6" s="18" t="n">
        <f aca="false">EC4-EC5</f>
        <v>4643214.12862695</v>
      </c>
      <c r="ED6" s="18" t="n">
        <f aca="false">ED4-ED5</f>
        <v>4643214.12862695</v>
      </c>
      <c r="EE6" s="18" t="n">
        <f aca="false">EE4-EE5</f>
        <v>5320829.11763084</v>
      </c>
      <c r="EF6" s="18" t="n">
        <f aca="false">EF4-EF5</f>
        <v>5320829.11763084</v>
      </c>
      <c r="EG6" s="18" t="n">
        <f aca="false">EG4-EG5</f>
        <v>5320829.11763084</v>
      </c>
      <c r="EH6" s="18" t="n">
        <f aca="false">EH4-EH5</f>
        <v>5320829.11763084</v>
      </c>
      <c r="EI6" s="18" t="n">
        <f aca="false">EI4-EI5</f>
        <v>5320829.11763084</v>
      </c>
      <c r="EJ6" s="18" t="n">
        <f aca="false">EJ4-EJ5</f>
        <v>5320829.11763084</v>
      </c>
      <c r="EK6" s="18" t="n">
        <f aca="false">EK4-EK5</f>
        <v>5320829.11763084</v>
      </c>
      <c r="EL6" s="18" t="n">
        <f aca="false">EL4-EL5</f>
        <v>5320829.11763084</v>
      </c>
      <c r="EM6" s="18" t="n">
        <f aca="false">EM4-EM5</f>
        <v>5320829.11763084</v>
      </c>
      <c r="EN6" s="18" t="n">
        <f aca="false">EN4-EN5</f>
        <v>5320829.11763084</v>
      </c>
      <c r="EO6" s="18" t="n">
        <f aca="false">EO4-EO5</f>
        <v>5320829.11763084</v>
      </c>
      <c r="EP6" s="18" t="n">
        <f aca="false">EP4-EP5</f>
        <v>5320829.11763084</v>
      </c>
      <c r="EQ6" s="18" t="n">
        <f aca="false">EQ4-EQ5</f>
        <v>6045877.15586499</v>
      </c>
      <c r="ER6" s="18" t="n">
        <f aca="false">ER4-ER5</f>
        <v>6045877.15586499</v>
      </c>
      <c r="ES6" s="18" t="n">
        <f aca="false">ES4-ES5</f>
        <v>6045877.15586499</v>
      </c>
      <c r="ET6" s="18" t="n">
        <f aca="false">ET4-ET5</f>
        <v>6045877.15586499</v>
      </c>
      <c r="EU6" s="18" t="n">
        <f aca="false">EU4-EU5</f>
        <v>6045877.15586499</v>
      </c>
      <c r="EV6" s="18" t="n">
        <f aca="false">EV4-EV5</f>
        <v>6045877.15586499</v>
      </c>
      <c r="EW6" s="18" t="n">
        <f aca="false">EW4-EW5</f>
        <v>6045877.15586499</v>
      </c>
      <c r="EX6" s="18" t="n">
        <f aca="false">EX4-EX5</f>
        <v>6045877.15586499</v>
      </c>
      <c r="EY6" s="18" t="n">
        <f aca="false">EY4-EY5</f>
        <v>6045877.15586499</v>
      </c>
      <c r="EZ6" s="18" t="n">
        <f aca="false">EZ4-EZ5</f>
        <v>6045877.15586499</v>
      </c>
      <c r="FA6" s="18" t="n">
        <f aca="false">FA4-FA5</f>
        <v>6045877.15586499</v>
      </c>
      <c r="FB6" s="18" t="n">
        <f aca="false">FB4-FB5</f>
        <v>6045877.15586499</v>
      </c>
      <c r="FC6" s="18" t="n">
        <f aca="false">FC4-FC5</f>
        <v>6821678.55677554</v>
      </c>
      <c r="FD6" s="18" t="n">
        <f aca="false">FD4-FD5</f>
        <v>6821678.55677554</v>
      </c>
      <c r="FE6" s="18" t="n">
        <f aca="false">FE4-FE5</f>
        <v>6821678.55677554</v>
      </c>
      <c r="FF6" s="18" t="n">
        <f aca="false">FF4-FF5</f>
        <v>6821678.55677554</v>
      </c>
      <c r="FG6" s="18" t="n">
        <f aca="false">FG4-FG5</f>
        <v>6821678.55677554</v>
      </c>
      <c r="FH6" s="18" t="n">
        <f aca="false">FH4-FH5</f>
        <v>6821678.55677554</v>
      </c>
      <c r="FI6" s="18" t="n">
        <f aca="false">FI4-FI5</f>
        <v>6821678.55677554</v>
      </c>
      <c r="FJ6" s="18" t="n">
        <f aca="false">FJ4-FJ5</f>
        <v>6821678.55677554</v>
      </c>
      <c r="FK6" s="18" t="n">
        <f aca="false">FK4-FK5</f>
        <v>6821678.55677554</v>
      </c>
      <c r="FL6" s="18" t="n">
        <f aca="false">FL4-FL5</f>
        <v>6821678.55677554</v>
      </c>
      <c r="FM6" s="18" t="n">
        <f aca="false">FM4-FM5</f>
        <v>6821678.55677554</v>
      </c>
      <c r="FN6" s="18" t="n">
        <f aca="false">FN4-FN5</f>
        <v>6821678.55677554</v>
      </c>
      <c r="FO6" s="18" t="n">
        <f aca="false">FO4-FO5</f>
        <v>7651786.05574983</v>
      </c>
      <c r="FP6" s="18" t="n">
        <f aca="false">FP4-FP5</f>
        <v>7651786.05574983</v>
      </c>
      <c r="FQ6" s="18" t="n">
        <f aca="false">FQ4-FQ5</f>
        <v>7651786.05574983</v>
      </c>
      <c r="FR6" s="18" t="n">
        <f aca="false">FR4-FR5</f>
        <v>7651786.05574983</v>
      </c>
      <c r="FS6" s="18" t="n">
        <f aca="false">FS4-FS5</f>
        <v>7651786.05574983</v>
      </c>
      <c r="FT6" s="18" t="n">
        <f aca="false">FT4-FT5</f>
        <v>7651786.05574983</v>
      </c>
      <c r="FU6" s="18" t="n">
        <f aca="false">FU4-FU5</f>
        <v>7651786.05574983</v>
      </c>
      <c r="FV6" s="18" t="n">
        <f aca="false">FV4-FV5</f>
        <v>7651786.05574983</v>
      </c>
      <c r="FW6" s="18" t="n">
        <f aca="false">FW4-FW5</f>
        <v>7651786.05574983</v>
      </c>
      <c r="FX6" s="18" t="n">
        <f aca="false">FX4-FX5</f>
        <v>7651786.05574983</v>
      </c>
      <c r="FY6" s="18" t="n">
        <f aca="false">FY4-FY5</f>
        <v>7651786.05574983</v>
      </c>
      <c r="FZ6" s="18" t="n">
        <f aca="false">FZ4-FZ5</f>
        <v>7651786.05574983</v>
      </c>
      <c r="GA6" s="18" t="n">
        <f aca="false">GA4-GA5</f>
        <v>8540001.07965232</v>
      </c>
      <c r="GB6" s="18" t="n">
        <f aca="false">GB4-GB5</f>
        <v>8540001.07965232</v>
      </c>
      <c r="GC6" s="18" t="n">
        <f aca="false">GC4-GC5</f>
        <v>8540001.07965232</v>
      </c>
      <c r="GD6" s="18" t="n">
        <f aca="false">GD4-GD5</f>
        <v>8540001.07965232</v>
      </c>
      <c r="GE6" s="18" t="n">
        <f aca="false">GE4-GE5</f>
        <v>8540001.07965232</v>
      </c>
      <c r="GF6" s="18" t="n">
        <f aca="false">GF4-GF5</f>
        <v>8540001.07965232</v>
      </c>
      <c r="GG6" s="18" t="n">
        <f aca="false">GG4-GG5</f>
        <v>8540001.07965232</v>
      </c>
      <c r="GH6" s="18" t="n">
        <f aca="false">GH4-GH5</f>
        <v>8540001.07965232</v>
      </c>
      <c r="GI6" s="18" t="n">
        <f aca="false">GI4-GI5</f>
        <v>8540001.07965232</v>
      </c>
      <c r="GJ6" s="18" t="n">
        <f aca="false">GJ4-GJ5</f>
        <v>8540001.07965232</v>
      </c>
      <c r="GK6" s="18" t="n">
        <f aca="false">GK4-GK5</f>
        <v>8540001.07965232</v>
      </c>
      <c r="GL6" s="18" t="n">
        <f aca="false">GL4-GL5</f>
        <v>8540001.07965232</v>
      </c>
      <c r="GM6" s="18" t="n">
        <f aca="false">GM4-GM5</f>
        <v>9490391.15522799</v>
      </c>
      <c r="GN6" s="18" t="n">
        <f aca="false">GN4-GN5</f>
        <v>9490391.15522799</v>
      </c>
      <c r="GO6" s="18" t="n">
        <f aca="false">GO4-GO5</f>
        <v>9490391.15522799</v>
      </c>
      <c r="GP6" s="18" t="n">
        <f aca="false">GP4-GP5</f>
        <v>9490391.15522799</v>
      </c>
      <c r="GQ6" s="18" t="n">
        <f aca="false">GQ4-GQ5</f>
        <v>9490391.15522799</v>
      </c>
      <c r="GR6" s="18" t="n">
        <f aca="false">GR4-GR5</f>
        <v>9490391.15522799</v>
      </c>
      <c r="GS6" s="18" t="n">
        <f aca="false">GS4-GS5</f>
        <v>9490391.15522799</v>
      </c>
      <c r="GT6" s="18" t="n">
        <f aca="false">GT4-GT5</f>
        <v>9490391.15522799</v>
      </c>
      <c r="GU6" s="18" t="n">
        <f aca="false">GU4-GU5</f>
        <v>9490391.15522799</v>
      </c>
      <c r="GV6" s="18" t="n">
        <f aca="false">GV4-GV5</f>
        <v>9490391.15522799</v>
      </c>
      <c r="GW6" s="18" t="n">
        <f aca="false">GW4-GW5</f>
        <v>9490391.15522799</v>
      </c>
      <c r="GX6" s="18" t="n">
        <f aca="false">GX4-GX5</f>
        <v>9490391.15522799</v>
      </c>
      <c r="GY6" s="18" t="n">
        <f aca="false">GY4-GY5</f>
        <v>10507308.5360939</v>
      </c>
      <c r="GZ6" s="18" t="n">
        <f aca="false">GZ4-GZ5</f>
        <v>10507308.5360939</v>
      </c>
      <c r="HA6" s="18" t="n">
        <f aca="false">HA4-HA5</f>
        <v>10507308.5360939</v>
      </c>
      <c r="HB6" s="18" t="n">
        <f aca="false">HB4-HB5</f>
        <v>10507308.5360939</v>
      </c>
      <c r="HC6" s="18" t="n">
        <f aca="false">HC4-HC5</f>
        <v>10507308.5360939</v>
      </c>
      <c r="HD6" s="18" t="n">
        <f aca="false">HD4-HD5</f>
        <v>10507308.5360939</v>
      </c>
      <c r="HE6" s="18" t="n">
        <f aca="false">HE4-HE5</f>
        <v>10507308.5360939</v>
      </c>
      <c r="HF6" s="18" t="n">
        <f aca="false">HF4-HF5</f>
        <v>10507308.5360939</v>
      </c>
      <c r="HG6" s="18" t="n">
        <f aca="false">HG4-HG5</f>
        <v>10507308.5360939</v>
      </c>
      <c r="HH6" s="18" t="n">
        <f aca="false">HH4-HH5</f>
        <v>10507308.5360939</v>
      </c>
      <c r="HI6" s="18" t="n">
        <f aca="false">HI4-HI5</f>
        <v>10507308.5360939</v>
      </c>
      <c r="HJ6" s="18" t="n">
        <f aca="false">HJ4-HJ5</f>
        <v>10507308.5360939</v>
      </c>
      <c r="HK6" s="18" t="n">
        <f aca="false">HK4-HK5</f>
        <v>11595410.1336205</v>
      </c>
      <c r="HL6" s="18" t="n">
        <f aca="false">HL4-HL5</f>
        <v>11595410.1336205</v>
      </c>
      <c r="HM6" s="18" t="n">
        <f aca="false">HM4-HM5</f>
        <v>11595410.1336205</v>
      </c>
      <c r="HN6" s="18" t="n">
        <f aca="false">HN4-HN5</f>
        <v>11595410.1336205</v>
      </c>
      <c r="HO6" s="18" t="n">
        <f aca="false">HO4-HO5</f>
        <v>11595410.1336205</v>
      </c>
      <c r="HP6" s="18" t="n">
        <f aca="false">HP4-HP5</f>
        <v>11595410.1336205</v>
      </c>
      <c r="HQ6" s="18" t="n">
        <f aca="false">HQ4-HQ5</f>
        <v>11595410.1336205</v>
      </c>
      <c r="HR6" s="18" t="n">
        <f aca="false">HR4-HR5</f>
        <v>11595410.1336205</v>
      </c>
      <c r="HS6" s="18" t="n">
        <f aca="false">HS4-HS5</f>
        <v>11595410.1336205</v>
      </c>
      <c r="HT6" s="18" t="n">
        <f aca="false">HT4-HT5</f>
        <v>11595410.1336205</v>
      </c>
      <c r="HU6" s="18" t="n">
        <f aca="false">HU4-HU5</f>
        <v>11595410.1336205</v>
      </c>
      <c r="HV6" s="18" t="n">
        <f aca="false">HV4-HV5</f>
        <v>11595410.1336205</v>
      </c>
      <c r="HW6" s="18" t="n">
        <f aca="false">HW4-HW5</f>
        <v>12759678.842974</v>
      </c>
      <c r="HX6" s="18" t="n">
        <f aca="false">HX4-HX5</f>
        <v>12759678.842974</v>
      </c>
      <c r="HY6" s="18" t="n">
        <f aca="false">HY4-HY5</f>
        <v>12759678.842974</v>
      </c>
      <c r="HZ6" s="18" t="n">
        <f aca="false">HZ4-HZ5</f>
        <v>12759678.842974</v>
      </c>
      <c r="IA6" s="18" t="n">
        <f aca="false">IA4-IA5</f>
        <v>12759678.842974</v>
      </c>
      <c r="IB6" s="18" t="n">
        <f aca="false">IB4-IB5</f>
        <v>12759678.842974</v>
      </c>
      <c r="IC6" s="18" t="n">
        <f aca="false">IC4-IC5</f>
        <v>12759678.842974</v>
      </c>
      <c r="ID6" s="18" t="n">
        <f aca="false">ID4-ID5</f>
        <v>12759678.842974</v>
      </c>
      <c r="IE6" s="18" t="n">
        <f aca="false">IE4-IE5</f>
        <v>12759678.842974</v>
      </c>
      <c r="IF6" s="18" t="n">
        <f aca="false">IF4-IF5</f>
        <v>12759678.842974</v>
      </c>
      <c r="IG6" s="18" t="n">
        <f aca="false">IG4-IG5</f>
        <v>12759678.842974</v>
      </c>
      <c r="IH6" s="18" t="n">
        <f aca="false">IH4-IH5</f>
        <v>12759678.842974</v>
      </c>
      <c r="II6" s="18" t="n">
        <f aca="false">II4-II5</f>
        <v>14005446.3619821</v>
      </c>
      <c r="IJ6" s="18" t="n">
        <f aca="false">IJ4-IJ5</f>
        <v>14005446.3619821</v>
      </c>
      <c r="IK6" s="18" t="n">
        <f aca="false">IK4-IK5</f>
        <v>14005446.3619821</v>
      </c>
      <c r="IL6" s="18" t="n">
        <f aca="false">IL4-IL5</f>
        <v>14005446.3619821</v>
      </c>
      <c r="IM6" s="18" t="n">
        <f aca="false">IM4-IM5</f>
        <v>14005446.3619821</v>
      </c>
      <c r="IN6" s="18" t="n">
        <f aca="false">IN4-IN5</f>
        <v>14005446.3619821</v>
      </c>
      <c r="IO6" s="18" t="n">
        <f aca="false">IO4-IO5</f>
        <v>14005446.3619821</v>
      </c>
      <c r="IP6" s="18" t="n">
        <f aca="false">IP4-IP5</f>
        <v>14005446.3619821</v>
      </c>
      <c r="IQ6" s="18" t="n">
        <f aca="false">IQ4-IQ5</f>
        <v>14005446.3619821</v>
      </c>
      <c r="IR6" s="18" t="n">
        <f aca="false">IR4-IR5</f>
        <v>14005446.3619821</v>
      </c>
      <c r="IS6" s="18" t="n">
        <f aca="false">IS4-IS5</f>
        <v>14005446.3619821</v>
      </c>
      <c r="IT6" s="18" t="n">
        <f aca="false">IT4-IT5</f>
        <v>14005446.3619821</v>
      </c>
      <c r="IU6" s="18" t="n">
        <f aca="false">IU4-IU5</f>
        <v>15338417.6073209</v>
      </c>
      <c r="IV6" s="18" t="n">
        <f aca="false">IV4-IV5</f>
        <v>15338417.6073209</v>
      </c>
      <c r="IW6" s="18" t="n">
        <f aca="false">IW4-IW5</f>
        <v>15338417.6073209</v>
      </c>
      <c r="IX6" s="18" t="n">
        <f aca="false">IX4-IX5</f>
        <v>15338417.6073209</v>
      </c>
      <c r="IY6" s="18" t="n">
        <f aca="false">IY4-IY5</f>
        <v>15338417.6073209</v>
      </c>
      <c r="IZ6" s="18" t="n">
        <f aca="false">IZ4-IZ5</f>
        <v>15338417.6073209</v>
      </c>
      <c r="JA6" s="18" t="n">
        <f aca="false">JA4-JA5</f>
        <v>15338417.6073209</v>
      </c>
      <c r="JB6" s="18" t="n">
        <f aca="false">JB4-JB5</f>
        <v>15338417.6073209</v>
      </c>
      <c r="JC6" s="18" t="n">
        <f aca="false">JC4-JC5</f>
        <v>15338417.6073209</v>
      </c>
      <c r="JD6" s="18" t="n">
        <f aca="false">JD4-JD5</f>
        <v>15338417.6073209</v>
      </c>
      <c r="JE6" s="18" t="n">
        <f aca="false">JE4-JE5</f>
        <v>15338417.6073209</v>
      </c>
      <c r="JF6" s="18" t="n">
        <f aca="false">JF4-JF5</f>
        <v>15338417.6073209</v>
      </c>
      <c r="JG6" s="18" t="n">
        <f aca="false">JG4-JG5</f>
        <v>16764696.8398334</v>
      </c>
      <c r="JH6" s="18" t="n">
        <f aca="false">JH4-JH5</f>
        <v>16764696.8398334</v>
      </c>
      <c r="JI6" s="18" t="n">
        <f aca="false">JI4-JI5</f>
        <v>16764696.8398334</v>
      </c>
      <c r="JJ6" s="18" t="n">
        <f aca="false">JJ4-JJ5</f>
        <v>16764696.8398334</v>
      </c>
      <c r="JK6" s="18" t="n">
        <f aca="false">JK4-JK5</f>
        <v>16764696.8398334</v>
      </c>
      <c r="JL6" s="18" t="n">
        <f aca="false">JL4-JL5</f>
        <v>16764696.8398334</v>
      </c>
      <c r="JM6" s="18" t="n">
        <f aca="false">JM4-JM5</f>
        <v>16764696.8398334</v>
      </c>
      <c r="JN6" s="18" t="n">
        <f aca="false">JN4-JN5</f>
        <v>16764696.8398334</v>
      </c>
      <c r="JO6" s="18" t="n">
        <f aca="false">JO4-JO5</f>
        <v>16764696.8398334</v>
      </c>
      <c r="JP6" s="18" t="n">
        <f aca="false">JP4-JP5</f>
        <v>16764696.8398334</v>
      </c>
      <c r="JQ6" s="18" t="n">
        <f aca="false">JQ4-JQ5</f>
        <v>16764696.8398334</v>
      </c>
      <c r="JR6" s="18" t="n">
        <f aca="false">JR4-JR5</f>
        <v>16764696.8398334</v>
      </c>
      <c r="JS6" s="18" t="n">
        <f aca="false">JS4-JS5</f>
        <v>18290815.6186217</v>
      </c>
      <c r="JT6" s="18" t="n">
        <f aca="false">JT4-JT5</f>
        <v>18290815.6186217</v>
      </c>
      <c r="JU6" s="18" t="n">
        <f aca="false">JU4-JU5</f>
        <v>18290815.6186217</v>
      </c>
      <c r="JV6" s="18" t="n">
        <f aca="false">JV4-JV5</f>
        <v>18290815.6186217</v>
      </c>
      <c r="JW6" s="18" t="n">
        <f aca="false">JW4-JW5</f>
        <v>18290815.6186217</v>
      </c>
      <c r="JX6" s="18" t="n">
        <f aca="false">JX4-JX5</f>
        <v>18290815.6186217</v>
      </c>
      <c r="JY6" s="18" t="n">
        <f aca="false">JY4-JY5</f>
        <v>18290815.6186217</v>
      </c>
      <c r="JZ6" s="18" t="n">
        <f aca="false">JZ4-JZ5</f>
        <v>18290815.6186217</v>
      </c>
      <c r="KA6" s="18" t="n">
        <f aca="false">KA4-KA5</f>
        <v>18290815.6186217</v>
      </c>
      <c r="KB6" s="18" t="n">
        <f aca="false">KB4-KB5</f>
        <v>18290815.6186217</v>
      </c>
      <c r="KC6" s="18" t="n">
        <f aca="false">KC4-KC5</f>
        <v>18290815.6186217</v>
      </c>
      <c r="KD6" s="18" t="n">
        <f aca="false">KD4-KD5</f>
        <v>18290815.6186217</v>
      </c>
      <c r="KE6" s="18" t="n">
        <f aca="false">KE4-KE5</f>
        <v>19923762.7119252</v>
      </c>
      <c r="KF6" s="18" t="n">
        <f aca="false">KF4-KF5</f>
        <v>19923762.7119252</v>
      </c>
      <c r="KG6" s="18" t="n">
        <f aca="false">KG4-KG5</f>
        <v>19923762.7119252</v>
      </c>
      <c r="KH6" s="18" t="n">
        <f aca="false">KH4-KH5</f>
        <v>19923762.7119252</v>
      </c>
      <c r="KI6" s="18" t="n">
        <f aca="false">KI4-KI5</f>
        <v>19923762.7119252</v>
      </c>
      <c r="KJ6" s="18" t="n">
        <f aca="false">KJ4-KJ5</f>
        <v>19923762.7119252</v>
      </c>
      <c r="KK6" s="18" t="n">
        <f aca="false">KK4-KK5</f>
        <v>19923762.7119252</v>
      </c>
      <c r="KL6" s="18" t="n">
        <f aca="false">KL4-KL5</f>
        <v>19923762.7119252</v>
      </c>
      <c r="KM6" s="18" t="n">
        <f aca="false">KM4-KM5</f>
        <v>19923762.7119252</v>
      </c>
      <c r="KN6" s="18" t="n">
        <f aca="false">KN4-KN5</f>
        <v>19923762.7119252</v>
      </c>
      <c r="KO6" s="18" t="n">
        <f aca="false">KO4-KO5</f>
        <v>19923762.7119252</v>
      </c>
      <c r="KP6" s="18" t="n">
        <f aca="false">KP4-KP5</f>
        <v>19923762.7119252</v>
      </c>
    </row>
    <row r="7" customFormat="false" ht="14.25" hidden="false" customHeight="false" outlineLevel="0" collapsed="false">
      <c r="A7" s="0" t="s">
        <v>419</v>
      </c>
      <c r="B7" s="21" t="n">
        <v>0</v>
      </c>
      <c r="C7" s="22" t="n">
        <f aca="false">Costos!B16</f>
        <v>416666.666666667</v>
      </c>
      <c r="D7" s="22" t="n">
        <f aca="false">Costos!C16</f>
        <v>416666.666666667</v>
      </c>
      <c r="E7" s="22" t="n">
        <f aca="false">Costos!D16</f>
        <v>416666.666666667</v>
      </c>
      <c r="F7" s="22" t="n">
        <f aca="false">Costos!E16</f>
        <v>416666.666666667</v>
      </c>
      <c r="G7" s="22" t="n">
        <f aca="false">Costos!F16</f>
        <v>416666.666666667</v>
      </c>
      <c r="H7" s="22" t="n">
        <f aca="false">Costos!G16</f>
        <v>416666.666666667</v>
      </c>
      <c r="I7" s="22" t="n">
        <f aca="false">Costos!H16</f>
        <v>416666.666666667</v>
      </c>
      <c r="J7" s="22" t="n">
        <f aca="false">Costos!I16</f>
        <v>416666.666666667</v>
      </c>
      <c r="K7" s="22" t="n">
        <f aca="false">Costos!J16</f>
        <v>416666.666666667</v>
      </c>
      <c r="L7" s="22" t="n">
        <f aca="false">Costos!K16</f>
        <v>416666.666666667</v>
      </c>
      <c r="M7" s="22" t="n">
        <f aca="false">Costos!L16</f>
        <v>416666.666666667</v>
      </c>
      <c r="N7" s="22" t="n">
        <f aca="false">Costos!M16</f>
        <v>416666.666666667</v>
      </c>
      <c r="O7" s="22" t="n">
        <f aca="false">Costos!N16</f>
        <v>416666.666666667</v>
      </c>
      <c r="P7" s="22" t="n">
        <f aca="false">Costos!O16</f>
        <v>416666.666666667</v>
      </c>
      <c r="Q7" s="22" t="n">
        <f aca="false">Costos!P16</f>
        <v>416666.666666667</v>
      </c>
      <c r="R7" s="22" t="n">
        <f aca="false">Costos!Q16</f>
        <v>416666.666666667</v>
      </c>
      <c r="S7" s="22" t="n">
        <f aca="false">Costos!R16</f>
        <v>416666.666666667</v>
      </c>
      <c r="T7" s="22" t="n">
        <f aca="false">Costos!S16</f>
        <v>416666.666666667</v>
      </c>
      <c r="U7" s="22" t="n">
        <f aca="false">Costos!T16</f>
        <v>416666.666666667</v>
      </c>
      <c r="V7" s="22" t="n">
        <f aca="false">Costos!U16</f>
        <v>416666.666666667</v>
      </c>
      <c r="W7" s="22" t="n">
        <f aca="false">Costos!V16</f>
        <v>416666.666666667</v>
      </c>
      <c r="X7" s="22" t="n">
        <f aca="false">Costos!W16</f>
        <v>416666.666666667</v>
      </c>
      <c r="Y7" s="22" t="n">
        <f aca="false">Costos!X16</f>
        <v>416666.666666667</v>
      </c>
      <c r="Z7" s="22" t="n">
        <f aca="false">Costos!Y16</f>
        <v>416666.666666667</v>
      </c>
      <c r="AA7" s="22" t="n">
        <f aca="false">Costos!Z16</f>
        <v>416666.666666667</v>
      </c>
      <c r="AB7" s="22" t="n">
        <f aca="false">Costos!AA16</f>
        <v>416666.666666667</v>
      </c>
      <c r="AC7" s="22" t="n">
        <f aca="false">Costos!AB16</f>
        <v>416666.666666667</v>
      </c>
      <c r="AD7" s="22" t="n">
        <f aca="false">Costos!AC16</f>
        <v>416666.666666667</v>
      </c>
      <c r="AE7" s="22" t="n">
        <f aca="false">Costos!AD16</f>
        <v>416666.666666667</v>
      </c>
      <c r="AF7" s="22" t="n">
        <f aca="false">Costos!AE16</f>
        <v>416666.666666667</v>
      </c>
      <c r="AG7" s="22" t="n">
        <f aca="false">Costos!AF16</f>
        <v>416666.666666667</v>
      </c>
      <c r="AH7" s="22" t="n">
        <f aca="false">Costos!AG16</f>
        <v>416666.666666667</v>
      </c>
      <c r="AI7" s="22" t="n">
        <f aca="false">Costos!AH16</f>
        <v>416666.666666667</v>
      </c>
      <c r="AJ7" s="22" t="n">
        <f aca="false">Costos!AI16</f>
        <v>416666.666666667</v>
      </c>
      <c r="AK7" s="22" t="n">
        <f aca="false">Costos!AJ16</f>
        <v>416666.666666667</v>
      </c>
      <c r="AL7" s="22" t="n">
        <f aca="false">Costos!AK16</f>
        <v>416666.666666667</v>
      </c>
      <c r="AM7" s="22" t="n">
        <f aca="false">Costos!AL16</f>
        <v>416666.666666667</v>
      </c>
      <c r="AN7" s="22" t="n">
        <f aca="false">Costos!AM16</f>
        <v>416666.666666667</v>
      </c>
      <c r="AO7" s="22" t="n">
        <f aca="false">Costos!AN16</f>
        <v>416666.666666667</v>
      </c>
      <c r="AP7" s="22" t="n">
        <f aca="false">Costos!AO16</f>
        <v>416666.666666667</v>
      </c>
      <c r="AQ7" s="22" t="n">
        <f aca="false">Costos!AP16</f>
        <v>416666.666666667</v>
      </c>
      <c r="AR7" s="22" t="n">
        <f aca="false">Costos!AQ16</f>
        <v>416666.666666667</v>
      </c>
      <c r="AS7" s="22" t="n">
        <f aca="false">Costos!AR16</f>
        <v>416666.666666667</v>
      </c>
      <c r="AT7" s="22" t="n">
        <f aca="false">Costos!AS16</f>
        <v>416666.666666667</v>
      </c>
      <c r="AU7" s="22" t="n">
        <f aca="false">Costos!AT16</f>
        <v>416666.666666667</v>
      </c>
      <c r="AV7" s="22" t="n">
        <f aca="false">Costos!AU16</f>
        <v>416666.666666667</v>
      </c>
      <c r="AW7" s="22" t="n">
        <f aca="false">Costos!AV16</f>
        <v>416666.666666667</v>
      </c>
      <c r="AX7" s="22" t="n">
        <f aca="false">Costos!AW16</f>
        <v>416666.666666667</v>
      </c>
      <c r="AY7" s="22" t="n">
        <f aca="false">Costos!AX16</f>
        <v>416666.666666667</v>
      </c>
      <c r="AZ7" s="22" t="n">
        <f aca="false">Costos!AY16</f>
        <v>416666.666666667</v>
      </c>
      <c r="BA7" s="22" t="n">
        <f aca="false">Costos!AZ16</f>
        <v>416666.666666667</v>
      </c>
      <c r="BB7" s="22" t="n">
        <f aca="false">Costos!BA16</f>
        <v>416666.666666667</v>
      </c>
      <c r="BC7" s="22" t="n">
        <f aca="false">Costos!BB16</f>
        <v>416666.666666667</v>
      </c>
      <c r="BD7" s="22" t="n">
        <f aca="false">Costos!BC16</f>
        <v>416666.666666667</v>
      </c>
      <c r="BE7" s="22" t="n">
        <f aca="false">Costos!BD16</f>
        <v>416666.666666667</v>
      </c>
      <c r="BF7" s="22" t="n">
        <f aca="false">Costos!BE16</f>
        <v>416666.666666667</v>
      </c>
      <c r="BG7" s="22" t="n">
        <f aca="false">Costos!BF16</f>
        <v>416666.666666667</v>
      </c>
      <c r="BH7" s="22" t="n">
        <f aca="false">Costos!BG16</f>
        <v>416666.666666667</v>
      </c>
      <c r="BI7" s="22" t="n">
        <f aca="false">Costos!BH16</f>
        <v>416666.666666667</v>
      </c>
      <c r="BJ7" s="22" t="n">
        <f aca="false">Costos!BI16</f>
        <v>416666.666666667</v>
      </c>
      <c r="BK7" s="22" t="n">
        <f aca="false">Costos!BJ16</f>
        <v>416666.666666667</v>
      </c>
      <c r="BL7" s="22" t="n">
        <f aca="false">Costos!BK16</f>
        <v>416666.666666667</v>
      </c>
      <c r="BM7" s="22" t="n">
        <f aca="false">Costos!BL16</f>
        <v>416666.666666667</v>
      </c>
      <c r="BN7" s="22" t="n">
        <f aca="false">Costos!BM16</f>
        <v>416666.666666667</v>
      </c>
      <c r="BO7" s="22" t="n">
        <f aca="false">Costos!BN16</f>
        <v>416666.666666667</v>
      </c>
      <c r="BP7" s="22" t="n">
        <f aca="false">Costos!BO16</f>
        <v>416666.666666667</v>
      </c>
      <c r="BQ7" s="22" t="n">
        <f aca="false">Costos!BP16</f>
        <v>416666.666666667</v>
      </c>
      <c r="BR7" s="22" t="n">
        <f aca="false">Costos!BQ16</f>
        <v>416666.666666667</v>
      </c>
      <c r="BS7" s="22" t="n">
        <f aca="false">Costos!BR16</f>
        <v>416666.666666667</v>
      </c>
      <c r="BT7" s="22" t="n">
        <f aca="false">Costos!BS16</f>
        <v>416666.666666667</v>
      </c>
      <c r="BU7" s="22" t="n">
        <f aca="false">Costos!BT16</f>
        <v>416666.666666667</v>
      </c>
      <c r="BV7" s="22" t="n">
        <f aca="false">Costos!BU16</f>
        <v>416666.666666667</v>
      </c>
      <c r="BW7" s="22" t="n">
        <f aca="false">Costos!BV16</f>
        <v>416666.666666667</v>
      </c>
      <c r="BX7" s="22" t="n">
        <f aca="false">Costos!BW16</f>
        <v>416666.666666667</v>
      </c>
      <c r="BY7" s="22" t="n">
        <f aca="false">Costos!BX16</f>
        <v>416666.666666667</v>
      </c>
      <c r="BZ7" s="22" t="n">
        <f aca="false">Costos!BY16</f>
        <v>416666.666666667</v>
      </c>
      <c r="CA7" s="22" t="n">
        <f aca="false">Costos!BZ16</f>
        <v>416666.666666667</v>
      </c>
      <c r="CB7" s="22" t="n">
        <f aca="false">Costos!CA16</f>
        <v>416666.666666667</v>
      </c>
      <c r="CC7" s="22" t="n">
        <f aca="false">Costos!CB16</f>
        <v>416666.666666667</v>
      </c>
      <c r="CD7" s="22" t="n">
        <f aca="false">Costos!CC16</f>
        <v>416666.666666667</v>
      </c>
      <c r="CE7" s="22" t="n">
        <f aca="false">Costos!CD16</f>
        <v>416666.666666667</v>
      </c>
      <c r="CF7" s="22" t="n">
        <f aca="false">Costos!CE16</f>
        <v>416666.666666667</v>
      </c>
      <c r="CG7" s="22" t="n">
        <f aca="false">Costos!CF16</f>
        <v>416666.666666667</v>
      </c>
      <c r="CH7" s="22" t="n">
        <f aca="false">Costos!CG16</f>
        <v>416666.666666667</v>
      </c>
      <c r="CI7" s="22" t="n">
        <f aca="false">Costos!CH16</f>
        <v>416666.666666667</v>
      </c>
      <c r="CJ7" s="22" t="n">
        <f aca="false">Costos!CI16</f>
        <v>416666.666666667</v>
      </c>
      <c r="CK7" s="22" t="n">
        <f aca="false">Costos!CJ16</f>
        <v>416666.666666667</v>
      </c>
      <c r="CL7" s="22" t="n">
        <f aca="false">Costos!CK16</f>
        <v>416666.666666667</v>
      </c>
      <c r="CM7" s="22" t="n">
        <f aca="false">Costos!CL16</f>
        <v>416666.666666667</v>
      </c>
      <c r="CN7" s="22" t="n">
        <f aca="false">Costos!CM16</f>
        <v>416666.666666667</v>
      </c>
      <c r="CO7" s="22" t="n">
        <f aca="false">Costos!CN16</f>
        <v>416666.666666667</v>
      </c>
      <c r="CP7" s="22" t="n">
        <f aca="false">Costos!CO16</f>
        <v>416666.666666667</v>
      </c>
      <c r="CQ7" s="22" t="n">
        <f aca="false">Costos!CP16</f>
        <v>416666.666666667</v>
      </c>
      <c r="CR7" s="22" t="n">
        <f aca="false">Costos!CQ16</f>
        <v>416666.666666667</v>
      </c>
      <c r="CS7" s="22" t="n">
        <f aca="false">Costos!CR16</f>
        <v>416666.666666667</v>
      </c>
      <c r="CT7" s="22" t="n">
        <f aca="false">Costos!CS16</f>
        <v>416666.666666667</v>
      </c>
      <c r="CU7" s="22" t="n">
        <f aca="false">Costos!CT16</f>
        <v>416666.666666667</v>
      </c>
      <c r="CV7" s="22" t="n">
        <f aca="false">Costos!CU16</f>
        <v>416666.666666667</v>
      </c>
      <c r="CW7" s="22" t="n">
        <f aca="false">Costos!CV16</f>
        <v>416666.666666667</v>
      </c>
      <c r="CX7" s="22" t="n">
        <f aca="false">Costos!CW16</f>
        <v>416666.666666667</v>
      </c>
      <c r="CY7" s="22" t="n">
        <f aca="false">Costos!CX16</f>
        <v>416666.666666667</v>
      </c>
      <c r="CZ7" s="22" t="n">
        <f aca="false">Costos!CY16</f>
        <v>416666.666666667</v>
      </c>
      <c r="DA7" s="22" t="n">
        <f aca="false">Costos!CZ16</f>
        <v>416666.666666667</v>
      </c>
      <c r="DB7" s="22" t="n">
        <f aca="false">Costos!DA16</f>
        <v>416666.666666667</v>
      </c>
      <c r="DC7" s="22" t="n">
        <f aca="false">Costos!DB16</f>
        <v>416666.666666667</v>
      </c>
      <c r="DD7" s="22" t="n">
        <f aca="false">Costos!DC16</f>
        <v>416666.666666667</v>
      </c>
      <c r="DE7" s="22" t="n">
        <f aca="false">Costos!DD16</f>
        <v>416666.666666667</v>
      </c>
      <c r="DF7" s="22" t="n">
        <f aca="false">Costos!DE16</f>
        <v>416666.666666667</v>
      </c>
      <c r="DG7" s="22" t="n">
        <f aca="false">Costos!DF16</f>
        <v>416666.666666667</v>
      </c>
      <c r="DH7" s="22" t="n">
        <f aca="false">Costos!DG16</f>
        <v>416666.666666667</v>
      </c>
      <c r="DI7" s="22" t="n">
        <f aca="false">Costos!DH16</f>
        <v>416666.666666667</v>
      </c>
      <c r="DJ7" s="22" t="n">
        <f aca="false">Costos!DI16</f>
        <v>416666.666666667</v>
      </c>
      <c r="DK7" s="22" t="n">
        <f aca="false">Costos!DJ16</f>
        <v>416666.666666667</v>
      </c>
      <c r="DL7" s="22" t="n">
        <f aca="false">Costos!DK16</f>
        <v>416666.666666667</v>
      </c>
      <c r="DM7" s="22" t="n">
        <f aca="false">Costos!DL16</f>
        <v>416666.666666667</v>
      </c>
      <c r="DN7" s="22" t="n">
        <f aca="false">Costos!DM16</f>
        <v>416666.666666667</v>
      </c>
      <c r="DO7" s="22" t="n">
        <f aca="false">Costos!DN16</f>
        <v>416666.666666667</v>
      </c>
      <c r="DP7" s="22" t="n">
        <f aca="false">Costos!DO16</f>
        <v>416666.666666667</v>
      </c>
      <c r="DQ7" s="22" t="n">
        <f aca="false">Costos!DP16</f>
        <v>416666.666666667</v>
      </c>
      <c r="DR7" s="22" t="n">
        <f aca="false">Costos!DQ16</f>
        <v>416666.666666667</v>
      </c>
      <c r="DS7" s="22" t="n">
        <f aca="false">Costos!DR16</f>
        <v>0</v>
      </c>
      <c r="DT7" s="22" t="n">
        <f aca="false">Costos!DS16</f>
        <v>0</v>
      </c>
      <c r="DU7" s="22" t="n">
        <f aca="false">Costos!DT16</f>
        <v>0</v>
      </c>
      <c r="DV7" s="22" t="n">
        <f aca="false">Costos!DU16</f>
        <v>0</v>
      </c>
      <c r="DW7" s="22" t="n">
        <f aca="false">Costos!DV16</f>
        <v>0</v>
      </c>
      <c r="DX7" s="22" t="n">
        <f aca="false">Costos!DW16</f>
        <v>0</v>
      </c>
      <c r="DY7" s="22" t="n">
        <f aca="false">Costos!DX16</f>
        <v>0</v>
      </c>
      <c r="DZ7" s="22" t="n">
        <f aca="false">Costos!DY16</f>
        <v>0</v>
      </c>
      <c r="EA7" s="22" t="n">
        <f aca="false">Costos!DZ16</f>
        <v>0</v>
      </c>
      <c r="EB7" s="22" t="n">
        <f aca="false">Costos!EA16</f>
        <v>0</v>
      </c>
      <c r="EC7" s="22" t="n">
        <f aca="false">Costos!EB16</f>
        <v>0</v>
      </c>
      <c r="ED7" s="22" t="n">
        <f aca="false">Costos!EC16</f>
        <v>0</v>
      </c>
      <c r="EE7" s="22" t="n">
        <f aca="false">Costos!ED16</f>
        <v>0</v>
      </c>
      <c r="EF7" s="22" t="n">
        <f aca="false">Costos!EE16</f>
        <v>0</v>
      </c>
      <c r="EG7" s="22" t="n">
        <f aca="false">Costos!EF16</f>
        <v>0</v>
      </c>
      <c r="EH7" s="22" t="n">
        <f aca="false">Costos!EG16</f>
        <v>0</v>
      </c>
      <c r="EI7" s="22" t="n">
        <f aca="false">Costos!EH16</f>
        <v>0</v>
      </c>
      <c r="EJ7" s="22" t="n">
        <f aca="false">Costos!EI16</f>
        <v>0</v>
      </c>
      <c r="EK7" s="22" t="n">
        <f aca="false">Costos!EJ16</f>
        <v>0</v>
      </c>
      <c r="EL7" s="22" t="n">
        <f aca="false">Costos!EK16</f>
        <v>0</v>
      </c>
      <c r="EM7" s="22" t="n">
        <f aca="false">Costos!EL16</f>
        <v>0</v>
      </c>
      <c r="EN7" s="22" t="n">
        <f aca="false">Costos!EM16</f>
        <v>0</v>
      </c>
      <c r="EO7" s="22" t="n">
        <f aca="false">Costos!EN16</f>
        <v>0</v>
      </c>
      <c r="EP7" s="22" t="n">
        <f aca="false">Costos!EO16</f>
        <v>0</v>
      </c>
      <c r="EQ7" s="22" t="n">
        <f aca="false">Costos!EP16</f>
        <v>0</v>
      </c>
      <c r="ER7" s="22" t="n">
        <f aca="false">Costos!EQ16</f>
        <v>0</v>
      </c>
      <c r="ES7" s="22" t="n">
        <f aca="false">Costos!ER16</f>
        <v>0</v>
      </c>
      <c r="ET7" s="22" t="n">
        <f aca="false">Costos!ES16</f>
        <v>0</v>
      </c>
      <c r="EU7" s="22" t="n">
        <f aca="false">Costos!ET16</f>
        <v>0</v>
      </c>
      <c r="EV7" s="22" t="n">
        <f aca="false">Costos!EU16</f>
        <v>0</v>
      </c>
      <c r="EW7" s="22" t="n">
        <f aca="false">Costos!EV16</f>
        <v>0</v>
      </c>
      <c r="EX7" s="22" t="n">
        <f aca="false">Costos!EW16</f>
        <v>0</v>
      </c>
      <c r="EY7" s="22" t="n">
        <f aca="false">Costos!EX16</f>
        <v>0</v>
      </c>
      <c r="EZ7" s="22" t="n">
        <f aca="false">Costos!EY16</f>
        <v>0</v>
      </c>
      <c r="FA7" s="22" t="n">
        <f aca="false">Costos!EZ16</f>
        <v>0</v>
      </c>
      <c r="FB7" s="22" t="n">
        <f aca="false">Costos!FA16</f>
        <v>0</v>
      </c>
      <c r="FC7" s="22" t="n">
        <f aca="false">Costos!FB16</f>
        <v>0</v>
      </c>
      <c r="FD7" s="22" t="n">
        <f aca="false">Costos!FC16</f>
        <v>0</v>
      </c>
      <c r="FE7" s="22" t="n">
        <f aca="false">Costos!FD16</f>
        <v>0</v>
      </c>
      <c r="FF7" s="22" t="n">
        <f aca="false">Costos!FE16</f>
        <v>0</v>
      </c>
      <c r="FG7" s="22" t="n">
        <f aca="false">Costos!FF16</f>
        <v>0</v>
      </c>
      <c r="FH7" s="22" t="n">
        <f aca="false">Costos!FG16</f>
        <v>0</v>
      </c>
      <c r="FI7" s="22" t="n">
        <f aca="false">Costos!FH16</f>
        <v>0</v>
      </c>
      <c r="FJ7" s="22" t="n">
        <f aca="false">Costos!FI16</f>
        <v>0</v>
      </c>
      <c r="FK7" s="22" t="n">
        <f aca="false">Costos!FJ16</f>
        <v>0</v>
      </c>
      <c r="FL7" s="22" t="n">
        <f aca="false">Costos!FK16</f>
        <v>0</v>
      </c>
      <c r="FM7" s="22" t="n">
        <f aca="false">Costos!FL16</f>
        <v>0</v>
      </c>
      <c r="FN7" s="22" t="n">
        <f aca="false">Costos!FM16</f>
        <v>0</v>
      </c>
      <c r="FO7" s="22" t="n">
        <f aca="false">Costos!FN16</f>
        <v>0</v>
      </c>
      <c r="FP7" s="22" t="n">
        <f aca="false">Costos!FO16</f>
        <v>0</v>
      </c>
      <c r="FQ7" s="22" t="n">
        <f aca="false">Costos!FP16</f>
        <v>0</v>
      </c>
      <c r="FR7" s="22" t="n">
        <f aca="false">Costos!FQ16</f>
        <v>0</v>
      </c>
      <c r="FS7" s="22" t="n">
        <f aca="false">Costos!FR16</f>
        <v>0</v>
      </c>
      <c r="FT7" s="22" t="n">
        <f aca="false">Costos!FS16</f>
        <v>0</v>
      </c>
      <c r="FU7" s="22" t="n">
        <f aca="false">Costos!FT16</f>
        <v>0</v>
      </c>
      <c r="FV7" s="22" t="n">
        <f aca="false">Costos!FU16</f>
        <v>0</v>
      </c>
      <c r="FW7" s="22" t="n">
        <f aca="false">Costos!FV16</f>
        <v>0</v>
      </c>
      <c r="FX7" s="22" t="n">
        <f aca="false">Costos!FW16</f>
        <v>0</v>
      </c>
      <c r="FY7" s="22" t="n">
        <f aca="false">Costos!FX16</f>
        <v>0</v>
      </c>
      <c r="FZ7" s="22" t="n">
        <f aca="false">Costos!FY16</f>
        <v>0</v>
      </c>
      <c r="GA7" s="22" t="n">
        <f aca="false">Costos!FZ16</f>
        <v>0</v>
      </c>
      <c r="GB7" s="22" t="n">
        <f aca="false">Costos!GA16</f>
        <v>0</v>
      </c>
      <c r="GC7" s="22" t="n">
        <f aca="false">Costos!GB16</f>
        <v>0</v>
      </c>
      <c r="GD7" s="22" t="n">
        <f aca="false">Costos!GC16</f>
        <v>0</v>
      </c>
      <c r="GE7" s="22" t="n">
        <f aca="false">Costos!GD16</f>
        <v>0</v>
      </c>
      <c r="GF7" s="22" t="n">
        <f aca="false">Costos!GE16</f>
        <v>0</v>
      </c>
      <c r="GG7" s="22" t="n">
        <f aca="false">Costos!GF16</f>
        <v>0</v>
      </c>
      <c r="GH7" s="22" t="n">
        <f aca="false">Costos!GG16</f>
        <v>0</v>
      </c>
      <c r="GI7" s="22" t="n">
        <f aca="false">Costos!GH16</f>
        <v>0</v>
      </c>
      <c r="GJ7" s="22" t="n">
        <f aca="false">Costos!GI16</f>
        <v>0</v>
      </c>
      <c r="GK7" s="22" t="n">
        <f aca="false">Costos!GJ16</f>
        <v>0</v>
      </c>
      <c r="GL7" s="22" t="n">
        <f aca="false">Costos!GK16</f>
        <v>0</v>
      </c>
      <c r="GM7" s="22" t="n">
        <f aca="false">Costos!GL16</f>
        <v>0</v>
      </c>
      <c r="GN7" s="22" t="n">
        <f aca="false">Costos!GM16</f>
        <v>0</v>
      </c>
      <c r="GO7" s="22" t="n">
        <f aca="false">Costos!GN16</f>
        <v>0</v>
      </c>
      <c r="GP7" s="22" t="n">
        <f aca="false">Costos!GO16</f>
        <v>0</v>
      </c>
      <c r="GQ7" s="22" t="n">
        <f aca="false">Costos!GP16</f>
        <v>0</v>
      </c>
      <c r="GR7" s="22" t="n">
        <f aca="false">Costos!GQ16</f>
        <v>0</v>
      </c>
      <c r="GS7" s="22" t="n">
        <f aca="false">Costos!GR16</f>
        <v>0</v>
      </c>
      <c r="GT7" s="22" t="n">
        <f aca="false">Costos!GS16</f>
        <v>0</v>
      </c>
      <c r="GU7" s="22" t="n">
        <f aca="false">Costos!GT16</f>
        <v>0</v>
      </c>
      <c r="GV7" s="22" t="n">
        <f aca="false">Costos!GU16</f>
        <v>0</v>
      </c>
      <c r="GW7" s="22" t="n">
        <f aca="false">Costos!GV16</f>
        <v>0</v>
      </c>
      <c r="GX7" s="22" t="n">
        <f aca="false">Costos!GW16</f>
        <v>0</v>
      </c>
      <c r="GY7" s="22" t="n">
        <f aca="false">Costos!GX16</f>
        <v>0</v>
      </c>
      <c r="GZ7" s="22" t="n">
        <f aca="false">Costos!GY16</f>
        <v>0</v>
      </c>
      <c r="HA7" s="22" t="n">
        <f aca="false">Costos!GZ16</f>
        <v>0</v>
      </c>
      <c r="HB7" s="22" t="n">
        <f aca="false">Costos!HA16</f>
        <v>0</v>
      </c>
      <c r="HC7" s="22" t="n">
        <f aca="false">Costos!HB16</f>
        <v>0</v>
      </c>
      <c r="HD7" s="22" t="n">
        <f aca="false">Costos!HC16</f>
        <v>0</v>
      </c>
      <c r="HE7" s="22" t="n">
        <f aca="false">Costos!HD16</f>
        <v>0</v>
      </c>
      <c r="HF7" s="22" t="n">
        <f aca="false">Costos!HE16</f>
        <v>0</v>
      </c>
      <c r="HG7" s="22" t="n">
        <f aca="false">Costos!HF16</f>
        <v>0</v>
      </c>
      <c r="HH7" s="22" t="n">
        <f aca="false">Costos!HG16</f>
        <v>0</v>
      </c>
      <c r="HI7" s="22" t="n">
        <f aca="false">Costos!HH16</f>
        <v>0</v>
      </c>
      <c r="HJ7" s="22" t="n">
        <f aca="false">Costos!HI16</f>
        <v>0</v>
      </c>
      <c r="HK7" s="22" t="n">
        <f aca="false">Costos!HJ16</f>
        <v>0</v>
      </c>
      <c r="HL7" s="22" t="n">
        <f aca="false">Costos!HK16</f>
        <v>0</v>
      </c>
      <c r="HM7" s="22" t="n">
        <f aca="false">Costos!HL16</f>
        <v>0</v>
      </c>
      <c r="HN7" s="22" t="n">
        <f aca="false">Costos!HM16</f>
        <v>0</v>
      </c>
      <c r="HO7" s="22" t="n">
        <f aca="false">Costos!HN16</f>
        <v>0</v>
      </c>
      <c r="HP7" s="22" t="n">
        <f aca="false">Costos!HO16</f>
        <v>0</v>
      </c>
      <c r="HQ7" s="22" t="n">
        <f aca="false">Costos!HP16</f>
        <v>0</v>
      </c>
      <c r="HR7" s="22" t="n">
        <f aca="false">Costos!HQ16</f>
        <v>0</v>
      </c>
      <c r="HS7" s="22" t="n">
        <f aca="false">Costos!HR16</f>
        <v>0</v>
      </c>
      <c r="HT7" s="22" t="n">
        <f aca="false">Costos!HS16</f>
        <v>0</v>
      </c>
      <c r="HU7" s="22" t="n">
        <f aca="false">Costos!HT16</f>
        <v>0</v>
      </c>
      <c r="HV7" s="22" t="n">
        <f aca="false">Costos!HU16</f>
        <v>0</v>
      </c>
      <c r="HW7" s="22" t="n">
        <f aca="false">Costos!HV16</f>
        <v>0</v>
      </c>
      <c r="HX7" s="22" t="n">
        <f aca="false">Costos!HW16</f>
        <v>0</v>
      </c>
      <c r="HY7" s="22" t="n">
        <f aca="false">Costos!HX16</f>
        <v>0</v>
      </c>
      <c r="HZ7" s="22" t="n">
        <f aca="false">Costos!HY16</f>
        <v>0</v>
      </c>
      <c r="IA7" s="22" t="n">
        <f aca="false">Costos!HZ16</f>
        <v>0</v>
      </c>
      <c r="IB7" s="22" t="n">
        <f aca="false">Costos!IA16</f>
        <v>0</v>
      </c>
      <c r="IC7" s="22" t="n">
        <f aca="false">Costos!IB16</f>
        <v>0</v>
      </c>
      <c r="ID7" s="22" t="n">
        <f aca="false">Costos!IC16</f>
        <v>0</v>
      </c>
      <c r="IE7" s="22" t="n">
        <f aca="false">Costos!ID16</f>
        <v>0</v>
      </c>
      <c r="IF7" s="22" t="n">
        <f aca="false">Costos!IE16</f>
        <v>0</v>
      </c>
      <c r="IG7" s="22" t="n">
        <f aca="false">Costos!IF16</f>
        <v>0</v>
      </c>
      <c r="IH7" s="22" t="n">
        <f aca="false">Costos!IG16</f>
        <v>0</v>
      </c>
      <c r="II7" s="22" t="n">
        <f aca="false">Costos!IH16</f>
        <v>0</v>
      </c>
      <c r="IJ7" s="22" t="n">
        <f aca="false">Costos!II16</f>
        <v>0</v>
      </c>
      <c r="IK7" s="22" t="n">
        <f aca="false">Costos!IJ16</f>
        <v>0</v>
      </c>
      <c r="IL7" s="22" t="n">
        <f aca="false">Costos!IK16</f>
        <v>0</v>
      </c>
      <c r="IM7" s="22" t="n">
        <f aca="false">Costos!IL16</f>
        <v>0</v>
      </c>
      <c r="IN7" s="22" t="n">
        <f aca="false">Costos!IM16</f>
        <v>0</v>
      </c>
      <c r="IO7" s="22" t="n">
        <f aca="false">Costos!IN16</f>
        <v>0</v>
      </c>
      <c r="IP7" s="22" t="n">
        <f aca="false">Costos!IO16</f>
        <v>0</v>
      </c>
      <c r="IQ7" s="22" t="n">
        <f aca="false">Costos!IP16</f>
        <v>0</v>
      </c>
      <c r="IR7" s="22" t="n">
        <f aca="false">Costos!IQ16</f>
        <v>0</v>
      </c>
      <c r="IS7" s="22" t="n">
        <f aca="false">Costos!IR16</f>
        <v>0</v>
      </c>
      <c r="IT7" s="22" t="n">
        <f aca="false">Costos!IS16</f>
        <v>0</v>
      </c>
      <c r="IU7" s="22" t="n">
        <f aca="false">Costos!IT16</f>
        <v>0</v>
      </c>
      <c r="IV7" s="22" t="n">
        <f aca="false">Costos!IU16</f>
        <v>0</v>
      </c>
      <c r="IW7" s="22" t="n">
        <f aca="false">Costos!IV16</f>
        <v>0</v>
      </c>
      <c r="IX7" s="22" t="n">
        <f aca="false">Costos!IW16</f>
        <v>0</v>
      </c>
      <c r="IY7" s="22" t="n">
        <f aca="false">Costos!IX16</f>
        <v>0</v>
      </c>
      <c r="IZ7" s="22" t="n">
        <f aca="false">Costos!IY16</f>
        <v>0</v>
      </c>
      <c r="JA7" s="22" t="n">
        <f aca="false">Costos!IZ16</f>
        <v>0</v>
      </c>
      <c r="JB7" s="22" t="n">
        <f aca="false">Costos!JA16</f>
        <v>0</v>
      </c>
      <c r="JC7" s="22" t="n">
        <f aca="false">Costos!JB16</f>
        <v>0</v>
      </c>
      <c r="JD7" s="22" t="n">
        <f aca="false">Costos!JC16</f>
        <v>0</v>
      </c>
      <c r="JE7" s="22" t="n">
        <f aca="false">Costos!JD16</f>
        <v>0</v>
      </c>
      <c r="JF7" s="22" t="n">
        <f aca="false">Costos!JE16</f>
        <v>0</v>
      </c>
      <c r="JG7" s="22" t="n">
        <f aca="false">Costos!JF16</f>
        <v>0</v>
      </c>
      <c r="JH7" s="22" t="n">
        <f aca="false">Costos!JG16</f>
        <v>0</v>
      </c>
      <c r="JI7" s="22" t="n">
        <f aca="false">Costos!JH16</f>
        <v>0</v>
      </c>
      <c r="JJ7" s="22" t="n">
        <f aca="false">Costos!JI16</f>
        <v>0</v>
      </c>
      <c r="JK7" s="22" t="n">
        <f aca="false">Costos!JJ16</f>
        <v>0</v>
      </c>
      <c r="JL7" s="22" t="n">
        <f aca="false">Costos!JK16</f>
        <v>0</v>
      </c>
      <c r="JM7" s="22" t="n">
        <f aca="false">Costos!JL16</f>
        <v>0</v>
      </c>
      <c r="JN7" s="22" t="n">
        <f aca="false">Costos!JM16</f>
        <v>0</v>
      </c>
      <c r="JO7" s="22" t="n">
        <f aca="false">Costos!JN16</f>
        <v>0</v>
      </c>
      <c r="JP7" s="22" t="n">
        <f aca="false">Costos!JO16</f>
        <v>0</v>
      </c>
      <c r="JQ7" s="22" t="n">
        <f aca="false">Costos!JP16</f>
        <v>0</v>
      </c>
      <c r="JR7" s="22" t="n">
        <f aca="false">Costos!JQ16</f>
        <v>0</v>
      </c>
      <c r="JS7" s="22" t="n">
        <f aca="false">Costos!JR16</f>
        <v>0</v>
      </c>
      <c r="JT7" s="22" t="n">
        <f aca="false">Costos!JS16</f>
        <v>0</v>
      </c>
      <c r="JU7" s="22" t="n">
        <f aca="false">Costos!JT16</f>
        <v>0</v>
      </c>
      <c r="JV7" s="22" t="n">
        <f aca="false">Costos!JU16</f>
        <v>0</v>
      </c>
      <c r="JW7" s="22" t="n">
        <f aca="false">Costos!JV16</f>
        <v>0</v>
      </c>
      <c r="JX7" s="22" t="n">
        <f aca="false">Costos!JW16</f>
        <v>0</v>
      </c>
      <c r="JY7" s="22" t="n">
        <f aca="false">Costos!JX16</f>
        <v>0</v>
      </c>
      <c r="JZ7" s="22" t="n">
        <f aca="false">Costos!JY16</f>
        <v>0</v>
      </c>
      <c r="KA7" s="22" t="n">
        <f aca="false">Costos!JZ16</f>
        <v>0</v>
      </c>
      <c r="KB7" s="22" t="n">
        <f aca="false">Costos!KA16</f>
        <v>0</v>
      </c>
      <c r="KC7" s="22" t="n">
        <f aca="false">Costos!KB16</f>
        <v>0</v>
      </c>
      <c r="KD7" s="22" t="n">
        <f aca="false">Costos!KC16</f>
        <v>0</v>
      </c>
      <c r="KE7" s="22" t="n">
        <f aca="false">Costos!KD16</f>
        <v>0</v>
      </c>
      <c r="KF7" s="22" t="n">
        <f aca="false">Costos!KE16</f>
        <v>0</v>
      </c>
      <c r="KG7" s="22" t="n">
        <f aca="false">Costos!KF16</f>
        <v>0</v>
      </c>
      <c r="KH7" s="22" t="n">
        <f aca="false">Costos!KG16</f>
        <v>0</v>
      </c>
      <c r="KI7" s="22" t="n">
        <f aca="false">Costos!KH16</f>
        <v>0</v>
      </c>
      <c r="KJ7" s="22" t="n">
        <f aca="false">Costos!KI16</f>
        <v>0</v>
      </c>
      <c r="KK7" s="22" t="n">
        <f aca="false">Costos!KJ16</f>
        <v>0</v>
      </c>
      <c r="KL7" s="22" t="n">
        <f aca="false">Costos!KK16</f>
        <v>0</v>
      </c>
      <c r="KM7" s="22" t="n">
        <f aca="false">Costos!KL16</f>
        <v>0</v>
      </c>
      <c r="KN7" s="22" t="n">
        <f aca="false">Costos!KM16</f>
        <v>0</v>
      </c>
      <c r="KO7" s="22" t="n">
        <f aca="false">Costos!KN16</f>
        <v>0</v>
      </c>
      <c r="KP7" s="22" t="n">
        <f aca="false">Costos!KO16</f>
        <v>0</v>
      </c>
    </row>
    <row r="8" customFormat="false" ht="14.25" hidden="false" customHeight="false" outlineLevel="0" collapsed="false">
      <c r="A8" s="0" t="s">
        <v>420</v>
      </c>
      <c r="B8" s="18" t="n">
        <f aca="false">-Supuestos!$B$4</f>
        <v>-50000000</v>
      </c>
      <c r="C8" s="19" t="n">
        <v>0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19" t="n">
        <v>0</v>
      </c>
      <c r="AB8" s="19" t="n">
        <v>0</v>
      </c>
      <c r="AC8" s="19" t="n">
        <v>0</v>
      </c>
      <c r="AD8" s="19" t="n">
        <v>0</v>
      </c>
      <c r="AE8" s="19" t="n">
        <v>0</v>
      </c>
      <c r="AF8" s="19" t="n">
        <v>0</v>
      </c>
      <c r="AG8" s="19" t="n">
        <v>0</v>
      </c>
      <c r="AH8" s="19" t="n">
        <v>0</v>
      </c>
      <c r="AI8" s="19" t="n">
        <v>0</v>
      </c>
      <c r="AJ8" s="19" t="n">
        <v>0</v>
      </c>
      <c r="AK8" s="19" t="n">
        <v>0</v>
      </c>
      <c r="AL8" s="19" t="n">
        <v>0</v>
      </c>
      <c r="AM8" s="19" t="n">
        <v>0</v>
      </c>
      <c r="AN8" s="19" t="n">
        <v>0</v>
      </c>
      <c r="AO8" s="19" t="n">
        <v>0</v>
      </c>
      <c r="AP8" s="19" t="n">
        <v>0</v>
      </c>
      <c r="AQ8" s="19" t="n">
        <v>0</v>
      </c>
      <c r="AR8" s="19" t="n">
        <v>0</v>
      </c>
      <c r="AS8" s="19" t="n">
        <v>0</v>
      </c>
      <c r="AT8" s="19" t="n">
        <v>0</v>
      </c>
      <c r="AU8" s="19" t="n">
        <v>0</v>
      </c>
      <c r="AV8" s="19" t="n">
        <v>0</v>
      </c>
      <c r="AW8" s="19" t="n">
        <v>0</v>
      </c>
      <c r="AX8" s="19" t="n">
        <v>0</v>
      </c>
      <c r="AY8" s="19" t="n">
        <v>0</v>
      </c>
      <c r="AZ8" s="19" t="n">
        <v>0</v>
      </c>
      <c r="BA8" s="19" t="n">
        <v>0</v>
      </c>
      <c r="BB8" s="19" t="n">
        <v>0</v>
      </c>
      <c r="BC8" s="19" t="n">
        <v>0</v>
      </c>
      <c r="BD8" s="19" t="n">
        <v>0</v>
      </c>
      <c r="BE8" s="19" t="n">
        <v>0</v>
      </c>
      <c r="BF8" s="19" t="n">
        <v>0</v>
      </c>
      <c r="BG8" s="19" t="n">
        <v>0</v>
      </c>
      <c r="BH8" s="19" t="n">
        <v>0</v>
      </c>
      <c r="BI8" s="19" t="n">
        <v>0</v>
      </c>
      <c r="BJ8" s="19" t="n">
        <v>0</v>
      </c>
      <c r="BK8" s="19" t="n">
        <v>0</v>
      </c>
      <c r="BL8" s="19" t="n">
        <v>0</v>
      </c>
      <c r="BM8" s="19" t="n">
        <v>0</v>
      </c>
      <c r="BN8" s="19" t="n">
        <v>0</v>
      </c>
      <c r="BO8" s="19" t="n">
        <v>0</v>
      </c>
      <c r="BP8" s="19" t="n">
        <v>0</v>
      </c>
      <c r="BQ8" s="19" t="n">
        <v>0</v>
      </c>
      <c r="BR8" s="19" t="n">
        <v>0</v>
      </c>
      <c r="BS8" s="19" t="n">
        <v>0</v>
      </c>
      <c r="BT8" s="19" t="n">
        <v>0</v>
      </c>
      <c r="BU8" s="19" t="n">
        <v>0</v>
      </c>
      <c r="BV8" s="19" t="n">
        <v>0</v>
      </c>
      <c r="BW8" s="19" t="n">
        <v>0</v>
      </c>
      <c r="BX8" s="19" t="n">
        <v>0</v>
      </c>
      <c r="BY8" s="19" t="n">
        <v>0</v>
      </c>
      <c r="BZ8" s="19" t="n">
        <v>0</v>
      </c>
      <c r="CA8" s="19" t="n">
        <v>0</v>
      </c>
      <c r="CB8" s="19" t="n">
        <v>0</v>
      </c>
      <c r="CC8" s="19" t="n">
        <v>0</v>
      </c>
      <c r="CD8" s="19" t="n">
        <v>0</v>
      </c>
      <c r="CE8" s="19" t="n">
        <v>0</v>
      </c>
      <c r="CF8" s="19" t="n">
        <v>0</v>
      </c>
      <c r="CG8" s="19" t="n">
        <v>0</v>
      </c>
      <c r="CH8" s="19" t="n">
        <v>0</v>
      </c>
      <c r="CI8" s="19" t="n">
        <v>0</v>
      </c>
      <c r="CJ8" s="19" t="n">
        <v>0</v>
      </c>
      <c r="CK8" s="19" t="n">
        <v>0</v>
      </c>
      <c r="CL8" s="19" t="n">
        <v>0</v>
      </c>
      <c r="CM8" s="19" t="n">
        <v>0</v>
      </c>
      <c r="CN8" s="19" t="n">
        <v>0</v>
      </c>
      <c r="CO8" s="19" t="n">
        <v>0</v>
      </c>
      <c r="CP8" s="19" t="n">
        <v>0</v>
      </c>
      <c r="CQ8" s="19" t="n">
        <v>0</v>
      </c>
      <c r="CR8" s="19" t="n">
        <v>0</v>
      </c>
      <c r="CS8" s="19" t="n">
        <v>0</v>
      </c>
      <c r="CT8" s="19" t="n">
        <v>0</v>
      </c>
      <c r="CU8" s="19" t="n">
        <v>0</v>
      </c>
      <c r="CV8" s="19" t="n">
        <v>0</v>
      </c>
      <c r="CW8" s="19" t="n">
        <v>0</v>
      </c>
      <c r="CX8" s="19" t="n">
        <v>0</v>
      </c>
      <c r="CY8" s="19" t="n">
        <v>0</v>
      </c>
      <c r="CZ8" s="19" t="n">
        <v>0</v>
      </c>
      <c r="DA8" s="19" t="n">
        <v>0</v>
      </c>
      <c r="DB8" s="19" t="n">
        <v>0</v>
      </c>
      <c r="DC8" s="19" t="n">
        <v>0</v>
      </c>
      <c r="DD8" s="19" t="n">
        <v>0</v>
      </c>
      <c r="DE8" s="19" t="n">
        <v>0</v>
      </c>
      <c r="DF8" s="19" t="n">
        <v>0</v>
      </c>
      <c r="DG8" s="19" t="n">
        <v>0</v>
      </c>
      <c r="DH8" s="19" t="n">
        <v>0</v>
      </c>
      <c r="DI8" s="19" t="n">
        <v>0</v>
      </c>
      <c r="DJ8" s="19" t="n">
        <v>0</v>
      </c>
      <c r="DK8" s="19" t="n">
        <v>0</v>
      </c>
      <c r="DL8" s="19" t="n">
        <v>0</v>
      </c>
      <c r="DM8" s="19" t="n">
        <v>0</v>
      </c>
      <c r="DN8" s="19" t="n">
        <v>0</v>
      </c>
      <c r="DO8" s="19" t="n">
        <v>0</v>
      </c>
      <c r="DP8" s="19" t="n">
        <v>0</v>
      </c>
      <c r="DQ8" s="19" t="n">
        <v>0</v>
      </c>
      <c r="DR8" s="19" t="n">
        <v>0</v>
      </c>
      <c r="DS8" s="19" t="n">
        <v>0</v>
      </c>
      <c r="DT8" s="19" t="n">
        <v>0</v>
      </c>
      <c r="DU8" s="19" t="n">
        <v>0</v>
      </c>
      <c r="DV8" s="19" t="n">
        <v>0</v>
      </c>
      <c r="DW8" s="19" t="n">
        <v>0</v>
      </c>
      <c r="DX8" s="19" t="n">
        <v>0</v>
      </c>
      <c r="DY8" s="19" t="n">
        <v>0</v>
      </c>
      <c r="DZ8" s="19" t="n">
        <v>0</v>
      </c>
      <c r="EA8" s="19" t="n">
        <v>0</v>
      </c>
      <c r="EB8" s="19" t="n">
        <v>0</v>
      </c>
      <c r="EC8" s="19" t="n">
        <v>0</v>
      </c>
      <c r="ED8" s="19" t="n">
        <v>0</v>
      </c>
      <c r="EE8" s="19" t="n">
        <v>0</v>
      </c>
      <c r="EF8" s="19" t="n">
        <v>0</v>
      </c>
      <c r="EG8" s="19" t="n">
        <v>0</v>
      </c>
      <c r="EH8" s="19" t="n">
        <v>0</v>
      </c>
      <c r="EI8" s="19" t="n">
        <v>0</v>
      </c>
      <c r="EJ8" s="19" t="n">
        <v>0</v>
      </c>
      <c r="EK8" s="19" t="n">
        <v>0</v>
      </c>
      <c r="EL8" s="19" t="n">
        <v>0</v>
      </c>
      <c r="EM8" s="19" t="n">
        <v>0</v>
      </c>
      <c r="EN8" s="19" t="n">
        <v>0</v>
      </c>
      <c r="EO8" s="19" t="n">
        <v>0</v>
      </c>
      <c r="EP8" s="19" t="n">
        <v>0</v>
      </c>
      <c r="EQ8" s="19" t="n">
        <v>0</v>
      </c>
      <c r="ER8" s="19" t="n">
        <v>0</v>
      </c>
      <c r="ES8" s="19" t="n">
        <v>0</v>
      </c>
      <c r="ET8" s="19" t="n">
        <v>0</v>
      </c>
      <c r="EU8" s="19" t="n">
        <v>0</v>
      </c>
      <c r="EV8" s="19" t="n">
        <v>0</v>
      </c>
      <c r="EW8" s="19" t="n">
        <v>0</v>
      </c>
      <c r="EX8" s="19" t="n">
        <v>0</v>
      </c>
      <c r="EY8" s="19" t="n">
        <v>0</v>
      </c>
      <c r="EZ8" s="19" t="n">
        <v>0</v>
      </c>
      <c r="FA8" s="19" t="n">
        <v>0</v>
      </c>
      <c r="FB8" s="19" t="n">
        <v>0</v>
      </c>
      <c r="FC8" s="19" t="n">
        <v>0</v>
      </c>
      <c r="FD8" s="19" t="n">
        <v>0</v>
      </c>
      <c r="FE8" s="19" t="n">
        <v>0</v>
      </c>
      <c r="FF8" s="19" t="n">
        <v>0</v>
      </c>
      <c r="FG8" s="19" t="n">
        <v>0</v>
      </c>
      <c r="FH8" s="19" t="n">
        <v>0</v>
      </c>
      <c r="FI8" s="19" t="n">
        <v>0</v>
      </c>
      <c r="FJ8" s="19" t="n">
        <v>0</v>
      </c>
      <c r="FK8" s="19" t="n">
        <v>0</v>
      </c>
      <c r="FL8" s="19" t="n">
        <v>0</v>
      </c>
      <c r="FM8" s="19" t="n">
        <v>0</v>
      </c>
      <c r="FN8" s="19" t="n">
        <v>0</v>
      </c>
      <c r="FO8" s="19" t="n">
        <v>0</v>
      </c>
      <c r="FP8" s="19" t="n">
        <v>0</v>
      </c>
      <c r="FQ8" s="19" t="n">
        <v>0</v>
      </c>
      <c r="FR8" s="19" t="n">
        <v>0</v>
      </c>
      <c r="FS8" s="19" t="n">
        <v>0</v>
      </c>
      <c r="FT8" s="19" t="n">
        <v>0</v>
      </c>
      <c r="FU8" s="19" t="n">
        <v>0</v>
      </c>
      <c r="FV8" s="19" t="n">
        <v>0</v>
      </c>
      <c r="FW8" s="19" t="n">
        <v>0</v>
      </c>
      <c r="FX8" s="19" t="n">
        <v>0</v>
      </c>
      <c r="FY8" s="19" t="n">
        <v>0</v>
      </c>
      <c r="FZ8" s="19" t="n">
        <v>0</v>
      </c>
      <c r="GA8" s="19" t="n">
        <v>0</v>
      </c>
      <c r="GB8" s="19" t="n">
        <v>0</v>
      </c>
      <c r="GC8" s="19" t="n">
        <v>0</v>
      </c>
      <c r="GD8" s="19" t="n">
        <v>0</v>
      </c>
      <c r="GE8" s="19" t="n">
        <v>0</v>
      </c>
      <c r="GF8" s="19" t="n">
        <v>0</v>
      </c>
      <c r="GG8" s="19" t="n">
        <v>0</v>
      </c>
      <c r="GH8" s="19" t="n">
        <v>0</v>
      </c>
      <c r="GI8" s="19" t="n">
        <v>0</v>
      </c>
      <c r="GJ8" s="19" t="n">
        <v>0</v>
      </c>
      <c r="GK8" s="19" t="n">
        <v>0</v>
      </c>
      <c r="GL8" s="19" t="n">
        <v>0</v>
      </c>
      <c r="GM8" s="19" t="n">
        <v>0</v>
      </c>
      <c r="GN8" s="19" t="n">
        <v>0</v>
      </c>
      <c r="GO8" s="19" t="n">
        <v>0</v>
      </c>
      <c r="GP8" s="19" t="n">
        <v>0</v>
      </c>
      <c r="GQ8" s="19" t="n">
        <v>0</v>
      </c>
      <c r="GR8" s="19" t="n">
        <v>0</v>
      </c>
      <c r="GS8" s="19" t="n">
        <v>0</v>
      </c>
      <c r="GT8" s="19" t="n">
        <v>0</v>
      </c>
      <c r="GU8" s="19" t="n">
        <v>0</v>
      </c>
      <c r="GV8" s="19" t="n">
        <v>0</v>
      </c>
      <c r="GW8" s="19" t="n">
        <v>0</v>
      </c>
      <c r="GX8" s="19" t="n">
        <v>0</v>
      </c>
      <c r="GY8" s="19" t="n">
        <v>0</v>
      </c>
      <c r="GZ8" s="19" t="n">
        <v>0</v>
      </c>
      <c r="HA8" s="19" t="n">
        <v>0</v>
      </c>
      <c r="HB8" s="19" t="n">
        <v>0</v>
      </c>
      <c r="HC8" s="19" t="n">
        <v>0</v>
      </c>
      <c r="HD8" s="19" t="n">
        <v>0</v>
      </c>
      <c r="HE8" s="19" t="n">
        <v>0</v>
      </c>
      <c r="HF8" s="19" t="n">
        <v>0</v>
      </c>
      <c r="HG8" s="19" t="n">
        <v>0</v>
      </c>
      <c r="HH8" s="19" t="n">
        <v>0</v>
      </c>
      <c r="HI8" s="19" t="n">
        <v>0</v>
      </c>
      <c r="HJ8" s="19" t="n">
        <v>0</v>
      </c>
      <c r="HK8" s="19" t="n">
        <v>0</v>
      </c>
      <c r="HL8" s="19" t="n">
        <v>0</v>
      </c>
      <c r="HM8" s="19" t="n">
        <v>0</v>
      </c>
      <c r="HN8" s="19" t="n">
        <v>0</v>
      </c>
      <c r="HO8" s="19" t="n">
        <v>0</v>
      </c>
      <c r="HP8" s="19" t="n">
        <v>0</v>
      </c>
      <c r="HQ8" s="19" t="n">
        <v>0</v>
      </c>
      <c r="HR8" s="19" t="n">
        <v>0</v>
      </c>
      <c r="HS8" s="19" t="n">
        <v>0</v>
      </c>
      <c r="HT8" s="19" t="n">
        <v>0</v>
      </c>
      <c r="HU8" s="19" t="n">
        <v>0</v>
      </c>
      <c r="HV8" s="19" t="n">
        <v>0</v>
      </c>
      <c r="HW8" s="19" t="n">
        <v>0</v>
      </c>
      <c r="HX8" s="19" t="n">
        <v>0</v>
      </c>
      <c r="HY8" s="19" t="n">
        <v>0</v>
      </c>
      <c r="HZ8" s="19" t="n">
        <v>0</v>
      </c>
      <c r="IA8" s="19" t="n">
        <v>0</v>
      </c>
      <c r="IB8" s="19" t="n">
        <v>0</v>
      </c>
      <c r="IC8" s="19" t="n">
        <v>0</v>
      </c>
      <c r="ID8" s="19" t="n">
        <v>0</v>
      </c>
      <c r="IE8" s="19" t="n">
        <v>0</v>
      </c>
      <c r="IF8" s="19" t="n">
        <v>0</v>
      </c>
      <c r="IG8" s="19" t="n">
        <v>0</v>
      </c>
      <c r="IH8" s="19" t="n">
        <v>0</v>
      </c>
      <c r="II8" s="19" t="n">
        <v>0</v>
      </c>
      <c r="IJ8" s="19" t="n">
        <v>0</v>
      </c>
      <c r="IK8" s="19" t="n">
        <v>0</v>
      </c>
      <c r="IL8" s="19" t="n">
        <v>0</v>
      </c>
      <c r="IM8" s="19" t="n">
        <v>0</v>
      </c>
      <c r="IN8" s="19" t="n">
        <v>0</v>
      </c>
      <c r="IO8" s="19" t="n">
        <v>0</v>
      </c>
      <c r="IP8" s="19" t="n">
        <v>0</v>
      </c>
      <c r="IQ8" s="19" t="n">
        <v>0</v>
      </c>
      <c r="IR8" s="19" t="n">
        <v>0</v>
      </c>
      <c r="IS8" s="19" t="n">
        <v>0</v>
      </c>
      <c r="IT8" s="19" t="n">
        <v>0</v>
      </c>
      <c r="IU8" s="19" t="n">
        <v>0</v>
      </c>
      <c r="IV8" s="19" t="n">
        <v>0</v>
      </c>
      <c r="IW8" s="19" t="n">
        <v>0</v>
      </c>
      <c r="IX8" s="19" t="n">
        <v>0</v>
      </c>
      <c r="IY8" s="19" t="n">
        <v>0</v>
      </c>
      <c r="IZ8" s="19" t="n">
        <v>0</v>
      </c>
      <c r="JA8" s="19" t="n">
        <v>0</v>
      </c>
      <c r="JB8" s="19" t="n">
        <v>0</v>
      </c>
      <c r="JC8" s="19" t="n">
        <v>0</v>
      </c>
      <c r="JD8" s="19" t="n">
        <v>0</v>
      </c>
      <c r="JE8" s="19" t="n">
        <v>0</v>
      </c>
      <c r="JF8" s="19" t="n">
        <v>0</v>
      </c>
      <c r="JG8" s="19" t="n">
        <v>0</v>
      </c>
      <c r="JH8" s="19" t="n">
        <v>0</v>
      </c>
      <c r="JI8" s="19" t="n">
        <v>0</v>
      </c>
      <c r="JJ8" s="19" t="n">
        <v>0</v>
      </c>
      <c r="JK8" s="19" t="n">
        <v>0</v>
      </c>
      <c r="JL8" s="19" t="n">
        <v>0</v>
      </c>
      <c r="JM8" s="19" t="n">
        <v>0</v>
      </c>
      <c r="JN8" s="19" t="n">
        <v>0</v>
      </c>
      <c r="JO8" s="19" t="n">
        <v>0</v>
      </c>
      <c r="JP8" s="19" t="n">
        <v>0</v>
      </c>
      <c r="JQ8" s="19" t="n">
        <v>0</v>
      </c>
      <c r="JR8" s="19" t="n">
        <v>0</v>
      </c>
      <c r="JS8" s="19" t="n">
        <v>0</v>
      </c>
      <c r="JT8" s="19" t="n">
        <v>0</v>
      </c>
      <c r="JU8" s="19" t="n">
        <v>0</v>
      </c>
      <c r="JV8" s="19" t="n">
        <v>0</v>
      </c>
      <c r="JW8" s="19" t="n">
        <v>0</v>
      </c>
      <c r="JX8" s="19" t="n">
        <v>0</v>
      </c>
      <c r="JY8" s="19" t="n">
        <v>0</v>
      </c>
      <c r="JZ8" s="19" t="n">
        <v>0</v>
      </c>
      <c r="KA8" s="19" t="n">
        <v>0</v>
      </c>
      <c r="KB8" s="19" t="n">
        <v>0</v>
      </c>
      <c r="KC8" s="19" t="n">
        <v>0</v>
      </c>
      <c r="KD8" s="19" t="n">
        <v>0</v>
      </c>
      <c r="KE8" s="19" t="n">
        <v>0</v>
      </c>
      <c r="KF8" s="19" t="n">
        <v>0</v>
      </c>
      <c r="KG8" s="19" t="n">
        <v>0</v>
      </c>
      <c r="KH8" s="19" t="n">
        <v>0</v>
      </c>
      <c r="KI8" s="19" t="n">
        <v>0</v>
      </c>
      <c r="KJ8" s="19" t="n">
        <v>0</v>
      </c>
      <c r="KK8" s="19" t="n">
        <v>0</v>
      </c>
      <c r="KL8" s="19" t="n">
        <v>0</v>
      </c>
      <c r="KM8" s="19" t="n">
        <v>0</v>
      </c>
      <c r="KN8" s="19" t="n">
        <v>0</v>
      </c>
      <c r="KO8" s="19" t="n">
        <v>0</v>
      </c>
      <c r="KP8" s="19" t="n">
        <v>0</v>
      </c>
    </row>
    <row r="9" customFormat="false" ht="14.25" hidden="false" customHeight="false" outlineLevel="0" collapsed="false">
      <c r="A9" s="0" t="s">
        <v>421</v>
      </c>
      <c r="B9" s="18" t="n">
        <f aca="false">-Supuestos!$B$5</f>
        <v>-7000000</v>
      </c>
      <c r="C9" s="19" t="n">
        <v>0</v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0</v>
      </c>
      <c r="R9" s="19" t="n">
        <v>0</v>
      </c>
      <c r="S9" s="19" t="n">
        <v>0</v>
      </c>
      <c r="T9" s="19" t="n">
        <v>0</v>
      </c>
      <c r="U9" s="19" t="n">
        <v>0</v>
      </c>
      <c r="V9" s="19" t="n">
        <v>0</v>
      </c>
      <c r="W9" s="19" t="n">
        <v>0</v>
      </c>
      <c r="X9" s="19" t="n">
        <v>0</v>
      </c>
      <c r="Y9" s="19" t="n">
        <v>0</v>
      </c>
      <c r="Z9" s="19" t="n">
        <v>0</v>
      </c>
      <c r="AA9" s="19" t="n">
        <v>0</v>
      </c>
      <c r="AB9" s="19" t="n">
        <v>0</v>
      </c>
      <c r="AC9" s="19" t="n">
        <v>0</v>
      </c>
      <c r="AD9" s="19" t="n">
        <v>0</v>
      </c>
      <c r="AE9" s="19" t="n">
        <v>0</v>
      </c>
      <c r="AF9" s="19" t="n">
        <v>0</v>
      </c>
      <c r="AG9" s="19" t="n">
        <v>0</v>
      </c>
      <c r="AH9" s="19" t="n">
        <v>0</v>
      </c>
      <c r="AI9" s="19" t="n">
        <v>0</v>
      </c>
      <c r="AJ9" s="19" t="n">
        <v>0</v>
      </c>
      <c r="AK9" s="19" t="n">
        <v>0</v>
      </c>
      <c r="AL9" s="19" t="n">
        <v>0</v>
      </c>
      <c r="AM9" s="19" t="n">
        <v>0</v>
      </c>
      <c r="AN9" s="19" t="n">
        <v>0</v>
      </c>
      <c r="AO9" s="19" t="n">
        <v>0</v>
      </c>
      <c r="AP9" s="19" t="n">
        <v>0</v>
      </c>
      <c r="AQ9" s="19" t="n">
        <v>0</v>
      </c>
      <c r="AR9" s="19" t="n">
        <v>0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9" t="n">
        <v>0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19" t="n">
        <v>0</v>
      </c>
      <c r="CF9" s="19" t="n">
        <v>0</v>
      </c>
      <c r="CG9" s="19" t="n">
        <v>0</v>
      </c>
      <c r="CH9" s="19" t="n">
        <v>0</v>
      </c>
      <c r="CI9" s="19" t="n">
        <v>0</v>
      </c>
      <c r="CJ9" s="19" t="n">
        <v>0</v>
      </c>
      <c r="CK9" s="19" t="n">
        <v>0</v>
      </c>
      <c r="CL9" s="19" t="n">
        <v>0</v>
      </c>
      <c r="CM9" s="19" t="n">
        <v>0</v>
      </c>
      <c r="CN9" s="19" t="n">
        <v>0</v>
      </c>
      <c r="CO9" s="19" t="n">
        <v>0</v>
      </c>
      <c r="CP9" s="19" t="n">
        <v>0</v>
      </c>
      <c r="CQ9" s="19" t="n">
        <v>0</v>
      </c>
      <c r="CR9" s="19" t="n">
        <v>0</v>
      </c>
      <c r="CS9" s="19" t="n">
        <v>0</v>
      </c>
      <c r="CT9" s="19" t="n">
        <v>0</v>
      </c>
      <c r="CU9" s="19" t="n">
        <v>0</v>
      </c>
      <c r="CV9" s="19" t="n">
        <v>0</v>
      </c>
      <c r="CW9" s="19" t="n">
        <v>0</v>
      </c>
      <c r="CX9" s="19" t="n">
        <v>0</v>
      </c>
      <c r="CY9" s="19" t="n">
        <v>0</v>
      </c>
      <c r="CZ9" s="19" t="n">
        <v>0</v>
      </c>
      <c r="DA9" s="19" t="n">
        <v>0</v>
      </c>
      <c r="DB9" s="19" t="n">
        <v>0</v>
      </c>
      <c r="DC9" s="19" t="n">
        <v>0</v>
      </c>
      <c r="DD9" s="19" t="n">
        <v>0</v>
      </c>
      <c r="DE9" s="19" t="n">
        <v>0</v>
      </c>
      <c r="DF9" s="19" t="n">
        <v>0</v>
      </c>
      <c r="DG9" s="19" t="n">
        <v>0</v>
      </c>
      <c r="DH9" s="19" t="n">
        <v>0</v>
      </c>
      <c r="DI9" s="19" t="n">
        <v>0</v>
      </c>
      <c r="DJ9" s="19" t="n">
        <v>0</v>
      </c>
      <c r="DK9" s="19" t="n">
        <v>0</v>
      </c>
      <c r="DL9" s="19" t="n">
        <v>0</v>
      </c>
      <c r="DM9" s="19" t="n">
        <v>0</v>
      </c>
      <c r="DN9" s="19" t="n">
        <v>0</v>
      </c>
      <c r="DO9" s="19" t="n">
        <v>0</v>
      </c>
      <c r="DP9" s="19" t="n">
        <v>0</v>
      </c>
      <c r="DQ9" s="19" t="n">
        <v>0</v>
      </c>
      <c r="DR9" s="19" t="n">
        <v>0</v>
      </c>
      <c r="DS9" s="19" t="n">
        <v>0</v>
      </c>
      <c r="DT9" s="19" t="n">
        <v>0</v>
      </c>
      <c r="DU9" s="19" t="n">
        <v>0</v>
      </c>
      <c r="DV9" s="19" t="n">
        <v>0</v>
      </c>
      <c r="DW9" s="19" t="n">
        <v>0</v>
      </c>
      <c r="DX9" s="19" t="n">
        <v>0</v>
      </c>
      <c r="DY9" s="19" t="n">
        <v>0</v>
      </c>
      <c r="DZ9" s="19" t="n">
        <v>0</v>
      </c>
      <c r="EA9" s="19" t="n">
        <v>0</v>
      </c>
      <c r="EB9" s="19" t="n">
        <v>0</v>
      </c>
      <c r="EC9" s="19" t="n">
        <v>0</v>
      </c>
      <c r="ED9" s="19" t="n">
        <v>0</v>
      </c>
      <c r="EE9" s="19" t="n">
        <v>0</v>
      </c>
      <c r="EF9" s="19" t="n">
        <v>0</v>
      </c>
      <c r="EG9" s="19" t="n">
        <v>0</v>
      </c>
      <c r="EH9" s="19" t="n">
        <v>0</v>
      </c>
      <c r="EI9" s="19" t="n">
        <v>0</v>
      </c>
      <c r="EJ9" s="19" t="n">
        <v>0</v>
      </c>
      <c r="EK9" s="19" t="n">
        <v>0</v>
      </c>
      <c r="EL9" s="19" t="n">
        <v>0</v>
      </c>
      <c r="EM9" s="19" t="n">
        <v>0</v>
      </c>
      <c r="EN9" s="19" t="n">
        <v>0</v>
      </c>
      <c r="EO9" s="19" t="n">
        <v>0</v>
      </c>
      <c r="EP9" s="19" t="n">
        <v>0</v>
      </c>
      <c r="EQ9" s="19" t="n">
        <v>0</v>
      </c>
      <c r="ER9" s="19" t="n">
        <v>0</v>
      </c>
      <c r="ES9" s="19" t="n">
        <v>0</v>
      </c>
      <c r="ET9" s="19" t="n">
        <v>0</v>
      </c>
      <c r="EU9" s="19" t="n">
        <v>0</v>
      </c>
      <c r="EV9" s="19" t="n">
        <v>0</v>
      </c>
      <c r="EW9" s="19" t="n">
        <v>0</v>
      </c>
      <c r="EX9" s="19" t="n">
        <v>0</v>
      </c>
      <c r="EY9" s="19" t="n">
        <v>0</v>
      </c>
      <c r="EZ9" s="19" t="n">
        <v>0</v>
      </c>
      <c r="FA9" s="19" t="n">
        <v>0</v>
      </c>
      <c r="FB9" s="19" t="n">
        <v>0</v>
      </c>
      <c r="FC9" s="19" t="n">
        <v>0</v>
      </c>
      <c r="FD9" s="19" t="n">
        <v>0</v>
      </c>
      <c r="FE9" s="19" t="n">
        <v>0</v>
      </c>
      <c r="FF9" s="19" t="n">
        <v>0</v>
      </c>
      <c r="FG9" s="19" t="n">
        <v>0</v>
      </c>
      <c r="FH9" s="19" t="n">
        <v>0</v>
      </c>
      <c r="FI9" s="19" t="n">
        <v>0</v>
      </c>
      <c r="FJ9" s="19" t="n">
        <v>0</v>
      </c>
      <c r="FK9" s="19" t="n">
        <v>0</v>
      </c>
      <c r="FL9" s="19" t="n">
        <v>0</v>
      </c>
      <c r="FM9" s="19" t="n">
        <v>0</v>
      </c>
      <c r="FN9" s="19" t="n">
        <v>0</v>
      </c>
      <c r="FO9" s="19" t="n">
        <v>0</v>
      </c>
      <c r="FP9" s="19" t="n">
        <v>0</v>
      </c>
      <c r="FQ9" s="19" t="n">
        <v>0</v>
      </c>
      <c r="FR9" s="19" t="n">
        <v>0</v>
      </c>
      <c r="FS9" s="19" t="n">
        <v>0</v>
      </c>
      <c r="FT9" s="19" t="n">
        <v>0</v>
      </c>
      <c r="FU9" s="19" t="n">
        <v>0</v>
      </c>
      <c r="FV9" s="19" t="n">
        <v>0</v>
      </c>
      <c r="FW9" s="19" t="n">
        <v>0</v>
      </c>
      <c r="FX9" s="19" t="n">
        <v>0</v>
      </c>
      <c r="FY9" s="19" t="n">
        <v>0</v>
      </c>
      <c r="FZ9" s="19" t="n">
        <v>0</v>
      </c>
      <c r="GA9" s="19" t="n">
        <v>0</v>
      </c>
      <c r="GB9" s="19" t="n">
        <v>0</v>
      </c>
      <c r="GC9" s="19" t="n">
        <v>0</v>
      </c>
      <c r="GD9" s="19" t="n">
        <v>0</v>
      </c>
      <c r="GE9" s="19" t="n">
        <v>0</v>
      </c>
      <c r="GF9" s="19" t="n">
        <v>0</v>
      </c>
      <c r="GG9" s="19" t="n">
        <v>0</v>
      </c>
      <c r="GH9" s="19" t="n">
        <v>0</v>
      </c>
      <c r="GI9" s="19" t="n">
        <v>0</v>
      </c>
      <c r="GJ9" s="19" t="n">
        <v>0</v>
      </c>
      <c r="GK9" s="19" t="n">
        <v>0</v>
      </c>
      <c r="GL9" s="19" t="n">
        <v>0</v>
      </c>
      <c r="GM9" s="19" t="n">
        <v>0</v>
      </c>
      <c r="GN9" s="19" t="n">
        <v>0</v>
      </c>
      <c r="GO9" s="19" t="n">
        <v>0</v>
      </c>
      <c r="GP9" s="19" t="n">
        <v>0</v>
      </c>
      <c r="GQ9" s="19" t="n">
        <v>0</v>
      </c>
      <c r="GR9" s="19" t="n">
        <v>0</v>
      </c>
      <c r="GS9" s="19" t="n">
        <v>0</v>
      </c>
      <c r="GT9" s="19" t="n">
        <v>0</v>
      </c>
      <c r="GU9" s="19" t="n">
        <v>0</v>
      </c>
      <c r="GV9" s="19" t="n">
        <v>0</v>
      </c>
      <c r="GW9" s="19" t="n">
        <v>0</v>
      </c>
      <c r="GX9" s="19" t="n">
        <v>0</v>
      </c>
      <c r="GY9" s="19" t="n">
        <v>0</v>
      </c>
      <c r="GZ9" s="19" t="n">
        <v>0</v>
      </c>
      <c r="HA9" s="19" t="n">
        <v>0</v>
      </c>
      <c r="HB9" s="19" t="n">
        <v>0</v>
      </c>
      <c r="HC9" s="19" t="n">
        <v>0</v>
      </c>
      <c r="HD9" s="19" t="n">
        <v>0</v>
      </c>
      <c r="HE9" s="19" t="n">
        <v>0</v>
      </c>
      <c r="HF9" s="19" t="n">
        <v>0</v>
      </c>
      <c r="HG9" s="19" t="n">
        <v>0</v>
      </c>
      <c r="HH9" s="19" t="n">
        <v>0</v>
      </c>
      <c r="HI9" s="19" t="n">
        <v>0</v>
      </c>
      <c r="HJ9" s="19" t="n">
        <v>0</v>
      </c>
      <c r="HK9" s="19" t="n">
        <v>0</v>
      </c>
      <c r="HL9" s="19" t="n">
        <v>0</v>
      </c>
      <c r="HM9" s="19" t="n">
        <v>0</v>
      </c>
      <c r="HN9" s="19" t="n">
        <v>0</v>
      </c>
      <c r="HO9" s="19" t="n">
        <v>0</v>
      </c>
      <c r="HP9" s="19" t="n">
        <v>0</v>
      </c>
      <c r="HQ9" s="19" t="n">
        <v>0</v>
      </c>
      <c r="HR9" s="19" t="n">
        <v>0</v>
      </c>
      <c r="HS9" s="19" t="n">
        <v>0</v>
      </c>
      <c r="HT9" s="19" t="n">
        <v>0</v>
      </c>
      <c r="HU9" s="19" t="n">
        <v>0</v>
      </c>
      <c r="HV9" s="19" t="n">
        <v>0</v>
      </c>
      <c r="HW9" s="19" t="n">
        <v>0</v>
      </c>
      <c r="HX9" s="19" t="n">
        <v>0</v>
      </c>
      <c r="HY9" s="19" t="n">
        <v>0</v>
      </c>
      <c r="HZ9" s="19" t="n">
        <v>0</v>
      </c>
      <c r="IA9" s="19" t="n">
        <v>0</v>
      </c>
      <c r="IB9" s="19" t="n">
        <v>0</v>
      </c>
      <c r="IC9" s="19" t="n">
        <v>0</v>
      </c>
      <c r="ID9" s="19" t="n">
        <v>0</v>
      </c>
      <c r="IE9" s="19" t="n">
        <v>0</v>
      </c>
      <c r="IF9" s="19" t="n">
        <v>0</v>
      </c>
      <c r="IG9" s="19" t="n">
        <v>0</v>
      </c>
      <c r="IH9" s="19" t="n">
        <v>0</v>
      </c>
      <c r="II9" s="19" t="n">
        <v>0</v>
      </c>
      <c r="IJ9" s="19" t="n">
        <v>0</v>
      </c>
      <c r="IK9" s="19" t="n">
        <v>0</v>
      </c>
      <c r="IL9" s="19" t="n">
        <v>0</v>
      </c>
      <c r="IM9" s="19" t="n">
        <v>0</v>
      </c>
      <c r="IN9" s="19" t="n">
        <v>0</v>
      </c>
      <c r="IO9" s="19" t="n">
        <v>0</v>
      </c>
      <c r="IP9" s="19" t="n">
        <v>0</v>
      </c>
      <c r="IQ9" s="19" t="n">
        <v>0</v>
      </c>
      <c r="IR9" s="19" t="n">
        <v>0</v>
      </c>
      <c r="IS9" s="19" t="n">
        <v>0</v>
      </c>
      <c r="IT9" s="19" t="n">
        <v>0</v>
      </c>
      <c r="IU9" s="19" t="n">
        <v>0</v>
      </c>
      <c r="IV9" s="19" t="n">
        <v>0</v>
      </c>
      <c r="IW9" s="19" t="n">
        <v>0</v>
      </c>
      <c r="IX9" s="19" t="n">
        <v>0</v>
      </c>
      <c r="IY9" s="19" t="n">
        <v>0</v>
      </c>
      <c r="IZ9" s="19" t="n">
        <v>0</v>
      </c>
      <c r="JA9" s="19" t="n">
        <v>0</v>
      </c>
      <c r="JB9" s="19" t="n">
        <v>0</v>
      </c>
      <c r="JC9" s="19" t="n">
        <v>0</v>
      </c>
      <c r="JD9" s="19" t="n">
        <v>0</v>
      </c>
      <c r="JE9" s="19" t="n">
        <v>0</v>
      </c>
      <c r="JF9" s="19" t="n">
        <v>0</v>
      </c>
      <c r="JG9" s="19" t="n">
        <v>0</v>
      </c>
      <c r="JH9" s="19" t="n">
        <v>0</v>
      </c>
      <c r="JI9" s="19" t="n">
        <v>0</v>
      </c>
      <c r="JJ9" s="19" t="n">
        <v>0</v>
      </c>
      <c r="JK9" s="19" t="n">
        <v>0</v>
      </c>
      <c r="JL9" s="19" t="n">
        <v>0</v>
      </c>
      <c r="JM9" s="19" t="n">
        <v>0</v>
      </c>
      <c r="JN9" s="19" t="n">
        <v>0</v>
      </c>
      <c r="JO9" s="19" t="n">
        <v>0</v>
      </c>
      <c r="JP9" s="19" t="n">
        <v>0</v>
      </c>
      <c r="JQ9" s="19" t="n">
        <v>0</v>
      </c>
      <c r="JR9" s="19" t="n">
        <v>0</v>
      </c>
      <c r="JS9" s="19" t="n">
        <v>0</v>
      </c>
      <c r="JT9" s="19" t="n">
        <v>0</v>
      </c>
      <c r="JU9" s="19" t="n">
        <v>0</v>
      </c>
      <c r="JV9" s="19" t="n">
        <v>0</v>
      </c>
      <c r="JW9" s="19" t="n">
        <v>0</v>
      </c>
      <c r="JX9" s="19" t="n">
        <v>0</v>
      </c>
      <c r="JY9" s="19" t="n">
        <v>0</v>
      </c>
      <c r="JZ9" s="19" t="n">
        <v>0</v>
      </c>
      <c r="KA9" s="19" t="n">
        <v>0</v>
      </c>
      <c r="KB9" s="19" t="n">
        <v>0</v>
      </c>
      <c r="KC9" s="19" t="n">
        <v>0</v>
      </c>
      <c r="KD9" s="19" t="n">
        <v>0</v>
      </c>
      <c r="KE9" s="19" t="n">
        <v>0</v>
      </c>
      <c r="KF9" s="19" t="n">
        <v>0</v>
      </c>
      <c r="KG9" s="19" t="n">
        <v>0</v>
      </c>
      <c r="KH9" s="19" t="n">
        <v>0</v>
      </c>
      <c r="KI9" s="19" t="n">
        <v>0</v>
      </c>
      <c r="KJ9" s="19" t="n">
        <v>0</v>
      </c>
      <c r="KK9" s="19" t="n">
        <v>0</v>
      </c>
      <c r="KL9" s="19" t="n">
        <v>0</v>
      </c>
      <c r="KM9" s="19" t="n">
        <v>0</v>
      </c>
      <c r="KN9" s="19" t="n">
        <v>0</v>
      </c>
      <c r="KO9" s="19" t="n">
        <v>0</v>
      </c>
      <c r="KP9" s="19" t="n">
        <v>0</v>
      </c>
    </row>
    <row r="10" customFormat="false" ht="14.25" hidden="false" customHeight="false" outlineLevel="0" collapsed="false">
      <c r="A10" s="0" t="s">
        <v>422</v>
      </c>
      <c r="B10" s="18" t="n">
        <f aca="false">-Supuestos!$B$6</f>
        <v>-500000</v>
      </c>
      <c r="C10" s="21" t="n">
        <v>0</v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0</v>
      </c>
      <c r="U10" s="21" t="n">
        <v>0</v>
      </c>
      <c r="V10" s="21" t="n">
        <v>0</v>
      </c>
      <c r="W10" s="21" t="n">
        <v>0</v>
      </c>
      <c r="X10" s="21" t="n">
        <v>0</v>
      </c>
      <c r="Y10" s="21" t="n">
        <v>0</v>
      </c>
      <c r="Z10" s="21" t="n">
        <v>0</v>
      </c>
      <c r="AA10" s="21" t="n">
        <v>0</v>
      </c>
      <c r="AB10" s="21" t="n">
        <v>0</v>
      </c>
      <c r="AC10" s="21" t="n">
        <v>0</v>
      </c>
      <c r="AD10" s="21" t="n">
        <v>0</v>
      </c>
      <c r="AE10" s="21" t="n">
        <v>0</v>
      </c>
      <c r="AF10" s="21" t="n">
        <v>0</v>
      </c>
      <c r="AG10" s="21" t="n">
        <v>0</v>
      </c>
      <c r="AH10" s="21" t="n">
        <v>0</v>
      </c>
      <c r="AI10" s="21" t="n">
        <v>0</v>
      </c>
      <c r="AJ10" s="21" t="n">
        <v>0</v>
      </c>
      <c r="AK10" s="21" t="n">
        <v>0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1" t="n">
        <v>0</v>
      </c>
      <c r="AS10" s="21" t="n">
        <v>0</v>
      </c>
      <c r="AT10" s="21" t="n">
        <v>0</v>
      </c>
      <c r="AU10" s="21" t="n">
        <v>0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0</v>
      </c>
      <c r="BO10" s="21" t="n">
        <v>0</v>
      </c>
      <c r="BP10" s="21" t="n">
        <v>0</v>
      </c>
      <c r="BQ10" s="21" t="n">
        <v>0</v>
      </c>
      <c r="BR10" s="21" t="n">
        <v>0</v>
      </c>
      <c r="BS10" s="21" t="n">
        <v>0</v>
      </c>
      <c r="BT10" s="21" t="n">
        <v>0</v>
      </c>
      <c r="BU10" s="21" t="n">
        <v>0</v>
      </c>
      <c r="BV10" s="21" t="n">
        <v>0</v>
      </c>
      <c r="BW10" s="21" t="n">
        <v>0</v>
      </c>
      <c r="BX10" s="21" t="n">
        <v>0</v>
      </c>
      <c r="BY10" s="21" t="n">
        <v>0</v>
      </c>
      <c r="BZ10" s="21" t="n">
        <v>0</v>
      </c>
      <c r="CA10" s="21" t="n">
        <v>0</v>
      </c>
      <c r="CB10" s="21" t="n">
        <v>0</v>
      </c>
      <c r="CC10" s="21" t="n">
        <v>0</v>
      </c>
      <c r="CD10" s="21" t="n">
        <v>0</v>
      </c>
      <c r="CE10" s="21" t="n">
        <v>0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0</v>
      </c>
      <c r="CN10" s="21" t="n">
        <v>0</v>
      </c>
      <c r="CO10" s="21" t="n">
        <v>0</v>
      </c>
      <c r="CP10" s="21" t="n">
        <v>0</v>
      </c>
      <c r="CQ10" s="21" t="n">
        <v>0</v>
      </c>
      <c r="CR10" s="21" t="n">
        <v>0</v>
      </c>
      <c r="CS10" s="21" t="n">
        <v>0</v>
      </c>
      <c r="CT10" s="21" t="n">
        <v>0</v>
      </c>
      <c r="CU10" s="21" t="n">
        <v>0</v>
      </c>
      <c r="CV10" s="21" t="n">
        <v>0</v>
      </c>
      <c r="CW10" s="21" t="n">
        <v>0</v>
      </c>
      <c r="CX10" s="21" t="n">
        <v>0</v>
      </c>
      <c r="CY10" s="21" t="n">
        <v>0</v>
      </c>
      <c r="CZ10" s="21" t="n">
        <v>0</v>
      </c>
      <c r="DA10" s="21" t="n">
        <v>0</v>
      </c>
      <c r="DB10" s="21" t="n">
        <v>0</v>
      </c>
      <c r="DC10" s="21" t="n">
        <v>0</v>
      </c>
      <c r="DD10" s="21" t="n">
        <v>0</v>
      </c>
      <c r="DE10" s="21" t="n">
        <v>0</v>
      </c>
      <c r="DF10" s="21" t="n">
        <v>0</v>
      </c>
      <c r="DG10" s="21" t="n">
        <v>0</v>
      </c>
      <c r="DH10" s="21" t="n">
        <v>0</v>
      </c>
      <c r="DI10" s="21" t="n">
        <v>0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0</v>
      </c>
      <c r="DW10" s="21" t="n">
        <v>0</v>
      </c>
      <c r="DX10" s="21" t="n">
        <v>0</v>
      </c>
      <c r="DY10" s="21" t="n">
        <v>0</v>
      </c>
      <c r="DZ10" s="21" t="n">
        <v>0</v>
      </c>
      <c r="EA10" s="21" t="n">
        <v>0</v>
      </c>
      <c r="EB10" s="21" t="n">
        <v>0</v>
      </c>
      <c r="EC10" s="21" t="n">
        <v>0</v>
      </c>
      <c r="ED10" s="21" t="n">
        <v>0</v>
      </c>
      <c r="EE10" s="21" t="n">
        <v>0</v>
      </c>
      <c r="EF10" s="21" t="n">
        <v>0</v>
      </c>
      <c r="EG10" s="21" t="n">
        <v>0</v>
      </c>
      <c r="EH10" s="21" t="n">
        <v>0</v>
      </c>
      <c r="EI10" s="21" t="n">
        <v>0</v>
      </c>
      <c r="EJ10" s="21" t="n">
        <v>0</v>
      </c>
      <c r="EK10" s="21" t="n">
        <v>0</v>
      </c>
      <c r="EL10" s="21" t="n">
        <v>0</v>
      </c>
      <c r="EM10" s="21" t="n">
        <v>0</v>
      </c>
      <c r="EN10" s="21" t="n">
        <v>0</v>
      </c>
      <c r="EO10" s="21" t="n">
        <v>0</v>
      </c>
      <c r="EP10" s="21" t="n">
        <v>0</v>
      </c>
      <c r="EQ10" s="21" t="n">
        <v>0</v>
      </c>
      <c r="ER10" s="21" t="n">
        <v>0</v>
      </c>
      <c r="ES10" s="21" t="n">
        <v>0</v>
      </c>
      <c r="ET10" s="21" t="n">
        <v>0</v>
      </c>
      <c r="EU10" s="21" t="n">
        <v>0</v>
      </c>
      <c r="EV10" s="21" t="n">
        <v>0</v>
      </c>
      <c r="EW10" s="21" t="n">
        <v>0</v>
      </c>
      <c r="EX10" s="21" t="n">
        <v>0</v>
      </c>
      <c r="EY10" s="21" t="n">
        <v>0</v>
      </c>
      <c r="EZ10" s="21" t="n">
        <v>0</v>
      </c>
      <c r="FA10" s="21" t="n">
        <v>0</v>
      </c>
      <c r="FB10" s="21" t="n">
        <v>0</v>
      </c>
      <c r="FC10" s="21" t="n">
        <v>0</v>
      </c>
      <c r="FD10" s="21" t="n">
        <v>0</v>
      </c>
      <c r="FE10" s="21" t="n">
        <v>0</v>
      </c>
      <c r="FF10" s="21" t="n">
        <v>0</v>
      </c>
      <c r="FG10" s="21" t="n">
        <v>0</v>
      </c>
      <c r="FH10" s="21" t="n">
        <v>0</v>
      </c>
      <c r="FI10" s="21" t="n">
        <v>0</v>
      </c>
      <c r="FJ10" s="21" t="n">
        <v>0</v>
      </c>
      <c r="FK10" s="21" t="n">
        <v>0</v>
      </c>
      <c r="FL10" s="21" t="n">
        <v>0</v>
      </c>
      <c r="FM10" s="21" t="n">
        <v>0</v>
      </c>
      <c r="FN10" s="21" t="n">
        <v>0</v>
      </c>
      <c r="FO10" s="21" t="n">
        <v>0</v>
      </c>
      <c r="FP10" s="21" t="n">
        <v>0</v>
      </c>
      <c r="FQ10" s="21" t="n">
        <v>0</v>
      </c>
      <c r="FR10" s="21" t="n">
        <v>0</v>
      </c>
      <c r="FS10" s="21" t="n">
        <v>0</v>
      </c>
      <c r="FT10" s="21" t="n">
        <v>0</v>
      </c>
      <c r="FU10" s="21" t="n">
        <v>0</v>
      </c>
      <c r="FV10" s="21" t="n">
        <v>0</v>
      </c>
      <c r="FW10" s="21" t="n">
        <v>0</v>
      </c>
      <c r="FX10" s="21" t="n">
        <v>0</v>
      </c>
      <c r="FY10" s="21" t="n">
        <v>0</v>
      </c>
      <c r="FZ10" s="21" t="n">
        <v>0</v>
      </c>
      <c r="GA10" s="21" t="n">
        <v>0</v>
      </c>
      <c r="GB10" s="21" t="n">
        <v>0</v>
      </c>
      <c r="GC10" s="21" t="n">
        <v>0</v>
      </c>
      <c r="GD10" s="21" t="n">
        <v>0</v>
      </c>
      <c r="GE10" s="21" t="n">
        <v>0</v>
      </c>
      <c r="GF10" s="21" t="n">
        <v>0</v>
      </c>
      <c r="GG10" s="21" t="n">
        <v>0</v>
      </c>
      <c r="GH10" s="21" t="n">
        <v>0</v>
      </c>
      <c r="GI10" s="21" t="n">
        <v>0</v>
      </c>
      <c r="GJ10" s="21" t="n">
        <v>0</v>
      </c>
      <c r="GK10" s="21" t="n">
        <v>0</v>
      </c>
      <c r="GL10" s="21" t="n">
        <v>0</v>
      </c>
      <c r="GM10" s="21" t="n">
        <v>0</v>
      </c>
      <c r="GN10" s="21" t="n">
        <v>0</v>
      </c>
      <c r="GO10" s="21" t="n">
        <v>0</v>
      </c>
      <c r="GP10" s="21" t="n">
        <v>0</v>
      </c>
      <c r="GQ10" s="21" t="n">
        <v>0</v>
      </c>
      <c r="GR10" s="21" t="n">
        <v>0</v>
      </c>
      <c r="GS10" s="21" t="n">
        <v>0</v>
      </c>
      <c r="GT10" s="21" t="n">
        <v>0</v>
      </c>
      <c r="GU10" s="21" t="n">
        <v>0</v>
      </c>
      <c r="GV10" s="21" t="n">
        <v>0</v>
      </c>
      <c r="GW10" s="21" t="n">
        <v>0</v>
      </c>
      <c r="GX10" s="21" t="n">
        <v>0</v>
      </c>
      <c r="GY10" s="21" t="n">
        <v>0</v>
      </c>
      <c r="GZ10" s="21" t="n">
        <v>0</v>
      </c>
      <c r="HA10" s="21" t="n">
        <v>0</v>
      </c>
      <c r="HB10" s="21" t="n">
        <v>0</v>
      </c>
      <c r="HC10" s="21" t="n">
        <v>0</v>
      </c>
      <c r="HD10" s="21" t="n">
        <v>0</v>
      </c>
      <c r="HE10" s="21" t="n">
        <v>0</v>
      </c>
      <c r="HF10" s="21" t="n">
        <v>0</v>
      </c>
      <c r="HG10" s="21" t="n">
        <v>0</v>
      </c>
      <c r="HH10" s="21" t="n">
        <v>0</v>
      </c>
      <c r="HI10" s="21" t="n">
        <v>0</v>
      </c>
      <c r="HJ10" s="21" t="n">
        <v>0</v>
      </c>
      <c r="HK10" s="21" t="n">
        <v>0</v>
      </c>
      <c r="HL10" s="21" t="n">
        <v>0</v>
      </c>
      <c r="HM10" s="21" t="n">
        <v>0</v>
      </c>
      <c r="HN10" s="21" t="n">
        <v>0</v>
      </c>
      <c r="HO10" s="21" t="n">
        <v>0</v>
      </c>
      <c r="HP10" s="21" t="n">
        <v>0</v>
      </c>
      <c r="HQ10" s="21" t="n">
        <v>0</v>
      </c>
      <c r="HR10" s="21" t="n">
        <v>0</v>
      </c>
      <c r="HS10" s="21" t="n">
        <v>0</v>
      </c>
      <c r="HT10" s="21" t="n">
        <v>0</v>
      </c>
      <c r="HU10" s="21" t="n">
        <v>0</v>
      </c>
      <c r="HV10" s="21" t="n">
        <v>0</v>
      </c>
      <c r="HW10" s="21" t="n">
        <v>0</v>
      </c>
      <c r="HX10" s="21" t="n">
        <v>0</v>
      </c>
      <c r="HY10" s="21" t="n">
        <v>0</v>
      </c>
      <c r="HZ10" s="21" t="n">
        <v>0</v>
      </c>
      <c r="IA10" s="21" t="n">
        <v>0</v>
      </c>
      <c r="IB10" s="21" t="n">
        <v>0</v>
      </c>
      <c r="IC10" s="21" t="n">
        <v>0</v>
      </c>
      <c r="ID10" s="21" t="n">
        <v>0</v>
      </c>
      <c r="IE10" s="21" t="n">
        <v>0</v>
      </c>
      <c r="IF10" s="21" t="n">
        <v>0</v>
      </c>
      <c r="IG10" s="21" t="n">
        <v>0</v>
      </c>
      <c r="IH10" s="21" t="n">
        <v>0</v>
      </c>
      <c r="II10" s="21" t="n">
        <v>0</v>
      </c>
      <c r="IJ10" s="21" t="n">
        <v>0</v>
      </c>
      <c r="IK10" s="21" t="n">
        <v>0</v>
      </c>
      <c r="IL10" s="21" t="n">
        <v>0</v>
      </c>
      <c r="IM10" s="21" t="n">
        <v>0</v>
      </c>
      <c r="IN10" s="21" t="n">
        <v>0</v>
      </c>
      <c r="IO10" s="21" t="n">
        <v>0</v>
      </c>
      <c r="IP10" s="21" t="n">
        <v>0</v>
      </c>
      <c r="IQ10" s="21" t="n">
        <v>0</v>
      </c>
      <c r="IR10" s="21" t="n">
        <v>0</v>
      </c>
      <c r="IS10" s="21" t="n">
        <v>0</v>
      </c>
      <c r="IT10" s="21" t="n">
        <v>0</v>
      </c>
      <c r="IU10" s="21" t="n">
        <v>0</v>
      </c>
      <c r="IV10" s="21" t="n">
        <v>0</v>
      </c>
      <c r="IW10" s="21" t="n">
        <v>0</v>
      </c>
      <c r="IX10" s="21" t="n">
        <v>0</v>
      </c>
      <c r="IY10" s="21" t="n">
        <v>0</v>
      </c>
      <c r="IZ10" s="21" t="n">
        <v>0</v>
      </c>
      <c r="JA10" s="21" t="n">
        <v>0</v>
      </c>
      <c r="JB10" s="21" t="n">
        <v>0</v>
      </c>
      <c r="JC10" s="21" t="n">
        <v>0</v>
      </c>
      <c r="JD10" s="21" t="n">
        <v>0</v>
      </c>
      <c r="JE10" s="21" t="n">
        <v>0</v>
      </c>
      <c r="JF10" s="21" t="n">
        <v>0</v>
      </c>
      <c r="JG10" s="21" t="n">
        <v>0</v>
      </c>
      <c r="JH10" s="21" t="n">
        <v>0</v>
      </c>
      <c r="JI10" s="21" t="n">
        <v>0</v>
      </c>
      <c r="JJ10" s="21" t="n">
        <v>0</v>
      </c>
      <c r="JK10" s="21" t="n">
        <v>0</v>
      </c>
      <c r="JL10" s="21" t="n">
        <v>0</v>
      </c>
      <c r="JM10" s="21" t="n">
        <v>0</v>
      </c>
      <c r="JN10" s="21" t="n">
        <v>0</v>
      </c>
      <c r="JO10" s="21" t="n">
        <v>0</v>
      </c>
      <c r="JP10" s="21" t="n">
        <v>0</v>
      </c>
      <c r="JQ10" s="21" t="n">
        <v>0</v>
      </c>
      <c r="JR10" s="21" t="n">
        <v>0</v>
      </c>
      <c r="JS10" s="21" t="n">
        <v>0</v>
      </c>
      <c r="JT10" s="21" t="n">
        <v>0</v>
      </c>
      <c r="JU10" s="21" t="n">
        <v>0</v>
      </c>
      <c r="JV10" s="21" t="n">
        <v>0</v>
      </c>
      <c r="JW10" s="21" t="n">
        <v>0</v>
      </c>
      <c r="JX10" s="21" t="n">
        <v>0</v>
      </c>
      <c r="JY10" s="21" t="n">
        <v>0</v>
      </c>
      <c r="JZ10" s="21" t="n">
        <v>0</v>
      </c>
      <c r="KA10" s="21" t="n">
        <v>0</v>
      </c>
      <c r="KB10" s="21" t="n">
        <v>0</v>
      </c>
      <c r="KC10" s="21" t="n">
        <v>0</v>
      </c>
      <c r="KD10" s="21" t="n">
        <v>0</v>
      </c>
      <c r="KE10" s="21" t="n">
        <v>0</v>
      </c>
      <c r="KF10" s="21" t="n">
        <v>0</v>
      </c>
      <c r="KG10" s="21" t="n">
        <v>0</v>
      </c>
      <c r="KH10" s="21" t="n">
        <v>0</v>
      </c>
      <c r="KI10" s="21" t="n">
        <v>0</v>
      </c>
      <c r="KJ10" s="21" t="n">
        <v>0</v>
      </c>
      <c r="KK10" s="21" t="n">
        <v>0</v>
      </c>
      <c r="KL10" s="21" t="n">
        <v>0</v>
      </c>
      <c r="KM10" s="21" t="n">
        <v>0</v>
      </c>
      <c r="KN10" s="21" t="n">
        <v>0</v>
      </c>
      <c r="KO10" s="21" t="n">
        <v>0</v>
      </c>
      <c r="KP10" s="21" t="n">
        <v>0</v>
      </c>
    </row>
    <row r="11" customFormat="false" ht="14.25" hidden="false" customHeight="false" outlineLevel="0" collapsed="false">
      <c r="A11" s="0" t="s">
        <v>423</v>
      </c>
      <c r="B11" s="21" t="n">
        <v>0</v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</v>
      </c>
      <c r="V11" s="21" t="n">
        <v>0</v>
      </c>
      <c r="W11" s="21" t="n">
        <v>0</v>
      </c>
      <c r="X11" s="21" t="n">
        <v>0</v>
      </c>
      <c r="Y11" s="21" t="n">
        <v>0</v>
      </c>
      <c r="Z11" s="21" t="n">
        <v>0</v>
      </c>
      <c r="AA11" s="21" t="n">
        <v>0</v>
      </c>
      <c r="AB11" s="21" t="n">
        <v>0</v>
      </c>
      <c r="AC11" s="21" t="n">
        <v>0</v>
      </c>
      <c r="AD11" s="21" t="n">
        <v>0</v>
      </c>
      <c r="AE11" s="21" t="n">
        <v>0</v>
      </c>
      <c r="AF11" s="21" t="n">
        <v>0</v>
      </c>
      <c r="AG11" s="21" t="n">
        <v>0</v>
      </c>
      <c r="AH11" s="21" t="n">
        <v>0</v>
      </c>
      <c r="AI11" s="21" t="n">
        <v>0</v>
      </c>
      <c r="AJ11" s="21" t="n">
        <v>0</v>
      </c>
      <c r="AK11" s="21" t="n">
        <v>0</v>
      </c>
      <c r="AL11" s="21" t="n">
        <v>0</v>
      </c>
      <c r="AM11" s="21" t="n">
        <v>0</v>
      </c>
      <c r="AN11" s="21" t="n">
        <v>0</v>
      </c>
      <c r="AO11" s="21" t="n">
        <v>0</v>
      </c>
      <c r="AP11" s="21" t="n">
        <v>0</v>
      </c>
      <c r="AQ11" s="21" t="n">
        <v>0</v>
      </c>
      <c r="AR11" s="21" t="n">
        <v>0</v>
      </c>
      <c r="AS11" s="21" t="n">
        <v>0</v>
      </c>
      <c r="AT11" s="21" t="n">
        <v>0</v>
      </c>
      <c r="AU11" s="21" t="n">
        <v>0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18" t="n">
        <f aca="false">Supuestos!$B$4*Supuestos!$B$32</f>
        <v>10000000</v>
      </c>
      <c r="BK11" s="21" t="n">
        <v>0</v>
      </c>
      <c r="BL11" s="21" t="n">
        <v>0</v>
      </c>
      <c r="BM11" s="21" t="n">
        <v>0</v>
      </c>
      <c r="BN11" s="21" t="n">
        <v>0</v>
      </c>
      <c r="BO11" s="21" t="n">
        <v>0</v>
      </c>
      <c r="BP11" s="21" t="n">
        <v>0</v>
      </c>
      <c r="BQ11" s="21" t="n">
        <v>0</v>
      </c>
      <c r="BR11" s="21" t="n">
        <v>0</v>
      </c>
      <c r="BS11" s="21" t="n">
        <v>0</v>
      </c>
      <c r="BT11" s="21" t="n">
        <v>0</v>
      </c>
      <c r="BU11" s="21" t="n">
        <v>0</v>
      </c>
      <c r="BV11" s="21" t="n">
        <v>0</v>
      </c>
      <c r="BW11" s="21" t="n">
        <v>0</v>
      </c>
      <c r="BX11" s="21" t="n">
        <v>0</v>
      </c>
      <c r="BY11" s="21" t="n">
        <v>0</v>
      </c>
      <c r="BZ11" s="21" t="n">
        <v>0</v>
      </c>
      <c r="CA11" s="21" t="n">
        <v>0</v>
      </c>
      <c r="CB11" s="21" t="n">
        <v>0</v>
      </c>
      <c r="CC11" s="21" t="n">
        <v>0</v>
      </c>
      <c r="CD11" s="21" t="n">
        <v>0</v>
      </c>
      <c r="CE11" s="21" t="n">
        <v>0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0</v>
      </c>
      <c r="CN11" s="21" t="n">
        <v>0</v>
      </c>
      <c r="CO11" s="21" t="n">
        <v>0</v>
      </c>
      <c r="CP11" s="21" t="n">
        <v>0</v>
      </c>
      <c r="CQ11" s="21" t="n">
        <v>0</v>
      </c>
      <c r="CR11" s="21" t="n">
        <v>0</v>
      </c>
      <c r="CS11" s="21" t="n">
        <v>0</v>
      </c>
      <c r="CT11" s="21" t="n">
        <v>0</v>
      </c>
      <c r="CU11" s="21" t="n">
        <v>0</v>
      </c>
      <c r="CV11" s="21" t="n">
        <v>0</v>
      </c>
      <c r="CW11" s="21" t="n">
        <v>0</v>
      </c>
      <c r="CX11" s="21" t="n">
        <v>0</v>
      </c>
      <c r="CY11" s="21" t="n">
        <v>0</v>
      </c>
      <c r="CZ11" s="21" t="n">
        <v>0</v>
      </c>
      <c r="DA11" s="21" t="n">
        <v>0</v>
      </c>
      <c r="DB11" s="21" t="n">
        <v>0</v>
      </c>
      <c r="DC11" s="21" t="n">
        <v>0</v>
      </c>
      <c r="DD11" s="21" t="n">
        <v>0</v>
      </c>
      <c r="DE11" s="21" t="n">
        <v>0</v>
      </c>
      <c r="DF11" s="21" t="n">
        <v>0</v>
      </c>
      <c r="DG11" s="21" t="n">
        <v>0</v>
      </c>
      <c r="DH11" s="21" t="n">
        <v>0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0</v>
      </c>
      <c r="DW11" s="21" t="n">
        <v>0</v>
      </c>
      <c r="DX11" s="21" t="n">
        <v>0</v>
      </c>
      <c r="DY11" s="21" t="n">
        <v>0</v>
      </c>
      <c r="DZ11" s="21" t="n">
        <v>0</v>
      </c>
      <c r="EA11" s="21" t="n">
        <v>0</v>
      </c>
      <c r="EB11" s="21" t="n">
        <v>0</v>
      </c>
      <c r="EC11" s="21" t="n">
        <v>0</v>
      </c>
      <c r="ED11" s="21" t="n">
        <v>0</v>
      </c>
      <c r="EE11" s="21" t="n">
        <v>0</v>
      </c>
      <c r="EF11" s="21" t="n">
        <v>0</v>
      </c>
      <c r="EG11" s="21" t="n">
        <v>0</v>
      </c>
      <c r="EH11" s="21" t="n">
        <v>0</v>
      </c>
      <c r="EI11" s="21" t="n">
        <v>0</v>
      </c>
      <c r="EJ11" s="21" t="n">
        <v>0</v>
      </c>
      <c r="EK11" s="21" t="n">
        <v>0</v>
      </c>
      <c r="EL11" s="21" t="n">
        <v>0</v>
      </c>
      <c r="EM11" s="21" t="n">
        <v>0</v>
      </c>
      <c r="EN11" s="21" t="n">
        <v>0</v>
      </c>
      <c r="EO11" s="21" t="n">
        <v>0</v>
      </c>
      <c r="EP11" s="21" t="n">
        <v>0</v>
      </c>
      <c r="EQ11" s="21" t="n">
        <v>0</v>
      </c>
      <c r="ER11" s="21" t="n">
        <v>0</v>
      </c>
      <c r="ES11" s="21" t="n">
        <v>0</v>
      </c>
      <c r="ET11" s="21" t="n">
        <v>0</v>
      </c>
      <c r="EU11" s="21" t="n">
        <v>0</v>
      </c>
      <c r="EV11" s="21" t="n">
        <v>0</v>
      </c>
      <c r="EW11" s="21" t="n">
        <v>0</v>
      </c>
      <c r="EX11" s="21" t="n">
        <v>0</v>
      </c>
      <c r="EY11" s="21" t="n">
        <v>0</v>
      </c>
      <c r="EZ11" s="21" t="n">
        <v>0</v>
      </c>
      <c r="FA11" s="21" t="n">
        <v>0</v>
      </c>
      <c r="FB11" s="21" t="n">
        <v>0</v>
      </c>
      <c r="FC11" s="21" t="n">
        <v>0</v>
      </c>
      <c r="FD11" s="21" t="n">
        <v>0</v>
      </c>
      <c r="FE11" s="21" t="n">
        <v>0</v>
      </c>
      <c r="FF11" s="21" t="n">
        <v>0</v>
      </c>
      <c r="FG11" s="21" t="n">
        <v>0</v>
      </c>
      <c r="FH11" s="21" t="n">
        <v>0</v>
      </c>
      <c r="FI11" s="21" t="n">
        <v>0</v>
      </c>
      <c r="FJ11" s="21" t="n">
        <v>0</v>
      </c>
      <c r="FK11" s="21" t="n">
        <v>0</v>
      </c>
      <c r="FL11" s="21" t="n">
        <v>0</v>
      </c>
      <c r="FM11" s="21" t="n">
        <v>0</v>
      </c>
      <c r="FN11" s="21" t="n">
        <v>0</v>
      </c>
      <c r="FO11" s="21" t="n">
        <v>0</v>
      </c>
      <c r="FP11" s="21" t="n">
        <v>0</v>
      </c>
      <c r="FQ11" s="21" t="n">
        <v>0</v>
      </c>
      <c r="FR11" s="21" t="n">
        <v>0</v>
      </c>
      <c r="FS11" s="21" t="n">
        <v>0</v>
      </c>
      <c r="FT11" s="21" t="n">
        <v>0</v>
      </c>
      <c r="FU11" s="21" t="n">
        <v>0</v>
      </c>
      <c r="FV11" s="21" t="n">
        <v>0</v>
      </c>
      <c r="FW11" s="21" t="n">
        <v>0</v>
      </c>
      <c r="FX11" s="21" t="n">
        <v>0</v>
      </c>
      <c r="FY11" s="21" t="n">
        <v>0</v>
      </c>
      <c r="FZ11" s="21" t="n">
        <v>0</v>
      </c>
      <c r="GA11" s="21" t="n">
        <v>0</v>
      </c>
      <c r="GB11" s="21" t="n">
        <v>0</v>
      </c>
      <c r="GC11" s="21" t="n">
        <v>0</v>
      </c>
      <c r="GD11" s="21" t="n">
        <v>0</v>
      </c>
      <c r="GE11" s="21" t="n">
        <v>0</v>
      </c>
      <c r="GF11" s="21" t="n">
        <v>0</v>
      </c>
      <c r="GG11" s="21" t="n">
        <v>0</v>
      </c>
      <c r="GH11" s="21" t="n">
        <v>0</v>
      </c>
      <c r="GI11" s="21" t="n">
        <v>0</v>
      </c>
      <c r="GJ11" s="21" t="n">
        <v>0</v>
      </c>
      <c r="GK11" s="21" t="n">
        <v>0</v>
      </c>
      <c r="GL11" s="21" t="n">
        <v>0</v>
      </c>
      <c r="GM11" s="21" t="n">
        <v>0</v>
      </c>
      <c r="GN11" s="21" t="n">
        <v>0</v>
      </c>
      <c r="GO11" s="21" t="n">
        <v>0</v>
      </c>
      <c r="GP11" s="21" t="n">
        <v>0</v>
      </c>
      <c r="GQ11" s="21" t="n">
        <v>0</v>
      </c>
      <c r="GR11" s="21" t="n">
        <v>0</v>
      </c>
      <c r="GS11" s="21" t="n">
        <v>0</v>
      </c>
      <c r="GT11" s="21" t="n">
        <v>0</v>
      </c>
      <c r="GU11" s="21" t="n">
        <v>0</v>
      </c>
      <c r="GV11" s="21" t="n">
        <v>0</v>
      </c>
      <c r="GW11" s="21" t="n">
        <v>0</v>
      </c>
      <c r="GX11" s="21" t="n">
        <v>0</v>
      </c>
      <c r="GY11" s="21" t="n">
        <v>0</v>
      </c>
      <c r="GZ11" s="21" t="n">
        <v>0</v>
      </c>
      <c r="HA11" s="21" t="n">
        <v>0</v>
      </c>
      <c r="HB11" s="21" t="n">
        <v>0</v>
      </c>
      <c r="HC11" s="21" t="n">
        <v>0</v>
      </c>
      <c r="HD11" s="21" t="n">
        <v>0</v>
      </c>
      <c r="HE11" s="21" t="n">
        <v>0</v>
      </c>
      <c r="HF11" s="21" t="n">
        <v>0</v>
      </c>
      <c r="HG11" s="21" t="n">
        <v>0</v>
      </c>
      <c r="HH11" s="21" t="n">
        <v>0</v>
      </c>
      <c r="HI11" s="21" t="n">
        <v>0</v>
      </c>
      <c r="HJ11" s="21" t="n">
        <v>0</v>
      </c>
      <c r="HK11" s="21" t="n">
        <v>0</v>
      </c>
      <c r="HL11" s="21" t="n">
        <v>0</v>
      </c>
      <c r="HM11" s="21" t="n">
        <v>0</v>
      </c>
      <c r="HN11" s="21" t="n">
        <v>0</v>
      </c>
      <c r="HO11" s="21" t="n">
        <v>0</v>
      </c>
      <c r="HP11" s="21" t="n">
        <v>0</v>
      </c>
      <c r="HQ11" s="21" t="n">
        <v>0</v>
      </c>
      <c r="HR11" s="21" t="n">
        <v>0</v>
      </c>
      <c r="HS11" s="21" t="n">
        <v>0</v>
      </c>
      <c r="HT11" s="21" t="n">
        <v>0</v>
      </c>
      <c r="HU11" s="21" t="n">
        <v>0</v>
      </c>
      <c r="HV11" s="21" t="n">
        <v>0</v>
      </c>
      <c r="HW11" s="21" t="n">
        <v>0</v>
      </c>
      <c r="HX11" s="21" t="n">
        <v>0</v>
      </c>
      <c r="HY11" s="21" t="n">
        <v>0</v>
      </c>
      <c r="HZ11" s="21" t="n">
        <v>0</v>
      </c>
      <c r="IA11" s="21" t="n">
        <v>0</v>
      </c>
      <c r="IB11" s="21" t="n">
        <v>0</v>
      </c>
      <c r="IC11" s="21" t="n">
        <v>0</v>
      </c>
      <c r="ID11" s="21" t="n">
        <v>0</v>
      </c>
      <c r="IE11" s="21" t="n">
        <v>0</v>
      </c>
      <c r="IF11" s="21" t="n">
        <v>0</v>
      </c>
      <c r="IG11" s="21" t="n">
        <v>0</v>
      </c>
      <c r="IH11" s="21" t="n">
        <v>0</v>
      </c>
      <c r="II11" s="21" t="n">
        <v>0</v>
      </c>
      <c r="IJ11" s="21" t="n">
        <v>0</v>
      </c>
      <c r="IK11" s="21" t="n">
        <v>0</v>
      </c>
      <c r="IL11" s="21" t="n">
        <v>0</v>
      </c>
      <c r="IM11" s="21" t="n">
        <v>0</v>
      </c>
      <c r="IN11" s="21" t="n">
        <v>0</v>
      </c>
      <c r="IO11" s="21" t="n">
        <v>0</v>
      </c>
      <c r="IP11" s="21" t="n">
        <v>0</v>
      </c>
      <c r="IQ11" s="21" t="n">
        <v>0</v>
      </c>
      <c r="IR11" s="21" t="n">
        <v>0</v>
      </c>
      <c r="IS11" s="21" t="n">
        <v>0</v>
      </c>
      <c r="IT11" s="21" t="n">
        <v>0</v>
      </c>
      <c r="IU11" s="21" t="n">
        <v>0</v>
      </c>
      <c r="IV11" s="21" t="n">
        <v>0</v>
      </c>
      <c r="IW11" s="21" t="n">
        <v>0</v>
      </c>
      <c r="IX11" s="21" t="n">
        <v>0</v>
      </c>
      <c r="IY11" s="21" t="n">
        <v>0</v>
      </c>
      <c r="IZ11" s="21" t="n">
        <v>0</v>
      </c>
      <c r="JA11" s="21" t="n">
        <v>0</v>
      </c>
      <c r="JB11" s="21" t="n">
        <v>0</v>
      </c>
      <c r="JC11" s="21" t="n">
        <v>0</v>
      </c>
      <c r="JD11" s="21" t="n">
        <v>0</v>
      </c>
      <c r="JE11" s="21" t="n">
        <v>0</v>
      </c>
      <c r="JF11" s="21" t="n">
        <v>0</v>
      </c>
      <c r="JG11" s="21" t="n">
        <v>0</v>
      </c>
      <c r="JH11" s="21" t="n">
        <v>0</v>
      </c>
      <c r="JI11" s="21" t="n">
        <v>0</v>
      </c>
      <c r="JJ11" s="21" t="n">
        <v>0</v>
      </c>
      <c r="JK11" s="21" t="n">
        <v>0</v>
      </c>
      <c r="JL11" s="21" t="n">
        <v>0</v>
      </c>
      <c r="JM11" s="21" t="n">
        <v>0</v>
      </c>
      <c r="JN11" s="21" t="n">
        <v>0</v>
      </c>
      <c r="JO11" s="21" t="n">
        <v>0</v>
      </c>
      <c r="JP11" s="21" t="n">
        <v>0</v>
      </c>
      <c r="JQ11" s="21" t="n">
        <v>0</v>
      </c>
      <c r="JR11" s="21" t="n">
        <v>0</v>
      </c>
      <c r="JS11" s="21" t="n">
        <v>0</v>
      </c>
      <c r="JT11" s="21" t="n">
        <v>0</v>
      </c>
      <c r="JU11" s="21" t="n">
        <v>0</v>
      </c>
      <c r="JV11" s="21" t="n">
        <v>0</v>
      </c>
      <c r="JW11" s="21" t="n">
        <v>0</v>
      </c>
      <c r="JX11" s="21" t="n">
        <v>0</v>
      </c>
      <c r="JY11" s="21" t="n">
        <v>0</v>
      </c>
      <c r="JZ11" s="21" t="n">
        <v>0</v>
      </c>
      <c r="KA11" s="21" t="n">
        <v>0</v>
      </c>
      <c r="KB11" s="21" t="n">
        <v>0</v>
      </c>
      <c r="KC11" s="21" t="n">
        <v>0</v>
      </c>
      <c r="KD11" s="21" t="n">
        <v>0</v>
      </c>
      <c r="KE11" s="21" t="n">
        <v>0</v>
      </c>
      <c r="KF11" s="21" t="n">
        <v>0</v>
      </c>
      <c r="KG11" s="21" t="n">
        <v>0</v>
      </c>
      <c r="KH11" s="21" t="n">
        <v>0</v>
      </c>
      <c r="KI11" s="21" t="n">
        <v>0</v>
      </c>
      <c r="KJ11" s="21" t="n">
        <v>0</v>
      </c>
      <c r="KK11" s="21" t="n">
        <v>0</v>
      </c>
      <c r="KL11" s="21" t="n">
        <v>0</v>
      </c>
      <c r="KM11" s="21" t="n">
        <v>0</v>
      </c>
      <c r="KN11" s="21" t="n">
        <v>0</v>
      </c>
      <c r="KO11" s="21" t="n">
        <v>0</v>
      </c>
      <c r="KP11" s="21" t="n">
        <v>0</v>
      </c>
    </row>
    <row r="12" customFormat="false" ht="14.25" hidden="false" customHeight="false" outlineLevel="0" collapsed="false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  <c r="IY12" s="21"/>
      <c r="IZ12" s="21"/>
      <c r="JA12" s="21"/>
      <c r="JB12" s="21"/>
      <c r="JC12" s="21"/>
      <c r="JD12" s="21"/>
      <c r="JE12" s="21"/>
      <c r="JF12" s="21"/>
      <c r="JG12" s="21"/>
      <c r="JH12" s="21"/>
      <c r="JI12" s="21"/>
      <c r="JJ12" s="21"/>
      <c r="JK12" s="21"/>
      <c r="JL12" s="21"/>
      <c r="JM12" s="21"/>
      <c r="JN12" s="21"/>
      <c r="JO12" s="21"/>
      <c r="JP12" s="21"/>
      <c r="JQ12" s="21"/>
      <c r="JR12" s="21"/>
      <c r="JS12" s="21"/>
      <c r="JT12" s="21"/>
      <c r="JU12" s="21"/>
      <c r="JV12" s="21"/>
      <c r="JW12" s="21"/>
      <c r="JX12" s="21"/>
      <c r="JY12" s="21"/>
      <c r="JZ12" s="21"/>
      <c r="KA12" s="21"/>
      <c r="KB12" s="21"/>
      <c r="KC12" s="21"/>
      <c r="KD12" s="21"/>
      <c r="KE12" s="21"/>
      <c r="KF12" s="21"/>
      <c r="KG12" s="21"/>
      <c r="KH12" s="21"/>
      <c r="KI12" s="21"/>
      <c r="KJ12" s="21"/>
      <c r="KK12" s="21"/>
      <c r="KL12" s="21"/>
      <c r="KM12" s="21"/>
      <c r="KN12" s="21"/>
      <c r="KO12" s="21"/>
      <c r="KP12" s="21"/>
    </row>
    <row r="13" customFormat="false" ht="14.25" hidden="false" customHeight="false" outlineLevel="0" collapsed="false">
      <c r="A13" s="14" t="s">
        <v>414</v>
      </c>
      <c r="B13" s="18" t="n">
        <f aca="false">B6+SUM(B7:B11)</f>
        <v>-57500000</v>
      </c>
      <c r="C13" s="18" t="n">
        <f aca="false">C6+SUM(C7:C11)</f>
        <v>-159000</v>
      </c>
      <c r="D13" s="18" t="n">
        <f aca="false">D6+SUM(D7:D11)</f>
        <v>-159000</v>
      </c>
      <c r="E13" s="18" t="n">
        <f aca="false">E6+SUM(E7:E11)</f>
        <v>-159000</v>
      </c>
      <c r="F13" s="18" t="n">
        <f aca="false">F6+SUM(F7:F11)</f>
        <v>-159000</v>
      </c>
      <c r="G13" s="18" t="n">
        <f aca="false">G6+SUM(G7:G11)</f>
        <v>-159000</v>
      </c>
      <c r="H13" s="18" t="n">
        <f aca="false">H6+SUM(H7:H11)</f>
        <v>-159000</v>
      </c>
      <c r="I13" s="18" t="n">
        <f aca="false">I6+SUM(I7:I11)</f>
        <v>-159000</v>
      </c>
      <c r="J13" s="18" t="n">
        <f aca="false">J6+SUM(J7:J11)</f>
        <v>-159000</v>
      </c>
      <c r="K13" s="18" t="n">
        <f aca="false">K6+SUM(K7:K11)</f>
        <v>-159000</v>
      </c>
      <c r="L13" s="18" t="n">
        <f aca="false">L6+SUM(L7:L11)</f>
        <v>-159000</v>
      </c>
      <c r="M13" s="18" t="n">
        <f aca="false">M6+SUM(M7:M11)</f>
        <v>-159000</v>
      </c>
      <c r="N13" s="18" t="n">
        <f aca="false">N6+SUM(N7:N11)</f>
        <v>-159000</v>
      </c>
      <c r="O13" s="18" t="n">
        <f aca="false">O6+SUM(O7:O11)</f>
        <v>312870</v>
      </c>
      <c r="P13" s="18" t="n">
        <f aca="false">P6+SUM(P7:P11)</f>
        <v>312870</v>
      </c>
      <c r="Q13" s="18" t="n">
        <f aca="false">Q6+SUM(Q7:Q11)</f>
        <v>312870</v>
      </c>
      <c r="R13" s="18" t="n">
        <f aca="false">R6+SUM(R7:R11)</f>
        <v>312870</v>
      </c>
      <c r="S13" s="18" t="n">
        <f aca="false">S6+SUM(S7:S11)</f>
        <v>312870</v>
      </c>
      <c r="T13" s="18" t="n">
        <f aca="false">T6+SUM(T7:T11)</f>
        <v>312870</v>
      </c>
      <c r="U13" s="18" t="n">
        <f aca="false">U6+SUM(U7:U11)</f>
        <v>312870</v>
      </c>
      <c r="V13" s="18" t="n">
        <f aca="false">V6+SUM(V7:V11)</f>
        <v>312870</v>
      </c>
      <c r="W13" s="18" t="n">
        <f aca="false">W6+SUM(W7:W11)</f>
        <v>312870</v>
      </c>
      <c r="X13" s="18" t="n">
        <f aca="false">X6+SUM(X7:X11)</f>
        <v>312870</v>
      </c>
      <c r="Y13" s="18" t="n">
        <f aca="false">Y6+SUM(Y7:Y11)</f>
        <v>312870</v>
      </c>
      <c r="Z13" s="18" t="n">
        <f aca="false">Z6+SUM(Z7:Z11)</f>
        <v>312870</v>
      </c>
      <c r="AA13" s="18" t="n">
        <f aca="false">AA6+SUM(AA7:AA11)</f>
        <v>709472.757</v>
      </c>
      <c r="AB13" s="18" t="n">
        <f aca="false">AB6+SUM(AB7:AB11)</f>
        <v>709472.757</v>
      </c>
      <c r="AC13" s="18" t="n">
        <f aca="false">AC6+SUM(AC7:AC11)</f>
        <v>709472.757</v>
      </c>
      <c r="AD13" s="18" t="n">
        <f aca="false">AD6+SUM(AD7:AD11)</f>
        <v>709472.757</v>
      </c>
      <c r="AE13" s="18" t="n">
        <f aca="false">AE6+SUM(AE7:AE11)</f>
        <v>709472.757</v>
      </c>
      <c r="AF13" s="18" t="n">
        <f aca="false">AF6+SUM(AF7:AF11)</f>
        <v>709472.757</v>
      </c>
      <c r="AG13" s="18" t="n">
        <f aca="false">AG6+SUM(AG7:AG11)</f>
        <v>709472.757</v>
      </c>
      <c r="AH13" s="18" t="n">
        <f aca="false">AH6+SUM(AH7:AH11)</f>
        <v>709472.757</v>
      </c>
      <c r="AI13" s="18" t="n">
        <f aca="false">AI6+SUM(AI7:AI11)</f>
        <v>709472.757</v>
      </c>
      <c r="AJ13" s="18" t="n">
        <f aca="false">AJ6+SUM(AJ7:AJ11)</f>
        <v>709472.757</v>
      </c>
      <c r="AK13" s="18" t="n">
        <f aca="false">AK6+SUM(AK7:AK11)</f>
        <v>709472.757</v>
      </c>
      <c r="AL13" s="18" t="n">
        <f aca="false">AL6+SUM(AL7:AL11)</f>
        <v>709472.757</v>
      </c>
      <c r="AM13" s="18" t="n">
        <f aca="false">AM6+SUM(AM7:AM11)</f>
        <v>1103850.84999</v>
      </c>
      <c r="AN13" s="18" t="n">
        <f aca="false">AN6+SUM(AN7:AN11)</f>
        <v>1103850.84999</v>
      </c>
      <c r="AO13" s="18" t="n">
        <f aca="false">AO6+SUM(AO7:AO11)</f>
        <v>1103850.84999</v>
      </c>
      <c r="AP13" s="18" t="n">
        <f aca="false">AP6+SUM(AP7:AP11)</f>
        <v>1103850.84999</v>
      </c>
      <c r="AQ13" s="18" t="n">
        <f aca="false">AQ6+SUM(AQ7:AQ11)</f>
        <v>1103850.84999</v>
      </c>
      <c r="AR13" s="18" t="n">
        <f aca="false">AR6+SUM(AR7:AR11)</f>
        <v>1103850.84999</v>
      </c>
      <c r="AS13" s="18" t="n">
        <f aca="false">AS6+SUM(AS7:AS11)</f>
        <v>1103850.84999</v>
      </c>
      <c r="AT13" s="18" t="n">
        <f aca="false">AT6+SUM(AT7:AT11)</f>
        <v>1103850.84999</v>
      </c>
      <c r="AU13" s="18" t="n">
        <f aca="false">AU6+SUM(AU7:AU11)</f>
        <v>1103850.84999</v>
      </c>
      <c r="AV13" s="18" t="n">
        <f aca="false">AV6+SUM(AV7:AV11)</f>
        <v>1103850.84999</v>
      </c>
      <c r="AW13" s="18" t="n">
        <f aca="false">AW6+SUM(AW7:AW11)</f>
        <v>1103850.84999</v>
      </c>
      <c r="AX13" s="18" t="n">
        <f aca="false">AX6+SUM(AX7:AX11)</f>
        <v>1103850.84999</v>
      </c>
      <c r="AY13" s="18" t="n">
        <f aca="false">AY6+SUM(AY7:AY11)</f>
        <v>1525835.4094893</v>
      </c>
      <c r="AZ13" s="18" t="n">
        <f aca="false">AZ6+SUM(AZ7:AZ11)</f>
        <v>1525835.4094893</v>
      </c>
      <c r="BA13" s="18" t="n">
        <f aca="false">BA6+SUM(BA7:BA11)</f>
        <v>1525835.4094893</v>
      </c>
      <c r="BB13" s="18" t="n">
        <f aca="false">BB6+SUM(BB7:BB11)</f>
        <v>1525835.4094893</v>
      </c>
      <c r="BC13" s="18" t="n">
        <f aca="false">BC6+SUM(BC7:BC11)</f>
        <v>1525835.4094893</v>
      </c>
      <c r="BD13" s="18" t="n">
        <f aca="false">BD6+SUM(BD7:BD11)</f>
        <v>1525835.4094893</v>
      </c>
      <c r="BE13" s="18" t="n">
        <f aca="false">BE6+SUM(BE7:BE11)</f>
        <v>1525835.4094893</v>
      </c>
      <c r="BF13" s="18" t="n">
        <f aca="false">BF6+SUM(BF7:BF11)</f>
        <v>1525835.4094893</v>
      </c>
      <c r="BG13" s="18" t="n">
        <f aca="false">BG6+SUM(BG7:BG11)</f>
        <v>1525835.4094893</v>
      </c>
      <c r="BH13" s="18" t="n">
        <f aca="false">BH6+SUM(BH7:BH11)</f>
        <v>1525835.4094893</v>
      </c>
      <c r="BI13" s="18" t="n">
        <f aca="false">BI6+SUM(BI7:BI11)</f>
        <v>1525835.4094893</v>
      </c>
      <c r="BJ13" s="18" t="n">
        <f aca="false">BJ6+SUM(BJ7:BJ11)</f>
        <v>11525835.4094893</v>
      </c>
      <c r="BK13" s="18" t="n">
        <f aca="false">BK6+SUM(BK7:BK11)</f>
        <v>1977358.88815355</v>
      </c>
      <c r="BL13" s="18" t="n">
        <f aca="false">BL6+SUM(BL7:BL11)</f>
        <v>1977358.88815355</v>
      </c>
      <c r="BM13" s="18" t="n">
        <f aca="false">BM6+SUM(BM7:BM11)</f>
        <v>1977358.88815355</v>
      </c>
      <c r="BN13" s="18" t="n">
        <f aca="false">BN6+SUM(BN7:BN11)</f>
        <v>1977358.88815355</v>
      </c>
      <c r="BO13" s="18" t="n">
        <f aca="false">BO6+SUM(BO7:BO11)</f>
        <v>1977358.88815355</v>
      </c>
      <c r="BP13" s="18" t="n">
        <f aca="false">BP6+SUM(BP7:BP11)</f>
        <v>1977358.88815355</v>
      </c>
      <c r="BQ13" s="18" t="n">
        <f aca="false">BQ6+SUM(BQ7:BQ11)</f>
        <v>1977358.88815355</v>
      </c>
      <c r="BR13" s="18" t="n">
        <f aca="false">BR6+SUM(BR7:BR11)</f>
        <v>1977358.88815355</v>
      </c>
      <c r="BS13" s="18" t="n">
        <f aca="false">BS6+SUM(BS7:BS11)</f>
        <v>1977358.88815355</v>
      </c>
      <c r="BT13" s="18" t="n">
        <f aca="false">BT6+SUM(BT7:BT11)</f>
        <v>1977358.88815355</v>
      </c>
      <c r="BU13" s="18" t="n">
        <f aca="false">BU6+SUM(BU7:BU11)</f>
        <v>1977358.88815355</v>
      </c>
      <c r="BV13" s="18" t="n">
        <f aca="false">BV6+SUM(BV7:BV11)</f>
        <v>1977358.88815355</v>
      </c>
      <c r="BW13" s="18" t="n">
        <f aca="false">BW6+SUM(BW7:BW11)</f>
        <v>2460489.0103243</v>
      </c>
      <c r="BX13" s="18" t="n">
        <f aca="false">BX6+SUM(BX7:BX11)</f>
        <v>2460489.0103243</v>
      </c>
      <c r="BY13" s="18" t="n">
        <f aca="false">BY6+SUM(BY7:BY11)</f>
        <v>2460489.0103243</v>
      </c>
      <c r="BZ13" s="18" t="n">
        <f aca="false">BZ6+SUM(BZ7:BZ11)</f>
        <v>2460489.0103243</v>
      </c>
      <c r="CA13" s="18" t="n">
        <f aca="false">CA6+SUM(CA7:CA11)</f>
        <v>2460489.0103243</v>
      </c>
      <c r="CB13" s="18" t="n">
        <f aca="false">CB6+SUM(CB7:CB11)</f>
        <v>2460489.0103243</v>
      </c>
      <c r="CC13" s="18" t="n">
        <f aca="false">CC6+SUM(CC7:CC11)</f>
        <v>2460489.0103243</v>
      </c>
      <c r="CD13" s="18" t="n">
        <f aca="false">CD6+SUM(CD7:CD11)</f>
        <v>2460489.0103243</v>
      </c>
      <c r="CE13" s="18" t="n">
        <f aca="false">CE6+SUM(CE7:CE11)</f>
        <v>2460489.0103243</v>
      </c>
      <c r="CF13" s="18" t="n">
        <f aca="false">CF6+SUM(CF7:CF11)</f>
        <v>2460489.0103243</v>
      </c>
      <c r="CG13" s="18" t="n">
        <f aca="false">CG6+SUM(CG7:CG11)</f>
        <v>2460489.0103243</v>
      </c>
      <c r="CH13" s="18" t="n">
        <f aca="false">CH6+SUM(CH7:CH11)</f>
        <v>2460489.0103243</v>
      </c>
      <c r="CI13" s="18" t="n">
        <f aca="false">CI6+SUM(CI7:CI11)</f>
        <v>2977438.241047</v>
      </c>
      <c r="CJ13" s="18" t="n">
        <f aca="false">CJ6+SUM(CJ7:CJ11)</f>
        <v>2977438.241047</v>
      </c>
      <c r="CK13" s="18" t="n">
        <f aca="false">CK6+SUM(CK7:CK11)</f>
        <v>2977438.241047</v>
      </c>
      <c r="CL13" s="18" t="n">
        <f aca="false">CL6+SUM(CL7:CL11)</f>
        <v>2977438.241047</v>
      </c>
      <c r="CM13" s="18" t="n">
        <f aca="false">CM6+SUM(CM7:CM11)</f>
        <v>2977438.241047</v>
      </c>
      <c r="CN13" s="18" t="n">
        <f aca="false">CN6+SUM(CN7:CN11)</f>
        <v>2977438.241047</v>
      </c>
      <c r="CO13" s="18" t="n">
        <f aca="false">CO6+SUM(CO7:CO11)</f>
        <v>2977438.241047</v>
      </c>
      <c r="CP13" s="18" t="n">
        <f aca="false">CP6+SUM(CP7:CP11)</f>
        <v>2977438.241047</v>
      </c>
      <c r="CQ13" s="18" t="n">
        <f aca="false">CQ6+SUM(CQ7:CQ11)</f>
        <v>2977438.241047</v>
      </c>
      <c r="CR13" s="18" t="n">
        <f aca="false">CR6+SUM(CR7:CR11)</f>
        <v>2977438.241047</v>
      </c>
      <c r="CS13" s="18" t="n">
        <f aca="false">CS6+SUM(CS7:CS11)</f>
        <v>2977438.241047</v>
      </c>
      <c r="CT13" s="18" t="n">
        <f aca="false">CT6+SUM(CT7:CT11)</f>
        <v>2977438.241047</v>
      </c>
      <c r="CU13" s="18" t="n">
        <f aca="false">CU6+SUM(CU7:CU11)</f>
        <v>3530573.91792029</v>
      </c>
      <c r="CV13" s="18" t="n">
        <f aca="false">CV6+SUM(CV7:CV11)</f>
        <v>3530573.91792029</v>
      </c>
      <c r="CW13" s="18" t="n">
        <f aca="false">CW6+SUM(CW7:CW11)</f>
        <v>3530573.91792029</v>
      </c>
      <c r="CX13" s="18" t="n">
        <f aca="false">CX6+SUM(CX7:CX11)</f>
        <v>3530573.91792029</v>
      </c>
      <c r="CY13" s="18" t="n">
        <f aca="false">CY6+SUM(CY7:CY11)</f>
        <v>3530573.91792029</v>
      </c>
      <c r="CZ13" s="18" t="n">
        <f aca="false">CZ6+SUM(CZ7:CZ11)</f>
        <v>3530573.91792029</v>
      </c>
      <c r="DA13" s="18" t="n">
        <f aca="false">DA6+SUM(DA7:DA11)</f>
        <v>3530573.91792029</v>
      </c>
      <c r="DB13" s="18" t="n">
        <f aca="false">DB6+SUM(DB7:DB11)</f>
        <v>3530573.91792029</v>
      </c>
      <c r="DC13" s="18" t="n">
        <f aca="false">DC6+SUM(DC7:DC11)</f>
        <v>3530573.91792029</v>
      </c>
      <c r="DD13" s="18" t="n">
        <f aca="false">DD6+SUM(DD7:DD11)</f>
        <v>3530573.91792029</v>
      </c>
      <c r="DE13" s="18" t="n">
        <f aca="false">DE6+SUM(DE7:DE11)</f>
        <v>3530573.91792029</v>
      </c>
      <c r="DF13" s="18" t="n">
        <f aca="false">DF6+SUM(DF7:DF11)</f>
        <v>3530573.91792029</v>
      </c>
      <c r="DG13" s="18" t="n">
        <f aca="false">DG6+SUM(DG7:DG11)</f>
        <v>4122429.09217472</v>
      </c>
      <c r="DH13" s="18" t="n">
        <f aca="false">DH6+SUM(DH7:DH11)</f>
        <v>4122429.09217472</v>
      </c>
      <c r="DI13" s="18" t="n">
        <f aca="false">DI6+SUM(DI7:DI11)</f>
        <v>4122429.09217472</v>
      </c>
      <c r="DJ13" s="18" t="n">
        <f aca="false">DJ6+SUM(DJ7:DJ11)</f>
        <v>4122429.09217472</v>
      </c>
      <c r="DK13" s="18" t="n">
        <f aca="false">DK6+SUM(DK7:DK11)</f>
        <v>4122429.09217472</v>
      </c>
      <c r="DL13" s="18" t="n">
        <f aca="false">DL6+SUM(DL7:DL11)</f>
        <v>4122429.09217472</v>
      </c>
      <c r="DM13" s="18" t="n">
        <f aca="false">DM6+SUM(DM7:DM11)</f>
        <v>4122429.09217472</v>
      </c>
      <c r="DN13" s="18" t="n">
        <f aca="false">DN6+SUM(DN7:DN11)</f>
        <v>4122429.09217472</v>
      </c>
      <c r="DO13" s="18" t="n">
        <f aca="false">DO6+SUM(DO7:DO11)</f>
        <v>4122429.09217472</v>
      </c>
      <c r="DP13" s="18" t="n">
        <f aca="false">DP6+SUM(DP7:DP11)</f>
        <v>4122429.09217472</v>
      </c>
      <c r="DQ13" s="18" t="n">
        <f aca="false">DQ6+SUM(DQ7:DQ11)</f>
        <v>4122429.09217472</v>
      </c>
      <c r="DR13" s="18" t="n">
        <f aca="false">DR6+SUM(DR7:DR11)</f>
        <v>4122429.09217472</v>
      </c>
      <c r="DS13" s="18" t="n">
        <f aca="false">DS6+SUM(DS7:DS11)</f>
        <v>4643214.12862695</v>
      </c>
      <c r="DT13" s="18" t="n">
        <f aca="false">DT6+SUM(DT7:DT11)</f>
        <v>4643214.12862695</v>
      </c>
      <c r="DU13" s="18" t="n">
        <f aca="false">DU6+SUM(DU7:DU11)</f>
        <v>4643214.12862695</v>
      </c>
      <c r="DV13" s="18" t="n">
        <f aca="false">DV6+SUM(DV7:DV11)</f>
        <v>4643214.12862695</v>
      </c>
      <c r="DW13" s="18" t="n">
        <f aca="false">DW6+SUM(DW7:DW11)</f>
        <v>4643214.12862695</v>
      </c>
      <c r="DX13" s="18" t="n">
        <f aca="false">DX6+SUM(DX7:DX11)</f>
        <v>4643214.12862695</v>
      </c>
      <c r="DY13" s="18" t="n">
        <f aca="false">DY6+SUM(DY7:DY11)</f>
        <v>4643214.12862695</v>
      </c>
      <c r="DZ13" s="18" t="n">
        <f aca="false">DZ6+SUM(DZ7:DZ11)</f>
        <v>4643214.12862695</v>
      </c>
      <c r="EA13" s="18" t="n">
        <f aca="false">EA6+SUM(EA7:EA11)</f>
        <v>4643214.12862695</v>
      </c>
      <c r="EB13" s="18" t="n">
        <f aca="false">EB6+SUM(EB7:EB11)</f>
        <v>4643214.12862695</v>
      </c>
      <c r="EC13" s="18" t="n">
        <f aca="false">EC6+SUM(EC7:EC11)</f>
        <v>4643214.12862695</v>
      </c>
      <c r="ED13" s="18" t="n">
        <f aca="false">ED6+SUM(ED7:ED11)</f>
        <v>4643214.12862695</v>
      </c>
      <c r="EE13" s="18" t="n">
        <f aca="false">EE6+SUM(EE7:EE11)</f>
        <v>5320829.11763084</v>
      </c>
      <c r="EF13" s="18" t="n">
        <f aca="false">EF6+SUM(EF7:EF11)</f>
        <v>5320829.11763084</v>
      </c>
      <c r="EG13" s="18" t="n">
        <f aca="false">EG6+SUM(EG7:EG11)</f>
        <v>5320829.11763084</v>
      </c>
      <c r="EH13" s="18" t="n">
        <f aca="false">EH6+SUM(EH7:EH11)</f>
        <v>5320829.11763084</v>
      </c>
      <c r="EI13" s="18" t="n">
        <f aca="false">EI6+SUM(EI7:EI11)</f>
        <v>5320829.11763084</v>
      </c>
      <c r="EJ13" s="18" t="n">
        <f aca="false">EJ6+SUM(EJ7:EJ11)</f>
        <v>5320829.11763084</v>
      </c>
      <c r="EK13" s="18" t="n">
        <f aca="false">EK6+SUM(EK7:EK11)</f>
        <v>5320829.11763084</v>
      </c>
      <c r="EL13" s="18" t="n">
        <f aca="false">EL6+SUM(EL7:EL11)</f>
        <v>5320829.11763084</v>
      </c>
      <c r="EM13" s="18" t="n">
        <f aca="false">EM6+SUM(EM7:EM11)</f>
        <v>5320829.11763084</v>
      </c>
      <c r="EN13" s="18" t="n">
        <f aca="false">EN6+SUM(EN7:EN11)</f>
        <v>5320829.11763084</v>
      </c>
      <c r="EO13" s="18" t="n">
        <f aca="false">EO6+SUM(EO7:EO11)</f>
        <v>5320829.11763084</v>
      </c>
      <c r="EP13" s="18" t="n">
        <f aca="false">EP6+SUM(EP7:EP11)</f>
        <v>5320829.11763084</v>
      </c>
      <c r="EQ13" s="18" t="n">
        <f aca="false">EQ6+SUM(EQ7:EQ11)</f>
        <v>6045877.15586499</v>
      </c>
      <c r="ER13" s="18" t="n">
        <f aca="false">ER6+SUM(ER7:ER11)</f>
        <v>6045877.15586499</v>
      </c>
      <c r="ES13" s="18" t="n">
        <f aca="false">ES6+SUM(ES7:ES11)</f>
        <v>6045877.15586499</v>
      </c>
      <c r="ET13" s="18" t="n">
        <f aca="false">ET6+SUM(ET7:ET11)</f>
        <v>6045877.15586499</v>
      </c>
      <c r="EU13" s="18" t="n">
        <f aca="false">EU6+SUM(EU7:EU11)</f>
        <v>6045877.15586499</v>
      </c>
      <c r="EV13" s="18" t="n">
        <f aca="false">EV6+SUM(EV7:EV11)</f>
        <v>6045877.15586499</v>
      </c>
      <c r="EW13" s="18" t="n">
        <f aca="false">EW6+SUM(EW7:EW11)</f>
        <v>6045877.15586499</v>
      </c>
      <c r="EX13" s="18" t="n">
        <f aca="false">EX6+SUM(EX7:EX11)</f>
        <v>6045877.15586499</v>
      </c>
      <c r="EY13" s="18" t="n">
        <f aca="false">EY6+SUM(EY7:EY11)</f>
        <v>6045877.15586499</v>
      </c>
      <c r="EZ13" s="18" t="n">
        <f aca="false">EZ6+SUM(EZ7:EZ11)</f>
        <v>6045877.15586499</v>
      </c>
      <c r="FA13" s="18" t="n">
        <f aca="false">FA6+SUM(FA7:FA11)</f>
        <v>6045877.15586499</v>
      </c>
      <c r="FB13" s="18" t="n">
        <f aca="false">FB6+SUM(FB7:FB11)</f>
        <v>6045877.15586499</v>
      </c>
      <c r="FC13" s="18" t="n">
        <f aca="false">FC6+SUM(FC7:FC11)</f>
        <v>6821678.55677554</v>
      </c>
      <c r="FD13" s="18" t="n">
        <f aca="false">FD6+SUM(FD7:FD11)</f>
        <v>6821678.55677554</v>
      </c>
      <c r="FE13" s="18" t="n">
        <f aca="false">FE6+SUM(FE7:FE11)</f>
        <v>6821678.55677554</v>
      </c>
      <c r="FF13" s="18" t="n">
        <f aca="false">FF6+SUM(FF7:FF11)</f>
        <v>6821678.55677554</v>
      </c>
      <c r="FG13" s="18" t="n">
        <f aca="false">FG6+SUM(FG7:FG11)</f>
        <v>6821678.55677554</v>
      </c>
      <c r="FH13" s="18" t="n">
        <f aca="false">FH6+SUM(FH7:FH11)</f>
        <v>6821678.55677554</v>
      </c>
      <c r="FI13" s="18" t="n">
        <f aca="false">FI6+SUM(FI7:FI11)</f>
        <v>6821678.55677554</v>
      </c>
      <c r="FJ13" s="18" t="n">
        <f aca="false">FJ6+SUM(FJ7:FJ11)</f>
        <v>6821678.55677554</v>
      </c>
      <c r="FK13" s="18" t="n">
        <f aca="false">FK6+SUM(FK7:FK11)</f>
        <v>6821678.55677554</v>
      </c>
      <c r="FL13" s="18" t="n">
        <f aca="false">FL6+SUM(FL7:FL11)</f>
        <v>6821678.55677554</v>
      </c>
      <c r="FM13" s="18" t="n">
        <f aca="false">FM6+SUM(FM7:FM11)</f>
        <v>6821678.55677554</v>
      </c>
      <c r="FN13" s="18" t="n">
        <f aca="false">FN6+SUM(FN7:FN11)</f>
        <v>6821678.55677554</v>
      </c>
      <c r="FO13" s="18" t="n">
        <f aca="false">FO6+SUM(FO7:FO11)</f>
        <v>7651786.05574983</v>
      </c>
      <c r="FP13" s="18" t="n">
        <f aca="false">FP6+SUM(FP7:FP11)</f>
        <v>7651786.05574983</v>
      </c>
      <c r="FQ13" s="18" t="n">
        <f aca="false">FQ6+SUM(FQ7:FQ11)</f>
        <v>7651786.05574983</v>
      </c>
      <c r="FR13" s="18" t="n">
        <f aca="false">FR6+SUM(FR7:FR11)</f>
        <v>7651786.05574983</v>
      </c>
      <c r="FS13" s="18" t="n">
        <f aca="false">FS6+SUM(FS7:FS11)</f>
        <v>7651786.05574983</v>
      </c>
      <c r="FT13" s="18" t="n">
        <f aca="false">FT6+SUM(FT7:FT11)</f>
        <v>7651786.05574983</v>
      </c>
      <c r="FU13" s="18" t="n">
        <f aca="false">FU6+SUM(FU7:FU11)</f>
        <v>7651786.05574983</v>
      </c>
      <c r="FV13" s="18" t="n">
        <f aca="false">FV6+SUM(FV7:FV11)</f>
        <v>7651786.05574983</v>
      </c>
      <c r="FW13" s="18" t="n">
        <f aca="false">FW6+SUM(FW7:FW11)</f>
        <v>7651786.05574983</v>
      </c>
      <c r="FX13" s="18" t="n">
        <f aca="false">FX6+SUM(FX7:FX11)</f>
        <v>7651786.05574983</v>
      </c>
      <c r="FY13" s="18" t="n">
        <f aca="false">FY6+SUM(FY7:FY11)</f>
        <v>7651786.05574983</v>
      </c>
      <c r="FZ13" s="18" t="n">
        <f aca="false">FZ6+SUM(FZ7:FZ11)</f>
        <v>7651786.05574983</v>
      </c>
      <c r="GA13" s="18" t="n">
        <f aca="false">GA6+SUM(GA7:GA11)</f>
        <v>8540001.07965232</v>
      </c>
      <c r="GB13" s="18" t="n">
        <f aca="false">GB6+SUM(GB7:GB11)</f>
        <v>8540001.07965232</v>
      </c>
      <c r="GC13" s="18" t="n">
        <f aca="false">GC6+SUM(GC7:GC11)</f>
        <v>8540001.07965232</v>
      </c>
      <c r="GD13" s="18" t="n">
        <f aca="false">GD6+SUM(GD7:GD11)</f>
        <v>8540001.07965232</v>
      </c>
      <c r="GE13" s="18" t="n">
        <f aca="false">GE6+SUM(GE7:GE11)</f>
        <v>8540001.07965232</v>
      </c>
      <c r="GF13" s="18" t="n">
        <f aca="false">GF6+SUM(GF7:GF11)</f>
        <v>8540001.07965232</v>
      </c>
      <c r="GG13" s="18" t="n">
        <f aca="false">GG6+SUM(GG7:GG11)</f>
        <v>8540001.07965232</v>
      </c>
      <c r="GH13" s="18" t="n">
        <f aca="false">GH6+SUM(GH7:GH11)</f>
        <v>8540001.07965232</v>
      </c>
      <c r="GI13" s="18" t="n">
        <f aca="false">GI6+SUM(GI7:GI11)</f>
        <v>8540001.07965232</v>
      </c>
      <c r="GJ13" s="18" t="n">
        <f aca="false">GJ6+SUM(GJ7:GJ11)</f>
        <v>8540001.07965232</v>
      </c>
      <c r="GK13" s="18" t="n">
        <f aca="false">GK6+SUM(GK7:GK11)</f>
        <v>8540001.07965232</v>
      </c>
      <c r="GL13" s="18" t="n">
        <f aca="false">GL6+SUM(GL7:GL11)</f>
        <v>8540001.07965232</v>
      </c>
      <c r="GM13" s="18" t="n">
        <f aca="false">GM6+SUM(GM7:GM11)</f>
        <v>9490391.15522799</v>
      </c>
      <c r="GN13" s="18" t="n">
        <f aca="false">GN6+SUM(GN7:GN11)</f>
        <v>9490391.15522799</v>
      </c>
      <c r="GO13" s="18" t="n">
        <f aca="false">GO6+SUM(GO7:GO11)</f>
        <v>9490391.15522799</v>
      </c>
      <c r="GP13" s="18" t="n">
        <f aca="false">GP6+SUM(GP7:GP11)</f>
        <v>9490391.15522799</v>
      </c>
      <c r="GQ13" s="18" t="n">
        <f aca="false">GQ6+SUM(GQ7:GQ11)</f>
        <v>9490391.15522799</v>
      </c>
      <c r="GR13" s="18" t="n">
        <f aca="false">GR6+SUM(GR7:GR11)</f>
        <v>9490391.15522799</v>
      </c>
      <c r="GS13" s="18" t="n">
        <f aca="false">GS6+SUM(GS7:GS11)</f>
        <v>9490391.15522799</v>
      </c>
      <c r="GT13" s="18" t="n">
        <f aca="false">GT6+SUM(GT7:GT11)</f>
        <v>9490391.15522799</v>
      </c>
      <c r="GU13" s="18" t="n">
        <f aca="false">GU6+SUM(GU7:GU11)</f>
        <v>9490391.15522799</v>
      </c>
      <c r="GV13" s="18" t="n">
        <f aca="false">GV6+SUM(GV7:GV11)</f>
        <v>9490391.15522799</v>
      </c>
      <c r="GW13" s="18" t="n">
        <f aca="false">GW6+SUM(GW7:GW11)</f>
        <v>9490391.15522799</v>
      </c>
      <c r="GX13" s="18" t="n">
        <f aca="false">GX6+SUM(GX7:GX11)</f>
        <v>9490391.15522799</v>
      </c>
      <c r="GY13" s="18" t="n">
        <f aca="false">GY6+SUM(GY7:GY11)</f>
        <v>10507308.5360939</v>
      </c>
      <c r="GZ13" s="18" t="n">
        <f aca="false">GZ6+SUM(GZ7:GZ11)</f>
        <v>10507308.5360939</v>
      </c>
      <c r="HA13" s="18" t="n">
        <f aca="false">HA6+SUM(HA7:HA11)</f>
        <v>10507308.5360939</v>
      </c>
      <c r="HB13" s="18" t="n">
        <f aca="false">HB6+SUM(HB7:HB11)</f>
        <v>10507308.5360939</v>
      </c>
      <c r="HC13" s="18" t="n">
        <f aca="false">HC6+SUM(HC7:HC11)</f>
        <v>10507308.5360939</v>
      </c>
      <c r="HD13" s="18" t="n">
        <f aca="false">HD6+SUM(HD7:HD11)</f>
        <v>10507308.5360939</v>
      </c>
      <c r="HE13" s="18" t="n">
        <f aca="false">HE6+SUM(HE7:HE11)</f>
        <v>10507308.5360939</v>
      </c>
      <c r="HF13" s="18" t="n">
        <f aca="false">HF6+SUM(HF7:HF11)</f>
        <v>10507308.5360939</v>
      </c>
      <c r="HG13" s="18" t="n">
        <f aca="false">HG6+SUM(HG7:HG11)</f>
        <v>10507308.5360939</v>
      </c>
      <c r="HH13" s="18" t="n">
        <f aca="false">HH6+SUM(HH7:HH11)</f>
        <v>10507308.5360939</v>
      </c>
      <c r="HI13" s="18" t="n">
        <f aca="false">HI6+SUM(HI7:HI11)</f>
        <v>10507308.5360939</v>
      </c>
      <c r="HJ13" s="18" t="n">
        <f aca="false">HJ6+SUM(HJ7:HJ11)</f>
        <v>10507308.5360939</v>
      </c>
      <c r="HK13" s="18" t="n">
        <f aca="false">HK6+SUM(HK7:HK11)</f>
        <v>11595410.1336205</v>
      </c>
      <c r="HL13" s="18" t="n">
        <f aca="false">HL6+SUM(HL7:HL11)</f>
        <v>11595410.1336205</v>
      </c>
      <c r="HM13" s="18" t="n">
        <f aca="false">HM6+SUM(HM7:HM11)</f>
        <v>11595410.1336205</v>
      </c>
      <c r="HN13" s="18" t="n">
        <f aca="false">HN6+SUM(HN7:HN11)</f>
        <v>11595410.1336205</v>
      </c>
      <c r="HO13" s="18" t="n">
        <f aca="false">HO6+SUM(HO7:HO11)</f>
        <v>11595410.1336205</v>
      </c>
      <c r="HP13" s="18" t="n">
        <f aca="false">HP6+SUM(HP7:HP11)</f>
        <v>11595410.1336205</v>
      </c>
      <c r="HQ13" s="18" t="n">
        <f aca="false">HQ6+SUM(HQ7:HQ11)</f>
        <v>11595410.1336205</v>
      </c>
      <c r="HR13" s="18" t="n">
        <f aca="false">HR6+SUM(HR7:HR11)</f>
        <v>11595410.1336205</v>
      </c>
      <c r="HS13" s="18" t="n">
        <f aca="false">HS6+SUM(HS7:HS11)</f>
        <v>11595410.1336205</v>
      </c>
      <c r="HT13" s="18" t="n">
        <f aca="false">HT6+SUM(HT7:HT11)</f>
        <v>11595410.1336205</v>
      </c>
      <c r="HU13" s="18" t="n">
        <f aca="false">HU6+SUM(HU7:HU11)</f>
        <v>11595410.1336205</v>
      </c>
      <c r="HV13" s="18" t="n">
        <f aca="false">HV6+SUM(HV7:HV11)</f>
        <v>11595410.1336205</v>
      </c>
      <c r="HW13" s="18" t="n">
        <f aca="false">HW6+SUM(HW7:HW11)</f>
        <v>12759678.842974</v>
      </c>
      <c r="HX13" s="18" t="n">
        <f aca="false">HX6+SUM(HX7:HX11)</f>
        <v>12759678.842974</v>
      </c>
      <c r="HY13" s="18" t="n">
        <f aca="false">HY6+SUM(HY7:HY11)</f>
        <v>12759678.842974</v>
      </c>
      <c r="HZ13" s="18" t="n">
        <f aca="false">HZ6+SUM(HZ7:HZ11)</f>
        <v>12759678.842974</v>
      </c>
      <c r="IA13" s="18" t="n">
        <f aca="false">IA6+SUM(IA7:IA11)</f>
        <v>12759678.842974</v>
      </c>
      <c r="IB13" s="18" t="n">
        <f aca="false">IB6+SUM(IB7:IB11)</f>
        <v>12759678.842974</v>
      </c>
      <c r="IC13" s="18" t="n">
        <f aca="false">IC6+SUM(IC7:IC11)</f>
        <v>12759678.842974</v>
      </c>
      <c r="ID13" s="18" t="n">
        <f aca="false">ID6+SUM(ID7:ID11)</f>
        <v>12759678.842974</v>
      </c>
      <c r="IE13" s="18" t="n">
        <f aca="false">IE6+SUM(IE7:IE11)</f>
        <v>12759678.842974</v>
      </c>
      <c r="IF13" s="18" t="n">
        <f aca="false">IF6+SUM(IF7:IF11)</f>
        <v>12759678.842974</v>
      </c>
      <c r="IG13" s="18" t="n">
        <f aca="false">IG6+SUM(IG7:IG11)</f>
        <v>12759678.842974</v>
      </c>
      <c r="IH13" s="18" t="n">
        <f aca="false">IH6+SUM(IH7:IH11)</f>
        <v>12759678.842974</v>
      </c>
      <c r="II13" s="18" t="n">
        <f aca="false">II6+SUM(II7:II11)</f>
        <v>14005446.3619821</v>
      </c>
      <c r="IJ13" s="18" t="n">
        <f aca="false">IJ6+SUM(IJ7:IJ11)</f>
        <v>14005446.3619821</v>
      </c>
      <c r="IK13" s="18" t="n">
        <f aca="false">IK6+SUM(IK7:IK11)</f>
        <v>14005446.3619821</v>
      </c>
      <c r="IL13" s="18" t="n">
        <f aca="false">IL6+SUM(IL7:IL11)</f>
        <v>14005446.3619821</v>
      </c>
      <c r="IM13" s="18" t="n">
        <f aca="false">IM6+SUM(IM7:IM11)</f>
        <v>14005446.3619821</v>
      </c>
      <c r="IN13" s="18" t="n">
        <f aca="false">IN6+SUM(IN7:IN11)</f>
        <v>14005446.3619821</v>
      </c>
      <c r="IO13" s="18" t="n">
        <f aca="false">IO6+SUM(IO7:IO11)</f>
        <v>14005446.3619821</v>
      </c>
      <c r="IP13" s="18" t="n">
        <f aca="false">IP6+SUM(IP7:IP11)</f>
        <v>14005446.3619821</v>
      </c>
      <c r="IQ13" s="18" t="n">
        <f aca="false">IQ6+SUM(IQ7:IQ11)</f>
        <v>14005446.3619821</v>
      </c>
      <c r="IR13" s="18" t="n">
        <f aca="false">IR6+SUM(IR7:IR11)</f>
        <v>14005446.3619821</v>
      </c>
      <c r="IS13" s="18" t="n">
        <f aca="false">IS6+SUM(IS7:IS11)</f>
        <v>14005446.3619821</v>
      </c>
      <c r="IT13" s="18" t="n">
        <f aca="false">IT6+SUM(IT7:IT11)</f>
        <v>14005446.3619821</v>
      </c>
      <c r="IU13" s="18" t="n">
        <f aca="false">IU6+SUM(IU7:IU11)</f>
        <v>15338417.6073209</v>
      </c>
      <c r="IV13" s="18" t="n">
        <f aca="false">IV6+SUM(IV7:IV11)</f>
        <v>15338417.6073209</v>
      </c>
      <c r="IW13" s="18" t="n">
        <f aca="false">IW6+SUM(IW7:IW11)</f>
        <v>15338417.6073209</v>
      </c>
      <c r="IX13" s="18" t="n">
        <f aca="false">IX6+SUM(IX7:IX11)</f>
        <v>15338417.6073209</v>
      </c>
      <c r="IY13" s="18" t="n">
        <f aca="false">IY6+SUM(IY7:IY11)</f>
        <v>15338417.6073209</v>
      </c>
      <c r="IZ13" s="18" t="n">
        <f aca="false">IZ6+SUM(IZ7:IZ11)</f>
        <v>15338417.6073209</v>
      </c>
      <c r="JA13" s="18" t="n">
        <f aca="false">JA6+SUM(JA7:JA11)</f>
        <v>15338417.6073209</v>
      </c>
      <c r="JB13" s="18" t="n">
        <f aca="false">JB6+SUM(JB7:JB11)</f>
        <v>15338417.6073209</v>
      </c>
      <c r="JC13" s="18" t="n">
        <f aca="false">JC6+SUM(JC7:JC11)</f>
        <v>15338417.6073209</v>
      </c>
      <c r="JD13" s="18" t="n">
        <f aca="false">JD6+SUM(JD7:JD11)</f>
        <v>15338417.6073209</v>
      </c>
      <c r="JE13" s="18" t="n">
        <f aca="false">JE6+SUM(JE7:JE11)</f>
        <v>15338417.6073209</v>
      </c>
      <c r="JF13" s="18" t="n">
        <f aca="false">JF6+SUM(JF7:JF11)</f>
        <v>15338417.6073209</v>
      </c>
      <c r="JG13" s="18" t="n">
        <f aca="false">JG6+SUM(JG7:JG11)</f>
        <v>16764696.8398334</v>
      </c>
      <c r="JH13" s="18" t="n">
        <f aca="false">JH6+SUM(JH7:JH11)</f>
        <v>16764696.8398334</v>
      </c>
      <c r="JI13" s="18" t="n">
        <f aca="false">JI6+SUM(JI7:JI11)</f>
        <v>16764696.8398334</v>
      </c>
      <c r="JJ13" s="18" t="n">
        <f aca="false">JJ6+SUM(JJ7:JJ11)</f>
        <v>16764696.8398334</v>
      </c>
      <c r="JK13" s="18" t="n">
        <f aca="false">JK6+SUM(JK7:JK11)</f>
        <v>16764696.8398334</v>
      </c>
      <c r="JL13" s="18" t="n">
        <f aca="false">JL6+SUM(JL7:JL11)</f>
        <v>16764696.8398334</v>
      </c>
      <c r="JM13" s="18" t="n">
        <f aca="false">JM6+SUM(JM7:JM11)</f>
        <v>16764696.8398334</v>
      </c>
      <c r="JN13" s="18" t="n">
        <f aca="false">JN6+SUM(JN7:JN11)</f>
        <v>16764696.8398334</v>
      </c>
      <c r="JO13" s="18" t="n">
        <f aca="false">JO6+SUM(JO7:JO11)</f>
        <v>16764696.8398334</v>
      </c>
      <c r="JP13" s="18" t="n">
        <f aca="false">JP6+SUM(JP7:JP11)</f>
        <v>16764696.8398334</v>
      </c>
      <c r="JQ13" s="18" t="n">
        <f aca="false">JQ6+SUM(JQ7:JQ11)</f>
        <v>16764696.8398334</v>
      </c>
      <c r="JR13" s="18" t="n">
        <f aca="false">JR6+SUM(JR7:JR11)</f>
        <v>16764696.8398334</v>
      </c>
      <c r="JS13" s="18" t="n">
        <f aca="false">JS6+SUM(JS7:JS11)</f>
        <v>18290815.6186217</v>
      </c>
      <c r="JT13" s="18" t="n">
        <f aca="false">JT6+SUM(JT7:JT11)</f>
        <v>18290815.6186217</v>
      </c>
      <c r="JU13" s="18" t="n">
        <f aca="false">JU6+SUM(JU7:JU11)</f>
        <v>18290815.6186217</v>
      </c>
      <c r="JV13" s="18" t="n">
        <f aca="false">JV6+SUM(JV7:JV11)</f>
        <v>18290815.6186217</v>
      </c>
      <c r="JW13" s="18" t="n">
        <f aca="false">JW6+SUM(JW7:JW11)</f>
        <v>18290815.6186217</v>
      </c>
      <c r="JX13" s="18" t="n">
        <f aca="false">JX6+SUM(JX7:JX11)</f>
        <v>18290815.6186217</v>
      </c>
      <c r="JY13" s="18" t="n">
        <f aca="false">JY6+SUM(JY7:JY11)</f>
        <v>18290815.6186217</v>
      </c>
      <c r="JZ13" s="18" t="n">
        <f aca="false">JZ6+SUM(JZ7:JZ11)</f>
        <v>18290815.6186217</v>
      </c>
      <c r="KA13" s="18" t="n">
        <f aca="false">KA6+SUM(KA7:KA11)</f>
        <v>18290815.6186217</v>
      </c>
      <c r="KB13" s="18" t="n">
        <f aca="false">KB6+SUM(KB7:KB11)</f>
        <v>18290815.6186217</v>
      </c>
      <c r="KC13" s="18" t="n">
        <f aca="false">KC6+SUM(KC7:KC11)</f>
        <v>18290815.6186217</v>
      </c>
      <c r="KD13" s="18" t="n">
        <f aca="false">KD6+SUM(KD7:KD11)</f>
        <v>18290815.6186217</v>
      </c>
      <c r="KE13" s="18" t="n">
        <f aca="false">KE6+SUM(KE7:KE11)</f>
        <v>19923762.7119252</v>
      </c>
      <c r="KF13" s="18" t="n">
        <f aca="false">KF6+SUM(KF7:KF11)</f>
        <v>19923762.7119252</v>
      </c>
      <c r="KG13" s="18" t="n">
        <f aca="false">KG6+SUM(KG7:KG11)</f>
        <v>19923762.7119252</v>
      </c>
      <c r="KH13" s="18" t="n">
        <f aca="false">KH6+SUM(KH7:KH11)</f>
        <v>19923762.7119252</v>
      </c>
      <c r="KI13" s="18" t="n">
        <f aca="false">KI6+SUM(KI7:KI11)</f>
        <v>19923762.7119252</v>
      </c>
      <c r="KJ13" s="18" t="n">
        <f aca="false">KJ6+SUM(KJ7:KJ11)</f>
        <v>19923762.7119252</v>
      </c>
      <c r="KK13" s="18" t="n">
        <f aca="false">KK6+SUM(KK7:KK11)</f>
        <v>19923762.7119252</v>
      </c>
      <c r="KL13" s="18" t="n">
        <f aca="false">KL6+SUM(KL7:KL11)</f>
        <v>19923762.7119252</v>
      </c>
      <c r="KM13" s="18" t="n">
        <f aca="false">KM6+SUM(KM7:KM11)</f>
        <v>19923762.7119252</v>
      </c>
      <c r="KN13" s="18" t="n">
        <f aca="false">KN6+SUM(KN7:KN11)</f>
        <v>19923762.7119252</v>
      </c>
      <c r="KO13" s="18" t="n">
        <f aca="false">KO6+SUM(KO7:KO11)</f>
        <v>19923762.7119252</v>
      </c>
      <c r="KP13" s="18" t="n">
        <f aca="false">KP6+SUM(KP7:KP11)</f>
        <v>19923762.7119252</v>
      </c>
    </row>
    <row r="14" customFormat="false" ht="14.25" hidden="false" customHeight="false" outlineLevel="0" collapsed="false">
      <c r="A14" s="0" t="s">
        <v>424</v>
      </c>
      <c r="B14" s="18" t="n">
        <f aca="false">B13</f>
        <v>-57500000</v>
      </c>
      <c r="C14" s="18" t="n">
        <f aca="false">B14+C13</f>
        <v>-57659000</v>
      </c>
      <c r="D14" s="18" t="n">
        <f aca="false">C14+D13</f>
        <v>-57818000</v>
      </c>
      <c r="E14" s="18" t="n">
        <f aca="false">D14+E13</f>
        <v>-57977000</v>
      </c>
      <c r="F14" s="18" t="n">
        <f aca="false">E14+F13</f>
        <v>-58136000</v>
      </c>
      <c r="G14" s="18" t="n">
        <f aca="false">F14+G13</f>
        <v>-58295000</v>
      </c>
      <c r="H14" s="18" t="n">
        <f aca="false">G14+H13</f>
        <v>-58454000</v>
      </c>
      <c r="I14" s="18" t="n">
        <f aca="false">H14+I13</f>
        <v>-58613000</v>
      </c>
      <c r="J14" s="18" t="n">
        <f aca="false">I14+J13</f>
        <v>-58772000</v>
      </c>
      <c r="K14" s="18" t="n">
        <f aca="false">J14+K13</f>
        <v>-58931000</v>
      </c>
      <c r="L14" s="18" t="n">
        <f aca="false">K14+L13</f>
        <v>-59090000</v>
      </c>
      <c r="M14" s="18" t="n">
        <f aca="false">L14+M13</f>
        <v>-59249000</v>
      </c>
      <c r="N14" s="18" t="n">
        <f aca="false">M14+N13</f>
        <v>-59408000</v>
      </c>
      <c r="O14" s="18" t="n">
        <f aca="false">N14+O13</f>
        <v>-59095130</v>
      </c>
      <c r="P14" s="18" t="n">
        <f aca="false">O14+P13</f>
        <v>-58782260</v>
      </c>
      <c r="Q14" s="18" t="n">
        <f aca="false">P14+Q13</f>
        <v>-58469390</v>
      </c>
      <c r="R14" s="18" t="n">
        <f aca="false">Q14+R13</f>
        <v>-58156520</v>
      </c>
      <c r="S14" s="18" t="n">
        <f aca="false">R14+S13</f>
        <v>-57843650</v>
      </c>
      <c r="T14" s="18" t="n">
        <f aca="false">S14+T13</f>
        <v>-57530780</v>
      </c>
      <c r="U14" s="18" t="n">
        <f aca="false">T14+U13</f>
        <v>-57217910</v>
      </c>
      <c r="V14" s="18" t="n">
        <f aca="false">U14+V13</f>
        <v>-56905040</v>
      </c>
      <c r="W14" s="18" t="n">
        <f aca="false">V14+W13</f>
        <v>-56592170</v>
      </c>
      <c r="X14" s="18" t="n">
        <f aca="false">W14+X13</f>
        <v>-56279300</v>
      </c>
      <c r="Y14" s="18" t="n">
        <f aca="false">X14+Y13</f>
        <v>-55966430</v>
      </c>
      <c r="Z14" s="18" t="n">
        <f aca="false">Y14+Z13</f>
        <v>-55653560</v>
      </c>
      <c r="AA14" s="18" t="n">
        <f aca="false">Z14+AA13</f>
        <v>-54944087.243</v>
      </c>
      <c r="AB14" s="18" t="n">
        <f aca="false">AA14+AB13</f>
        <v>-54234614.486</v>
      </c>
      <c r="AC14" s="18" t="n">
        <f aca="false">AB14+AC13</f>
        <v>-53525141.729</v>
      </c>
      <c r="AD14" s="18" t="n">
        <f aca="false">AC14+AD13</f>
        <v>-52815668.972</v>
      </c>
      <c r="AE14" s="18" t="n">
        <f aca="false">AD14+AE13</f>
        <v>-52106196.215</v>
      </c>
      <c r="AF14" s="18" t="n">
        <f aca="false">AE14+AF13</f>
        <v>-51396723.458</v>
      </c>
      <c r="AG14" s="18" t="n">
        <f aca="false">AF14+AG13</f>
        <v>-50687250.701</v>
      </c>
      <c r="AH14" s="18" t="n">
        <f aca="false">AG14+AH13</f>
        <v>-49977777.944</v>
      </c>
      <c r="AI14" s="18" t="n">
        <f aca="false">AH14+AI13</f>
        <v>-49268305.187</v>
      </c>
      <c r="AJ14" s="18" t="n">
        <f aca="false">AI14+AJ13</f>
        <v>-48558832.43</v>
      </c>
      <c r="AK14" s="18" t="n">
        <f aca="false">AJ14+AK13</f>
        <v>-47849359.673</v>
      </c>
      <c r="AL14" s="18" t="n">
        <f aca="false">AK14+AL13</f>
        <v>-47139886.916</v>
      </c>
      <c r="AM14" s="18" t="n">
        <f aca="false">AL14+AM13</f>
        <v>-46036036.06601</v>
      </c>
      <c r="AN14" s="18" t="n">
        <f aca="false">AM14+AN13</f>
        <v>-44932185.21602</v>
      </c>
      <c r="AO14" s="18" t="n">
        <f aca="false">AN14+AO13</f>
        <v>-43828334.36603</v>
      </c>
      <c r="AP14" s="18" t="n">
        <f aca="false">AO14+AP13</f>
        <v>-42724483.51604</v>
      </c>
      <c r="AQ14" s="18" t="n">
        <f aca="false">AP14+AQ13</f>
        <v>-41620632.66605</v>
      </c>
      <c r="AR14" s="18" t="n">
        <f aca="false">AQ14+AR13</f>
        <v>-40516781.81606</v>
      </c>
      <c r="AS14" s="18" t="n">
        <f aca="false">AR14+AS13</f>
        <v>-39412930.96607</v>
      </c>
      <c r="AT14" s="18" t="n">
        <f aca="false">AS14+AT13</f>
        <v>-38309080.11608</v>
      </c>
      <c r="AU14" s="18" t="n">
        <f aca="false">AT14+AU13</f>
        <v>-37205229.26609</v>
      </c>
      <c r="AV14" s="18" t="n">
        <f aca="false">AU14+AV13</f>
        <v>-36101378.4161</v>
      </c>
      <c r="AW14" s="18" t="n">
        <f aca="false">AV14+AW13</f>
        <v>-34997527.56611</v>
      </c>
      <c r="AX14" s="18" t="n">
        <f aca="false">AW14+AX13</f>
        <v>-33893676.71612</v>
      </c>
      <c r="AY14" s="18" t="n">
        <f aca="false">AX14+AY13</f>
        <v>-32367841.3066307</v>
      </c>
      <c r="AZ14" s="18" t="n">
        <f aca="false">AY14+AZ13</f>
        <v>-30842005.8971414</v>
      </c>
      <c r="BA14" s="18" t="n">
        <f aca="false">AZ14+BA13</f>
        <v>-29316170.4876521</v>
      </c>
      <c r="BB14" s="18" t="n">
        <f aca="false">BA14+BB13</f>
        <v>-27790335.0781628</v>
      </c>
      <c r="BC14" s="18" t="n">
        <f aca="false">BB14+BC13</f>
        <v>-26264499.6686735</v>
      </c>
      <c r="BD14" s="18" t="n">
        <f aca="false">BC14+BD13</f>
        <v>-24738664.2591842</v>
      </c>
      <c r="BE14" s="18" t="n">
        <f aca="false">BD14+BE13</f>
        <v>-23212828.8496948</v>
      </c>
      <c r="BF14" s="18" t="n">
        <f aca="false">BE14+BF13</f>
        <v>-21686993.4402055</v>
      </c>
      <c r="BG14" s="18" t="n">
        <f aca="false">BF14+BG13</f>
        <v>-20161158.0307162</v>
      </c>
      <c r="BH14" s="18" t="n">
        <f aca="false">BG14+BH13</f>
        <v>-18635322.6212269</v>
      </c>
      <c r="BI14" s="18" t="n">
        <f aca="false">BH14+BI13</f>
        <v>-17109487.2117376</v>
      </c>
      <c r="BJ14" s="18" t="n">
        <f aca="false">BI14+BJ13</f>
        <v>-5583651.80224833</v>
      </c>
      <c r="BK14" s="18" t="n">
        <f aca="false">BJ14+BK13</f>
        <v>-3606292.91409478</v>
      </c>
      <c r="BL14" s="18" t="n">
        <f aca="false">BK14+BL13</f>
        <v>-1628934.02594123</v>
      </c>
      <c r="BM14" s="18" t="n">
        <f aca="false">BL14+BM13</f>
        <v>348424.862212326</v>
      </c>
      <c r="BN14" s="18" t="n">
        <f aca="false">BM14+BN13</f>
        <v>2325783.75036588</v>
      </c>
      <c r="BO14" s="18" t="n">
        <f aca="false">BN14+BO13</f>
        <v>4303142.63851943</v>
      </c>
      <c r="BP14" s="18" t="n">
        <f aca="false">BO14+BP13</f>
        <v>6280501.52667298</v>
      </c>
      <c r="BQ14" s="18" t="n">
        <f aca="false">BP14+BQ13</f>
        <v>8257860.41482654</v>
      </c>
      <c r="BR14" s="18" t="n">
        <f aca="false">BQ14+BR13</f>
        <v>10235219.3029801</v>
      </c>
      <c r="BS14" s="18" t="n">
        <f aca="false">BR14+BS13</f>
        <v>12212578.1911336</v>
      </c>
      <c r="BT14" s="18" t="n">
        <f aca="false">BS14+BT13</f>
        <v>14189937.0792872</v>
      </c>
      <c r="BU14" s="18" t="n">
        <f aca="false">BT14+BU13</f>
        <v>16167295.9674407</v>
      </c>
      <c r="BV14" s="18" t="n">
        <f aca="false">BU14+BV13</f>
        <v>18144654.8555943</v>
      </c>
      <c r="BW14" s="18" t="n">
        <f aca="false">BV14+BW13</f>
        <v>20605143.8659186</v>
      </c>
      <c r="BX14" s="18" t="n">
        <f aca="false">BW14+BX13</f>
        <v>23065632.8762429</v>
      </c>
      <c r="BY14" s="18" t="n">
        <f aca="false">BX14+BY13</f>
        <v>25526121.8865672</v>
      </c>
      <c r="BZ14" s="18" t="n">
        <f aca="false">BY14+BZ13</f>
        <v>27986610.8968915</v>
      </c>
      <c r="CA14" s="18" t="n">
        <f aca="false">BZ14+CA13</f>
        <v>30447099.9072158</v>
      </c>
      <c r="CB14" s="18" t="n">
        <f aca="false">CA14+CB13</f>
        <v>32907588.9175401</v>
      </c>
      <c r="CC14" s="18" t="n">
        <f aca="false">CB14+CC13</f>
        <v>35368077.9278644</v>
      </c>
      <c r="CD14" s="18" t="n">
        <f aca="false">CC14+CD13</f>
        <v>37828566.9381887</v>
      </c>
      <c r="CE14" s="18" t="n">
        <f aca="false">CD14+CE13</f>
        <v>40289055.948513</v>
      </c>
      <c r="CF14" s="18" t="n">
        <f aca="false">CE14+CF13</f>
        <v>42749544.9588373</v>
      </c>
      <c r="CG14" s="18" t="n">
        <f aca="false">CF14+CG13</f>
        <v>45210033.9691616</v>
      </c>
      <c r="CH14" s="18" t="n">
        <f aca="false">CG14+CH13</f>
        <v>47670522.9794859</v>
      </c>
      <c r="CI14" s="18" t="n">
        <f aca="false">CH14+CI13</f>
        <v>50647961.2205329</v>
      </c>
      <c r="CJ14" s="18" t="n">
        <f aca="false">CI14+CJ13</f>
        <v>53625399.4615799</v>
      </c>
      <c r="CK14" s="18" t="n">
        <f aca="false">CJ14+CK13</f>
        <v>56602837.7026269</v>
      </c>
      <c r="CL14" s="18" t="n">
        <f aca="false">CK14+CL13</f>
        <v>59580275.9436739</v>
      </c>
      <c r="CM14" s="18" t="n">
        <f aca="false">CL14+CM13</f>
        <v>62557714.1847209</v>
      </c>
      <c r="CN14" s="18" t="n">
        <f aca="false">CM14+CN13</f>
        <v>65535152.4257679</v>
      </c>
      <c r="CO14" s="18" t="n">
        <f aca="false">CN14+CO13</f>
        <v>68512590.6668149</v>
      </c>
      <c r="CP14" s="18" t="n">
        <f aca="false">CO14+CP13</f>
        <v>71490028.907862</v>
      </c>
      <c r="CQ14" s="18" t="n">
        <f aca="false">CP14+CQ13</f>
        <v>74467467.148909</v>
      </c>
      <c r="CR14" s="18" t="n">
        <f aca="false">CQ14+CR13</f>
        <v>77444905.389956</v>
      </c>
      <c r="CS14" s="18" t="n">
        <f aca="false">CR14+CS13</f>
        <v>80422343.631003</v>
      </c>
      <c r="CT14" s="18" t="n">
        <f aca="false">CS14+CT13</f>
        <v>83399781.87205</v>
      </c>
      <c r="CU14" s="18" t="n">
        <f aca="false">CT14+CU13</f>
        <v>86930355.7899703</v>
      </c>
      <c r="CV14" s="18" t="n">
        <f aca="false">CU14+CV13</f>
        <v>90460929.7078906</v>
      </c>
      <c r="CW14" s="18" t="n">
        <f aca="false">CV14+CW13</f>
        <v>93991503.6258109</v>
      </c>
      <c r="CX14" s="18" t="n">
        <f aca="false">CW14+CX13</f>
        <v>97522077.5437312</v>
      </c>
      <c r="CY14" s="18" t="n">
        <f aca="false">CX14+CY13</f>
        <v>101052651.461651</v>
      </c>
      <c r="CZ14" s="18" t="n">
        <f aca="false">CY14+CZ13</f>
        <v>104583225.379572</v>
      </c>
      <c r="DA14" s="18" t="n">
        <f aca="false">CZ14+DA13</f>
        <v>108113799.297492</v>
      </c>
      <c r="DB14" s="18" t="n">
        <f aca="false">DA14+DB13</f>
        <v>111644373.215412</v>
      </c>
      <c r="DC14" s="18" t="n">
        <f aca="false">DB14+DC13</f>
        <v>115174947.133333</v>
      </c>
      <c r="DD14" s="18" t="n">
        <f aca="false">DC14+DD13</f>
        <v>118705521.051253</v>
      </c>
      <c r="DE14" s="18" t="n">
        <f aca="false">DD14+DE13</f>
        <v>122236094.969173</v>
      </c>
      <c r="DF14" s="18" t="n">
        <f aca="false">DE14+DF13</f>
        <v>125766668.887093</v>
      </c>
      <c r="DG14" s="18" t="n">
        <f aca="false">DF14+DG13</f>
        <v>129889097.979268</v>
      </c>
      <c r="DH14" s="18" t="n">
        <f aca="false">DG14+DH13</f>
        <v>134011527.071443</v>
      </c>
      <c r="DI14" s="18" t="n">
        <f aca="false">DH14+DI13</f>
        <v>138133956.163618</v>
      </c>
      <c r="DJ14" s="18" t="n">
        <f aca="false">DI14+DJ13</f>
        <v>142256385.255792</v>
      </c>
      <c r="DK14" s="18" t="n">
        <f aca="false">DJ14+DK13</f>
        <v>146378814.347967</v>
      </c>
      <c r="DL14" s="18" t="n">
        <f aca="false">DK14+DL13</f>
        <v>150501243.440142</v>
      </c>
      <c r="DM14" s="18" t="n">
        <f aca="false">DL14+DM13</f>
        <v>154623672.532316</v>
      </c>
      <c r="DN14" s="18" t="n">
        <f aca="false">DM14+DN13</f>
        <v>158746101.624491</v>
      </c>
      <c r="DO14" s="18" t="n">
        <f aca="false">DN14+DO13</f>
        <v>162868530.716666</v>
      </c>
      <c r="DP14" s="18" t="n">
        <f aca="false">DO14+DP13</f>
        <v>166990959.808841</v>
      </c>
      <c r="DQ14" s="18" t="n">
        <f aca="false">DP14+DQ13</f>
        <v>171113388.901015</v>
      </c>
      <c r="DR14" s="18" t="n">
        <f aca="false">DQ14+DR13</f>
        <v>175235817.99319</v>
      </c>
      <c r="DS14" s="18" t="n">
        <f aca="false">DR14+DS13</f>
        <v>179879032.121817</v>
      </c>
      <c r="DT14" s="18" t="n">
        <f aca="false">DS14+DT13</f>
        <v>184522246.250444</v>
      </c>
      <c r="DU14" s="18" t="n">
        <f aca="false">DT14+DU13</f>
        <v>189165460.379071</v>
      </c>
      <c r="DV14" s="18" t="n">
        <f aca="false">DU14+DV13</f>
        <v>193808674.507698</v>
      </c>
      <c r="DW14" s="18" t="n">
        <f aca="false">DV14+DW13</f>
        <v>198451888.636325</v>
      </c>
      <c r="DX14" s="18" t="n">
        <f aca="false">DW14+DX13</f>
        <v>203095102.764952</v>
      </c>
      <c r="DY14" s="18" t="n">
        <f aca="false">DX14+DY13</f>
        <v>207738316.893579</v>
      </c>
      <c r="DZ14" s="18" t="n">
        <f aca="false">DY14+DZ13</f>
        <v>212381531.022206</v>
      </c>
      <c r="EA14" s="18" t="n">
        <f aca="false">DZ14+EA13</f>
        <v>217024745.150832</v>
      </c>
      <c r="EB14" s="18" t="n">
        <f aca="false">EA14+EB13</f>
        <v>221667959.279459</v>
      </c>
      <c r="EC14" s="18" t="n">
        <f aca="false">EB14+EC13</f>
        <v>226311173.408086</v>
      </c>
      <c r="ED14" s="18" t="n">
        <f aca="false">EC14+ED13</f>
        <v>230954387.536713</v>
      </c>
      <c r="EE14" s="18" t="n">
        <f aca="false">ED14+EE13</f>
        <v>236275216.654344</v>
      </c>
      <c r="EF14" s="18" t="n">
        <f aca="false">EE14+EF13</f>
        <v>241596045.771975</v>
      </c>
      <c r="EG14" s="18" t="n">
        <f aca="false">EF14+EG13</f>
        <v>246916874.889606</v>
      </c>
      <c r="EH14" s="18" t="n">
        <f aca="false">EG14+EH13</f>
        <v>252237704.007237</v>
      </c>
      <c r="EI14" s="18" t="n">
        <f aca="false">EH14+EI13</f>
        <v>257558533.124868</v>
      </c>
      <c r="EJ14" s="18" t="n">
        <f aca="false">EI14+EJ13</f>
        <v>262879362.242498</v>
      </c>
      <c r="EK14" s="18" t="n">
        <f aca="false">EJ14+EK13</f>
        <v>268200191.360129</v>
      </c>
      <c r="EL14" s="18" t="n">
        <f aca="false">EK14+EL13</f>
        <v>273521020.47776</v>
      </c>
      <c r="EM14" s="18" t="n">
        <f aca="false">EL14+EM13</f>
        <v>278841849.595391</v>
      </c>
      <c r="EN14" s="18" t="n">
        <f aca="false">EM14+EN13</f>
        <v>284162678.713022</v>
      </c>
      <c r="EO14" s="18" t="n">
        <f aca="false">EN14+EO13</f>
        <v>289483507.830653</v>
      </c>
      <c r="EP14" s="18" t="n">
        <f aca="false">EO14+EP13</f>
        <v>294804336.948283</v>
      </c>
      <c r="EQ14" s="18" t="n">
        <f aca="false">EP14+EQ13</f>
        <v>300850214.104148</v>
      </c>
      <c r="ER14" s="18" t="n">
        <f aca="false">EQ14+ER13</f>
        <v>306896091.260013</v>
      </c>
      <c r="ES14" s="18" t="n">
        <f aca="false">ER14+ES13</f>
        <v>312941968.415878</v>
      </c>
      <c r="ET14" s="18" t="n">
        <f aca="false">ES14+ET13</f>
        <v>318987845.571743</v>
      </c>
      <c r="EU14" s="18" t="n">
        <f aca="false">ET14+EU13</f>
        <v>325033722.727608</v>
      </c>
      <c r="EV14" s="18" t="n">
        <f aca="false">EU14+EV13</f>
        <v>331079599.883473</v>
      </c>
      <c r="EW14" s="18" t="n">
        <f aca="false">EV14+EW13</f>
        <v>337125477.039338</v>
      </c>
      <c r="EX14" s="18" t="n">
        <f aca="false">EW14+EX13</f>
        <v>343171354.195204</v>
      </c>
      <c r="EY14" s="18" t="n">
        <f aca="false">EX14+EY13</f>
        <v>349217231.351069</v>
      </c>
      <c r="EZ14" s="18" t="n">
        <f aca="false">EY14+EZ13</f>
        <v>355263108.506934</v>
      </c>
      <c r="FA14" s="18" t="n">
        <f aca="false">EZ14+FA13</f>
        <v>361308985.662799</v>
      </c>
      <c r="FB14" s="18" t="n">
        <f aca="false">FA14+FB13</f>
        <v>367354862.818664</v>
      </c>
      <c r="FC14" s="18" t="n">
        <f aca="false">FB14+FC13</f>
        <v>374176541.375439</v>
      </c>
      <c r="FD14" s="18" t="n">
        <f aca="false">FC14+FD13</f>
        <v>380998219.932215</v>
      </c>
      <c r="FE14" s="18" t="n">
        <f aca="false">FD14+FE13</f>
        <v>387819898.48899</v>
      </c>
      <c r="FF14" s="18" t="n">
        <f aca="false">FE14+FF13</f>
        <v>394641577.045766</v>
      </c>
      <c r="FG14" s="18" t="n">
        <f aca="false">FF14+FG13</f>
        <v>401463255.602541</v>
      </c>
      <c r="FH14" s="18" t="n">
        <f aca="false">FG14+FH13</f>
        <v>408284934.159317</v>
      </c>
      <c r="FI14" s="18" t="n">
        <f aca="false">FH14+FI13</f>
        <v>415106612.716093</v>
      </c>
      <c r="FJ14" s="18" t="n">
        <f aca="false">FI14+FJ13</f>
        <v>421928291.272868</v>
      </c>
      <c r="FK14" s="18" t="n">
        <f aca="false">FJ14+FK13</f>
        <v>428749969.829644</v>
      </c>
      <c r="FL14" s="18" t="n">
        <f aca="false">FK14+FL13</f>
        <v>435571648.386419</v>
      </c>
      <c r="FM14" s="18" t="n">
        <f aca="false">FL14+FM13</f>
        <v>442393326.943195</v>
      </c>
      <c r="FN14" s="18" t="n">
        <f aca="false">FM14+FN13</f>
        <v>449215005.49997</v>
      </c>
      <c r="FO14" s="18" t="n">
        <f aca="false">FN14+FO13</f>
        <v>456866791.55572</v>
      </c>
      <c r="FP14" s="18" t="n">
        <f aca="false">FO14+FP13</f>
        <v>464518577.61147</v>
      </c>
      <c r="FQ14" s="18" t="n">
        <f aca="false">FP14+FQ13</f>
        <v>472170363.66722</v>
      </c>
      <c r="FR14" s="18" t="n">
        <f aca="false">FQ14+FR13</f>
        <v>479822149.72297</v>
      </c>
      <c r="FS14" s="18" t="n">
        <f aca="false">FR14+FS13</f>
        <v>487473935.77872</v>
      </c>
      <c r="FT14" s="18" t="n">
        <f aca="false">FS14+FT13</f>
        <v>495125721.834469</v>
      </c>
      <c r="FU14" s="18" t="n">
        <f aca="false">FT14+FU13</f>
        <v>502777507.890219</v>
      </c>
      <c r="FV14" s="18" t="n">
        <f aca="false">FU14+FV13</f>
        <v>510429293.945969</v>
      </c>
      <c r="FW14" s="18" t="n">
        <f aca="false">FV14+FW13</f>
        <v>518081080.001719</v>
      </c>
      <c r="FX14" s="18" t="n">
        <f aca="false">FW14+FX13</f>
        <v>525732866.057469</v>
      </c>
      <c r="FY14" s="18" t="n">
        <f aca="false">FX14+FY13</f>
        <v>533384652.113219</v>
      </c>
      <c r="FZ14" s="18" t="n">
        <f aca="false">FY14+FZ13</f>
        <v>541036438.168968</v>
      </c>
      <c r="GA14" s="18" t="n">
        <f aca="false">FZ14+GA13</f>
        <v>549576439.248621</v>
      </c>
      <c r="GB14" s="18" t="n">
        <f aca="false">GA14+GB13</f>
        <v>558116440.328273</v>
      </c>
      <c r="GC14" s="18" t="n">
        <f aca="false">GB14+GC13</f>
        <v>566656441.407925</v>
      </c>
      <c r="GD14" s="18" t="n">
        <f aca="false">GC14+GD13</f>
        <v>575196442.487578</v>
      </c>
      <c r="GE14" s="18" t="n">
        <f aca="false">GD14+GE13</f>
        <v>583736443.56723</v>
      </c>
      <c r="GF14" s="18" t="n">
        <f aca="false">GE14+GF13</f>
        <v>592276444.646882</v>
      </c>
      <c r="GG14" s="18" t="n">
        <f aca="false">GF14+GG13</f>
        <v>600816445.726535</v>
      </c>
      <c r="GH14" s="18" t="n">
        <f aca="false">GG14+GH13</f>
        <v>609356446.806187</v>
      </c>
      <c r="GI14" s="18" t="n">
        <f aca="false">GH14+GI13</f>
        <v>617896447.885839</v>
      </c>
      <c r="GJ14" s="18" t="n">
        <f aca="false">GI14+GJ13</f>
        <v>626436448.965491</v>
      </c>
      <c r="GK14" s="18" t="n">
        <f aca="false">GJ14+GK13</f>
        <v>634976450.045144</v>
      </c>
      <c r="GL14" s="18" t="n">
        <f aca="false">GK14+GL13</f>
        <v>643516451.124796</v>
      </c>
      <c r="GM14" s="18" t="n">
        <f aca="false">GL14+GM13</f>
        <v>653006842.280024</v>
      </c>
      <c r="GN14" s="18" t="n">
        <f aca="false">GM14+GN13</f>
        <v>662497233.435252</v>
      </c>
      <c r="GO14" s="18" t="n">
        <f aca="false">GN14+GO13</f>
        <v>671987624.59048</v>
      </c>
      <c r="GP14" s="18" t="n">
        <f aca="false">GO14+GP13</f>
        <v>681478015.745708</v>
      </c>
      <c r="GQ14" s="18" t="n">
        <f aca="false">GP14+GQ13</f>
        <v>690968406.900936</v>
      </c>
      <c r="GR14" s="18" t="n">
        <f aca="false">GQ14+GR13</f>
        <v>700458798.056164</v>
      </c>
      <c r="GS14" s="18" t="n">
        <f aca="false">GR14+GS13</f>
        <v>709949189.211392</v>
      </c>
      <c r="GT14" s="18" t="n">
        <f aca="false">GS14+GT13</f>
        <v>719439580.36662</v>
      </c>
      <c r="GU14" s="18" t="n">
        <f aca="false">GT14+GU13</f>
        <v>728929971.521848</v>
      </c>
      <c r="GV14" s="18" t="n">
        <f aca="false">GU14+GV13</f>
        <v>738420362.677076</v>
      </c>
      <c r="GW14" s="18" t="n">
        <f aca="false">GV14+GW13</f>
        <v>747910753.832304</v>
      </c>
      <c r="GX14" s="18" t="n">
        <f aca="false">GW14+GX13</f>
        <v>757401144.987532</v>
      </c>
      <c r="GY14" s="18" t="n">
        <f aca="false">GX14+GY13</f>
        <v>767908453.523626</v>
      </c>
      <c r="GZ14" s="18" t="n">
        <f aca="false">GY14+GZ13</f>
        <v>778415762.05972</v>
      </c>
      <c r="HA14" s="18" t="n">
        <f aca="false">GZ14+HA13</f>
        <v>788923070.595814</v>
      </c>
      <c r="HB14" s="18" t="n">
        <f aca="false">HA14+HB13</f>
        <v>799430379.131908</v>
      </c>
      <c r="HC14" s="18" t="n">
        <f aca="false">HB14+HC13</f>
        <v>809937687.668002</v>
      </c>
      <c r="HD14" s="18" t="n">
        <f aca="false">HC14+HD13</f>
        <v>820444996.204096</v>
      </c>
      <c r="HE14" s="18" t="n">
        <f aca="false">HD14+HE13</f>
        <v>830952304.74019</v>
      </c>
      <c r="HF14" s="18" t="n">
        <f aca="false">HE14+HF13</f>
        <v>841459613.276284</v>
      </c>
      <c r="HG14" s="18" t="n">
        <f aca="false">HF14+HG13</f>
        <v>851966921.812378</v>
      </c>
      <c r="HH14" s="18" t="n">
        <f aca="false">HG14+HH13</f>
        <v>862474230.348472</v>
      </c>
      <c r="HI14" s="18" t="n">
        <f aca="false">HH14+HI13</f>
        <v>872981538.884566</v>
      </c>
      <c r="HJ14" s="18" t="n">
        <f aca="false">HI14+HJ13</f>
        <v>883488847.42066</v>
      </c>
      <c r="HK14" s="18" t="n">
        <f aca="false">HJ14+HK13</f>
        <v>895084257.55428</v>
      </c>
      <c r="HL14" s="18" t="n">
        <f aca="false">HK14+HL13</f>
        <v>906679667.687901</v>
      </c>
      <c r="HM14" s="18" t="n">
        <f aca="false">HL14+HM13</f>
        <v>918275077.821521</v>
      </c>
      <c r="HN14" s="18" t="n">
        <f aca="false">HM14+HN13</f>
        <v>929870487.955142</v>
      </c>
      <c r="HO14" s="18" t="n">
        <f aca="false">HN14+HO13</f>
        <v>941465898.088762</v>
      </c>
      <c r="HP14" s="18" t="n">
        <f aca="false">HO14+HP13</f>
        <v>953061308.222383</v>
      </c>
      <c r="HQ14" s="18" t="n">
        <f aca="false">HP14+HQ13</f>
        <v>964656718.356003</v>
      </c>
      <c r="HR14" s="18" t="n">
        <f aca="false">HQ14+HR13</f>
        <v>976252128.489624</v>
      </c>
      <c r="HS14" s="18" t="n">
        <f aca="false">HR14+HS13</f>
        <v>987847538.623244</v>
      </c>
      <c r="HT14" s="18" t="n">
        <f aca="false">HS14+HT13</f>
        <v>999442948.756865</v>
      </c>
      <c r="HU14" s="18" t="n">
        <f aca="false">HT14+HU13</f>
        <v>1011038358.89049</v>
      </c>
      <c r="HV14" s="18" t="n">
        <f aca="false">HU14+HV13</f>
        <v>1022633769.02411</v>
      </c>
      <c r="HW14" s="18" t="n">
        <f aca="false">HV14+HW13</f>
        <v>1035393447.86708</v>
      </c>
      <c r="HX14" s="18" t="n">
        <f aca="false">HW14+HX13</f>
        <v>1048153126.71005</v>
      </c>
      <c r="HY14" s="18" t="n">
        <f aca="false">HX14+HY13</f>
        <v>1060912805.55303</v>
      </c>
      <c r="HZ14" s="18" t="n">
        <f aca="false">HY14+HZ13</f>
        <v>1073672484.396</v>
      </c>
      <c r="IA14" s="18" t="n">
        <f aca="false">HZ14+IA13</f>
        <v>1086432163.23898</v>
      </c>
      <c r="IB14" s="18" t="n">
        <f aca="false">IA14+IB13</f>
        <v>1099191842.08195</v>
      </c>
      <c r="IC14" s="18" t="n">
        <f aca="false">IB14+IC13</f>
        <v>1111951520.92492</v>
      </c>
      <c r="ID14" s="18" t="n">
        <f aca="false">IC14+ID13</f>
        <v>1124711199.7679</v>
      </c>
      <c r="IE14" s="18" t="n">
        <f aca="false">ID14+IE13</f>
        <v>1137470878.61087</v>
      </c>
      <c r="IF14" s="18" t="n">
        <f aca="false">IE14+IF13</f>
        <v>1150230557.45385</v>
      </c>
      <c r="IG14" s="18" t="n">
        <f aca="false">IF14+IG13</f>
        <v>1162990236.29682</v>
      </c>
      <c r="IH14" s="18" t="n">
        <f aca="false">IG14+IH13</f>
        <v>1175749915.13979</v>
      </c>
      <c r="II14" s="18" t="n">
        <f aca="false">IH14+II13</f>
        <v>1189755361.50178</v>
      </c>
      <c r="IJ14" s="18" t="n">
        <f aca="false">II14+IJ13</f>
        <v>1203760807.86376</v>
      </c>
      <c r="IK14" s="18" t="n">
        <f aca="false">IJ14+IK13</f>
        <v>1217766254.22574</v>
      </c>
      <c r="IL14" s="18" t="n">
        <f aca="false">IK14+IL13</f>
        <v>1231771700.58772</v>
      </c>
      <c r="IM14" s="18" t="n">
        <f aca="false">IL14+IM13</f>
        <v>1245777146.9497</v>
      </c>
      <c r="IN14" s="18" t="n">
        <f aca="false">IM14+IN13</f>
        <v>1259782593.31169</v>
      </c>
      <c r="IO14" s="18" t="n">
        <f aca="false">IN14+IO13</f>
        <v>1273788039.67367</v>
      </c>
      <c r="IP14" s="18" t="n">
        <f aca="false">IO14+IP13</f>
        <v>1287793486.03565</v>
      </c>
      <c r="IQ14" s="18" t="n">
        <f aca="false">IP14+IQ13</f>
        <v>1301798932.39763</v>
      </c>
      <c r="IR14" s="18" t="n">
        <f aca="false">IQ14+IR13</f>
        <v>1315804378.75961</v>
      </c>
      <c r="IS14" s="18" t="n">
        <f aca="false">IR14+IS13</f>
        <v>1329809825.1216</v>
      </c>
      <c r="IT14" s="18" t="n">
        <f aca="false">IS14+IT13</f>
        <v>1343815271.48358</v>
      </c>
      <c r="IU14" s="18" t="n">
        <f aca="false">IT14+IU13</f>
        <v>1359153689.0909</v>
      </c>
      <c r="IV14" s="18" t="n">
        <f aca="false">IU14+IV13</f>
        <v>1374492106.69822</v>
      </c>
      <c r="IW14" s="18" t="n">
        <f aca="false">IV14+IW13</f>
        <v>1389830524.30554</v>
      </c>
      <c r="IX14" s="18" t="n">
        <f aca="false">IW14+IX13</f>
        <v>1405168941.91286</v>
      </c>
      <c r="IY14" s="18" t="n">
        <f aca="false">IX14+IY13</f>
        <v>1420507359.52018</v>
      </c>
      <c r="IZ14" s="18" t="n">
        <f aca="false">IY14+IZ13</f>
        <v>1435845777.1275</v>
      </c>
      <c r="JA14" s="18" t="n">
        <f aca="false">IZ14+JA13</f>
        <v>1451184194.73482</v>
      </c>
      <c r="JB14" s="18" t="n">
        <f aca="false">JA14+JB13</f>
        <v>1466522612.34214</v>
      </c>
      <c r="JC14" s="18" t="n">
        <f aca="false">JB14+JC13</f>
        <v>1481861029.94947</v>
      </c>
      <c r="JD14" s="18" t="n">
        <f aca="false">JC14+JD13</f>
        <v>1497199447.55679</v>
      </c>
      <c r="JE14" s="18" t="n">
        <f aca="false">JD14+JE13</f>
        <v>1512537865.16411</v>
      </c>
      <c r="JF14" s="18" t="n">
        <f aca="false">JE14+JF13</f>
        <v>1527876282.77143</v>
      </c>
      <c r="JG14" s="18" t="n">
        <f aca="false">JF14+JG13</f>
        <v>1544640979.61126</v>
      </c>
      <c r="JH14" s="18" t="n">
        <f aca="false">JG14+JH13</f>
        <v>1561405676.45109</v>
      </c>
      <c r="JI14" s="18" t="n">
        <f aca="false">JH14+JI13</f>
        <v>1578170373.29093</v>
      </c>
      <c r="JJ14" s="18" t="n">
        <f aca="false">JI14+JJ13</f>
        <v>1594935070.13076</v>
      </c>
      <c r="JK14" s="18" t="n">
        <f aca="false">JJ14+JK13</f>
        <v>1611699766.97059</v>
      </c>
      <c r="JL14" s="18" t="n">
        <f aca="false">JK14+JL13</f>
        <v>1628464463.81043</v>
      </c>
      <c r="JM14" s="18" t="n">
        <f aca="false">JL14+JM13</f>
        <v>1645229160.65026</v>
      </c>
      <c r="JN14" s="18" t="n">
        <f aca="false">JM14+JN13</f>
        <v>1661993857.49009</v>
      </c>
      <c r="JO14" s="18" t="n">
        <f aca="false">JN14+JO13</f>
        <v>1678758554.32993</v>
      </c>
      <c r="JP14" s="18" t="n">
        <f aca="false">JO14+JP13</f>
        <v>1695523251.16976</v>
      </c>
      <c r="JQ14" s="18" t="n">
        <f aca="false">JP14+JQ13</f>
        <v>1712287948.00959</v>
      </c>
      <c r="JR14" s="18" t="n">
        <f aca="false">JQ14+JR13</f>
        <v>1729052644.84943</v>
      </c>
      <c r="JS14" s="18" t="n">
        <f aca="false">JR14+JS13</f>
        <v>1747343460.46805</v>
      </c>
      <c r="JT14" s="18" t="n">
        <f aca="false">JS14+JT13</f>
        <v>1765634276.08667</v>
      </c>
      <c r="JU14" s="18" t="n">
        <f aca="false">JT14+JU13</f>
        <v>1783925091.70529</v>
      </c>
      <c r="JV14" s="18" t="n">
        <f aca="false">JU14+JV13</f>
        <v>1802215907.32391</v>
      </c>
      <c r="JW14" s="18" t="n">
        <f aca="false">JV14+JW13</f>
        <v>1820506722.94254</v>
      </c>
      <c r="JX14" s="18" t="n">
        <f aca="false">JW14+JX13</f>
        <v>1838797538.56116</v>
      </c>
      <c r="JY14" s="18" t="n">
        <f aca="false">JX14+JY13</f>
        <v>1857088354.17978</v>
      </c>
      <c r="JZ14" s="18" t="n">
        <f aca="false">JY14+JZ13</f>
        <v>1875379169.7984</v>
      </c>
      <c r="KA14" s="18" t="n">
        <f aca="false">JZ14+KA13</f>
        <v>1893669985.41702</v>
      </c>
      <c r="KB14" s="18" t="n">
        <f aca="false">KA14+KB13</f>
        <v>1911960801.03564</v>
      </c>
      <c r="KC14" s="18" t="n">
        <f aca="false">KB14+KC13</f>
        <v>1930251616.65426</v>
      </c>
      <c r="KD14" s="18" t="n">
        <f aca="false">KC14+KD13</f>
        <v>1948542432.27289</v>
      </c>
      <c r="KE14" s="18" t="n">
        <f aca="false">KD14+KE13</f>
        <v>1968466194.98481</v>
      </c>
      <c r="KF14" s="18" t="n">
        <f aca="false">KE14+KF13</f>
        <v>1988389957.69674</v>
      </c>
      <c r="KG14" s="18" t="n">
        <f aca="false">KF14+KG13</f>
        <v>2008313720.40866</v>
      </c>
      <c r="KH14" s="18" t="n">
        <f aca="false">KG14+KH13</f>
        <v>2028237483.12059</v>
      </c>
      <c r="KI14" s="18" t="n">
        <f aca="false">KH14+KI13</f>
        <v>2048161245.83251</v>
      </c>
      <c r="KJ14" s="18" t="n">
        <f aca="false">KI14+KJ13</f>
        <v>2068085008.54444</v>
      </c>
      <c r="KK14" s="18" t="n">
        <f aca="false">KJ14+KK13</f>
        <v>2088008771.25636</v>
      </c>
      <c r="KL14" s="18" t="n">
        <f aca="false">KK14+KL13</f>
        <v>2107932533.96829</v>
      </c>
      <c r="KM14" s="18" t="n">
        <f aca="false">KL14+KM13</f>
        <v>2127856296.68021</v>
      </c>
      <c r="KN14" s="18" t="n">
        <f aca="false">KM14+KN13</f>
        <v>2147780059.39214</v>
      </c>
      <c r="KO14" s="18" t="n">
        <f aca="false">KN14+KO13</f>
        <v>2167703822.10406</v>
      </c>
      <c r="KP14" s="18" t="n">
        <f aca="false">KO14+KP13</f>
        <v>2187627584.81599</v>
      </c>
    </row>
    <row r="15" customFormat="false" ht="14.25" hidden="false" customHeight="false" outlineLevel="0" collapsed="false">
      <c r="A15" s="0" t="s">
        <v>425</v>
      </c>
      <c r="B15" s="18" t="n">
        <f aca="false">B13</f>
        <v>-57500000</v>
      </c>
      <c r="C15" s="18" t="n">
        <f aca="false">C13/POWER(1+((1+'Panel de Control'!$B$14)^(1/12)-1),COLUMN()-2)</f>
        <v>-157505.463272938</v>
      </c>
      <c r="D15" s="18" t="n">
        <f aca="false">D13/POWER(1+((1+'Panel de Control'!$B$14)^(1/12)-1),COLUMN()-2)</f>
        <v>-156024.974596369</v>
      </c>
      <c r="E15" s="18" t="n">
        <f aca="false">E13/POWER(1+((1+'Panel de Control'!$B$14)^(1/12)-1),COLUMN()-2)</f>
        <v>-154558.40192421</v>
      </c>
      <c r="F15" s="18" t="n">
        <f aca="false">F13/POWER(1+((1+'Panel de Control'!$B$14)^(1/12)-1),COLUMN()-2)</f>
        <v>-153105.614451557</v>
      </c>
      <c r="G15" s="18" t="n">
        <f aca="false">G13/POWER(1+((1+'Panel de Control'!$B$14)^(1/12)-1),COLUMN()-2)</f>
        <v>-151666.482603021</v>
      </c>
      <c r="H15" s="18" t="n">
        <f aca="false">H13/POWER(1+((1+'Panel de Control'!$B$14)^(1/12)-1),COLUMN()-2)</f>
        <v>-150240.878021168</v>
      </c>
      <c r="I15" s="18" t="n">
        <f aca="false">I13/POWER(1+((1+'Panel de Control'!$B$14)^(1/12)-1),COLUMN()-2)</f>
        <v>-148828.673555075</v>
      </c>
      <c r="J15" s="18" t="n">
        <f aca="false">J13/POWER(1+((1+'Panel de Control'!$B$14)^(1/12)-1),COLUMN()-2)</f>
        <v>-147429.743248987</v>
      </c>
      <c r="K15" s="18" t="n">
        <f aca="false">K13/POWER(1+((1+'Panel de Control'!$B$14)^(1/12)-1),COLUMN()-2)</f>
        <v>-146043.962331081</v>
      </c>
      <c r="L15" s="18" t="n">
        <f aca="false">L13/POWER(1+((1+'Panel de Control'!$B$14)^(1/12)-1),COLUMN()-2)</f>
        <v>-144671.207202342</v>
      </c>
      <c r="M15" s="18" t="n">
        <f aca="false">M13/POWER(1+((1+'Panel de Control'!$B$14)^(1/12)-1),COLUMN()-2)</f>
        <v>-143311.355425534</v>
      </c>
      <c r="N15" s="18" t="n">
        <f aca="false">N13/POWER(1+((1+'Panel de Control'!$B$14)^(1/12)-1),COLUMN()-2)</f>
        <v>-141964.285714286</v>
      </c>
      <c r="O15" s="18" t="n">
        <f aca="false">O13/POWER(1+((1+'Panel de Control'!$B$14)^(1/12)-1),COLUMN()-2)</f>
        <v>276722.452236096</v>
      </c>
      <c r="P15" s="18" t="n">
        <f aca="false">P13/POWER(1+((1+'Panel de Control'!$B$14)^(1/12)-1),COLUMN()-2)</f>
        <v>274121.37130484</v>
      </c>
      <c r="Q15" s="18" t="n">
        <f aca="false">Q13/POWER(1+((1+'Panel de Control'!$B$14)^(1/12)-1),COLUMN()-2)</f>
        <v>271544.739499256</v>
      </c>
      <c r="R15" s="18" t="n">
        <f aca="false">R13/POWER(1+((1+'Panel de Control'!$B$14)^(1/12)-1),COLUMN()-2)</f>
        <v>268992.327007293</v>
      </c>
      <c r="S15" s="18" t="n">
        <f aca="false">S13/POWER(1+((1+'Panel de Control'!$B$14)^(1/12)-1),COLUMN()-2)</f>
        <v>266463.906177038</v>
      </c>
      <c r="T15" s="18" t="n">
        <f aca="false">T13/POWER(1+((1+'Panel de Control'!$B$14)^(1/12)-1),COLUMN()-2)</f>
        <v>263959.251496421</v>
      </c>
      <c r="U15" s="18" t="n">
        <f aca="false">U13/POWER(1+((1+'Panel de Control'!$B$14)^(1/12)-1),COLUMN()-2)</f>
        <v>261478.139573092</v>
      </c>
      <c r="V15" s="18" t="n">
        <f aca="false">V13/POWER(1+((1+'Panel de Control'!$B$14)^(1/12)-1),COLUMN()-2)</f>
        <v>259020.349114501</v>
      </c>
      <c r="W15" s="18" t="n">
        <f aca="false">W13/POWER(1+((1+'Panel de Control'!$B$14)^(1/12)-1),COLUMN()-2)</f>
        <v>256585.660908161</v>
      </c>
      <c r="X15" s="18" t="n">
        <f aca="false">X13/POWER(1+((1+'Panel de Control'!$B$14)^(1/12)-1),COLUMN()-2)</f>
        <v>254173.857802092</v>
      </c>
      <c r="Y15" s="18" t="n">
        <f aca="false">Y13/POWER(1+((1+'Panel de Control'!$B$14)^(1/12)-1),COLUMN()-2)</f>
        <v>251784.724685461</v>
      </c>
      <c r="Z15" s="18" t="n">
        <f aca="false">Z13/POWER(1+((1+'Panel de Control'!$B$14)^(1/12)-1),COLUMN()-2)</f>
        <v>249418.048469387</v>
      </c>
      <c r="AA15" s="18" t="n">
        <f aca="false">AA13/POWER(1+((1+'Panel de Control'!$B$14)^(1/12)-1),COLUMN()-2)</f>
        <v>560271.042262371</v>
      </c>
      <c r="AB15" s="18" t="n">
        <f aca="false">AB13/POWER(1+((1+'Panel de Control'!$B$14)^(1/12)-1),COLUMN()-2)</f>
        <v>555004.717421046</v>
      </c>
      <c r="AC15" s="18" t="n">
        <f aca="false">AC13/POWER(1+((1+'Panel de Control'!$B$14)^(1/12)-1),COLUMN()-2)</f>
        <v>549787.893937533</v>
      </c>
      <c r="AD15" s="18" t="n">
        <f aca="false">AD13/POWER(1+((1+'Panel de Control'!$B$14)^(1/12)-1),COLUMN()-2)</f>
        <v>544620.106518765</v>
      </c>
      <c r="AE15" s="18" t="n">
        <f aca="false">AE13/POWER(1+((1+'Panel de Control'!$B$14)^(1/12)-1),COLUMN()-2)</f>
        <v>539500.89424525</v>
      </c>
      <c r="AF15" s="18" t="n">
        <f aca="false">AF13/POWER(1+((1+'Panel de Control'!$B$14)^(1/12)-1),COLUMN()-2)</f>
        <v>534429.800529951</v>
      </c>
      <c r="AG15" s="18" t="n">
        <f aca="false">AG13/POWER(1+((1+'Panel de Control'!$B$14)^(1/12)-1),COLUMN()-2)</f>
        <v>529406.373077569</v>
      </c>
      <c r="AH15" s="18" t="n">
        <f aca="false">AH13/POWER(1+((1+'Panel de Control'!$B$14)^(1/12)-1),COLUMN()-2)</f>
        <v>524430.163844202</v>
      </c>
      <c r="AI15" s="18" t="n">
        <f aca="false">AI13/POWER(1+((1+'Panel de Control'!$B$14)^(1/12)-1),COLUMN()-2)</f>
        <v>519500.728997381</v>
      </c>
      <c r="AJ15" s="18" t="n">
        <f aca="false">AJ13/POWER(1+((1+'Panel de Control'!$B$14)^(1/12)-1),COLUMN()-2)</f>
        <v>514617.628876486</v>
      </c>
      <c r="AK15" s="18" t="n">
        <f aca="false">AK13/POWER(1+((1+'Panel de Control'!$B$14)^(1/12)-1),COLUMN()-2)</f>
        <v>509780.427953532</v>
      </c>
      <c r="AL15" s="18" t="n">
        <f aca="false">AL13/POWER(1+((1+'Panel de Control'!$B$14)^(1/12)-1),COLUMN()-2)</f>
        <v>504988.694794323</v>
      </c>
      <c r="AM15" s="18" t="n">
        <f aca="false">AM13/POWER(1+((1+'Panel de Control'!$B$14)^(1/12)-1),COLUMN()-2)</f>
        <v>778313.971441821</v>
      </c>
      <c r="AN15" s="18" t="n">
        <f aca="false">AN13/POWER(1+((1+'Panel de Control'!$B$14)^(1/12)-1),COLUMN()-2)</f>
        <v>770998.129834867</v>
      </c>
      <c r="AO15" s="18" t="n">
        <f aca="false">AO13/POWER(1+((1+'Panel de Control'!$B$14)^(1/12)-1),COLUMN()-2)</f>
        <v>763751.05422773</v>
      </c>
      <c r="AP15" s="18" t="n">
        <f aca="false">AP13/POWER(1+((1+'Panel de Control'!$B$14)^(1/12)-1),COLUMN()-2)</f>
        <v>756572.098247378</v>
      </c>
      <c r="AQ15" s="18" t="n">
        <f aca="false">AQ13/POWER(1+((1+'Panel de Control'!$B$14)^(1/12)-1),COLUMN()-2)</f>
        <v>749460.621596426</v>
      </c>
      <c r="AR15" s="18" t="n">
        <f aca="false">AR13/POWER(1+((1+'Panel de Control'!$B$14)^(1/12)-1),COLUMN()-2)</f>
        <v>742415.98999603</v>
      </c>
      <c r="AS15" s="18" t="n">
        <f aca="false">AS13/POWER(1+((1+'Panel de Control'!$B$14)^(1/12)-1),COLUMN()-2)</f>
        <v>735437.575129316</v>
      </c>
      <c r="AT15" s="18" t="n">
        <f aca="false">AT13/POWER(1+((1+'Panel de Control'!$B$14)^(1/12)-1),COLUMN()-2)</f>
        <v>728524.754585338</v>
      </c>
      <c r="AU15" s="18" t="n">
        <f aca="false">AU13/POWER(1+((1+'Panel de Control'!$B$14)^(1/12)-1),COLUMN()-2)</f>
        <v>721676.911803564</v>
      </c>
      <c r="AV15" s="18" t="n">
        <f aca="false">AV13/POWER(1+((1+'Panel de Control'!$B$14)^(1/12)-1),COLUMN()-2)</f>
        <v>714893.436018888</v>
      </c>
      <c r="AW15" s="18" t="n">
        <f aca="false">AW13/POWER(1+((1+'Panel de Control'!$B$14)^(1/12)-1),COLUMN()-2)</f>
        <v>708173.722207152</v>
      </c>
      <c r="AX15" s="18" t="n">
        <f aca="false">AX13/POWER(1+((1+'Panel de Control'!$B$14)^(1/12)-1),COLUMN()-2)</f>
        <v>701517.171031183</v>
      </c>
      <c r="AY15" s="18" t="n">
        <f aca="false">AY13/POWER(1+((1+'Panel de Control'!$B$14)^(1/12)-1),COLUMN()-2)</f>
        <v>960581.231002854</v>
      </c>
      <c r="AZ15" s="18" t="n">
        <f aca="false">AZ13/POWER(1+((1+'Panel de Control'!$B$14)^(1/12)-1),COLUMN()-2)</f>
        <v>951552.149688007</v>
      </c>
      <c r="BA15" s="18" t="n">
        <f aca="false">BA13/POWER(1+((1+'Panel de Control'!$B$14)^(1/12)-1),COLUMN()-2)</f>
        <v>942607.93814446</v>
      </c>
      <c r="BB15" s="18" t="n">
        <f aca="false">BB13/POWER(1+((1+'Panel de Control'!$B$14)^(1/12)-1),COLUMN()-2)</f>
        <v>933747.798630136</v>
      </c>
      <c r="BC15" s="18" t="n">
        <f aca="false">BC13/POWER(1+((1+'Panel de Control'!$B$14)^(1/12)-1),COLUMN()-2)</f>
        <v>924970.940901416</v>
      </c>
      <c r="BD15" s="18" t="n">
        <f aca="false">BD13/POWER(1+((1+'Panel de Control'!$B$14)^(1/12)-1),COLUMN()-2)</f>
        <v>916276.582142657</v>
      </c>
      <c r="BE15" s="18" t="n">
        <f aca="false">BE13/POWER(1+((1+'Panel de Control'!$B$14)^(1/12)-1),COLUMN()-2)</f>
        <v>907663.946896371</v>
      </c>
      <c r="BF15" s="18" t="n">
        <f aca="false">BF13/POWER(1+((1+'Panel de Control'!$B$14)^(1/12)-1),COLUMN()-2)</f>
        <v>899132.266994062</v>
      </c>
      <c r="BG15" s="18" t="n">
        <f aca="false">BG13/POWER(1+((1+'Panel de Control'!$B$14)^(1/12)-1),COLUMN()-2)</f>
        <v>890680.781487712</v>
      </c>
      <c r="BH15" s="18" t="n">
        <f aca="false">BH13/POWER(1+((1+'Panel de Control'!$B$14)^(1/12)-1),COLUMN()-2)</f>
        <v>882308.736581913</v>
      </c>
      <c r="BI15" s="18" t="n">
        <f aca="false">BI13/POWER(1+((1+'Panel de Control'!$B$14)^(1/12)-1),COLUMN()-2)</f>
        <v>874015.385566631</v>
      </c>
      <c r="BJ15" s="18" t="n">
        <f aca="false">BJ13/POWER(1+((1+'Panel de Control'!$B$14)^(1/12)-1),COLUMN()-2)</f>
        <v>6540068.54593658</v>
      </c>
      <c r="BK15" s="18" t="n">
        <f aca="false">BK13/POWER(1+((1+'Panel de Control'!$B$14)^(1/12)-1),COLUMN()-2)</f>
        <v>1111460.12158344</v>
      </c>
      <c r="BL15" s="18" t="n">
        <f aca="false">BL13/POWER(1+((1+'Panel de Control'!$B$14)^(1/12)-1),COLUMN()-2)</f>
        <v>1101012.83873833</v>
      </c>
      <c r="BM15" s="18" t="n">
        <f aca="false">BM13/POWER(1+((1+'Panel de Control'!$B$14)^(1/12)-1),COLUMN()-2)</f>
        <v>1090663.75619455</v>
      </c>
      <c r="BN15" s="18" t="n">
        <f aca="false">BN13/POWER(1+((1+'Panel de Control'!$B$14)^(1/12)-1),COLUMN()-2)</f>
        <v>1080411.95090833</v>
      </c>
      <c r="BO15" s="18" t="n">
        <f aca="false">BO13/POWER(1+((1+'Panel de Control'!$B$14)^(1/12)-1),COLUMN()-2)</f>
        <v>1070256.50851217</v>
      </c>
      <c r="BP15" s="18" t="n">
        <f aca="false">BP13/POWER(1+((1+'Panel de Control'!$B$14)^(1/12)-1),COLUMN()-2)</f>
        <v>1060196.52323324</v>
      </c>
      <c r="BQ15" s="18" t="n">
        <f aca="false">BQ13/POWER(1+((1+'Panel de Control'!$B$14)^(1/12)-1),COLUMN()-2)</f>
        <v>1050231.09781264</v>
      </c>
      <c r="BR15" s="18" t="n">
        <f aca="false">BR13/POWER(1+((1+'Panel de Control'!$B$14)^(1/12)-1),COLUMN()-2)</f>
        <v>1040359.34342532</v>
      </c>
      <c r="BS15" s="18" t="n">
        <f aca="false">BS13/POWER(1+((1+'Panel de Control'!$B$14)^(1/12)-1),COLUMN()-2)</f>
        <v>1030580.37960084</v>
      </c>
      <c r="BT15" s="18" t="n">
        <f aca="false">BT13/POWER(1+((1+'Panel de Control'!$B$14)^(1/12)-1),COLUMN()-2)</f>
        <v>1020893.33414485</v>
      </c>
      <c r="BU15" s="18" t="n">
        <f aca="false">BU13/POWER(1+((1+'Panel de Control'!$B$14)^(1/12)-1),COLUMN()-2)</f>
        <v>1011297.34306124</v>
      </c>
      <c r="BV15" s="18" t="n">
        <f aca="false">BV13/POWER(1+((1+'Panel de Control'!$B$14)^(1/12)-1),COLUMN()-2)</f>
        <v>1001791.55047517</v>
      </c>
      <c r="BW15" s="18" t="n">
        <f aca="false">BW13/POWER(1+((1+'Panel de Control'!$B$14)^(1/12)-1),COLUMN()-2)</f>
        <v>1234843.13512914</v>
      </c>
      <c r="BX15" s="18" t="n">
        <f aca="false">BX13/POWER(1+((1+'Panel de Control'!$B$14)^(1/12)-1),COLUMN()-2)</f>
        <v>1223236.10105611</v>
      </c>
      <c r="BY15" s="18" t="n">
        <f aca="false">BY13/POWER(1+((1+'Panel de Control'!$B$14)^(1/12)-1),COLUMN()-2)</f>
        <v>1211738.16848443</v>
      </c>
      <c r="BZ15" s="18" t="n">
        <f aca="false">BZ13/POWER(1+((1+'Panel de Control'!$B$14)^(1/12)-1),COLUMN()-2)</f>
        <v>1200348.3119034</v>
      </c>
      <c r="CA15" s="18" t="n">
        <f aca="false">CA13/POWER(1+((1+'Panel de Control'!$B$14)^(1/12)-1),COLUMN()-2)</f>
        <v>1189065.51544172</v>
      </c>
      <c r="CB15" s="18" t="n">
        <f aca="false">CB13/POWER(1+((1+'Panel de Control'!$B$14)^(1/12)-1),COLUMN()-2)</f>
        <v>1177888.77277687</v>
      </c>
      <c r="CC15" s="18" t="n">
        <f aca="false">CC13/POWER(1+((1+'Panel de Control'!$B$14)^(1/12)-1),COLUMN()-2)</f>
        <v>1166817.08704537</v>
      </c>
      <c r="CD15" s="18" t="n">
        <f aca="false">CD13/POWER(1+((1+'Panel de Control'!$B$14)^(1/12)-1),COLUMN()-2)</f>
        <v>1155849.47075384</v>
      </c>
      <c r="CE15" s="18" t="n">
        <f aca="false">CE13/POWER(1+((1+'Panel de Control'!$B$14)^(1/12)-1),COLUMN()-2)</f>
        <v>1144984.94569096</v>
      </c>
      <c r="CF15" s="18" t="n">
        <f aca="false">CF13/POWER(1+((1+'Panel de Control'!$B$14)^(1/12)-1),COLUMN()-2)</f>
        <v>1134222.54284021</v>
      </c>
      <c r="CG15" s="18" t="n">
        <f aca="false">CG13/POWER(1+((1+'Panel de Control'!$B$14)^(1/12)-1),COLUMN()-2)</f>
        <v>1123561.30229344</v>
      </c>
      <c r="CH15" s="18" t="n">
        <f aca="false">CH13/POWER(1+((1+'Panel de Control'!$B$14)^(1/12)-1),COLUMN()-2)</f>
        <v>1113000.27316524</v>
      </c>
      <c r="CI15" s="18" t="n">
        <f aca="false">CI13/POWER(1+((1+'Panel de Control'!$B$14)^(1/12)-1),COLUMN()-2)</f>
        <v>1334182.07460867</v>
      </c>
      <c r="CJ15" s="18" t="n">
        <f aca="false">CJ13/POWER(1+((1+'Panel de Control'!$B$14)^(1/12)-1),COLUMN()-2)</f>
        <v>1321641.29403577</v>
      </c>
      <c r="CK15" s="18" t="n">
        <f aca="false">CK13/POWER(1+((1+'Panel de Control'!$B$14)^(1/12)-1),COLUMN()-2)</f>
        <v>1309218.39180974</v>
      </c>
      <c r="CL15" s="18" t="n">
        <f aca="false">CL13/POWER(1+((1+'Panel de Control'!$B$14)^(1/12)-1),COLUMN()-2)</f>
        <v>1296912.25992103</v>
      </c>
      <c r="CM15" s="18" t="n">
        <f aca="false">CM13/POWER(1+((1+'Panel de Control'!$B$14)^(1/12)-1),COLUMN()-2)</f>
        <v>1284721.80077493</v>
      </c>
      <c r="CN15" s="18" t="n">
        <f aca="false">CN13/POWER(1+((1+'Panel de Control'!$B$14)^(1/12)-1),COLUMN()-2)</f>
        <v>1272645.9270937</v>
      </c>
      <c r="CO15" s="18" t="n">
        <f aca="false">CO13/POWER(1+((1+'Panel de Control'!$B$14)^(1/12)-1),COLUMN()-2)</f>
        <v>1260683.56181956</v>
      </c>
      <c r="CP15" s="18" t="n">
        <f aca="false">CP13/POWER(1+((1+'Panel de Control'!$B$14)^(1/12)-1),COLUMN()-2)</f>
        <v>1248833.63801866</v>
      </c>
      <c r="CQ15" s="18" t="n">
        <f aca="false">CQ13/POWER(1+((1+'Panel de Control'!$B$14)^(1/12)-1),COLUMN()-2)</f>
        <v>1237095.09878589</v>
      </c>
      <c r="CR15" s="18" t="n">
        <f aca="false">CR13/POWER(1+((1+'Panel de Control'!$B$14)^(1/12)-1),COLUMN()-2)</f>
        <v>1225466.89715064</v>
      </c>
      <c r="CS15" s="18" t="n">
        <f aca="false">CS13/POWER(1+((1+'Panel de Control'!$B$14)^(1/12)-1),COLUMN()-2)</f>
        <v>1213947.9959834</v>
      </c>
      <c r="CT15" s="18" t="n">
        <f aca="false">CT13/POWER(1+((1+'Panel de Control'!$B$14)^(1/12)-1),COLUMN()-2)</f>
        <v>1202537.36790327</v>
      </c>
      <c r="CU15" s="18" t="n">
        <f aca="false">CU13/POWER(1+((1+'Panel de Control'!$B$14)^(1/12)-1),COLUMN()-2)</f>
        <v>1412536.32588055</v>
      </c>
      <c r="CV15" s="18" t="n">
        <f aca="false">CV13/POWER(1+((1+'Panel de Control'!$B$14)^(1/12)-1),COLUMN()-2)</f>
        <v>1399259.04652622</v>
      </c>
      <c r="CW15" s="18" t="n">
        <f aca="false">CW13/POWER(1+((1+'Panel de Control'!$B$14)^(1/12)-1),COLUMN()-2)</f>
        <v>1386106.56831422</v>
      </c>
      <c r="CX15" s="18" t="n">
        <f aca="false">CX13/POWER(1+((1+'Panel de Control'!$B$14)^(1/12)-1),COLUMN()-2)</f>
        <v>1373077.71816348</v>
      </c>
      <c r="CY15" s="18" t="n">
        <f aca="false">CY13/POWER(1+((1+'Panel de Control'!$B$14)^(1/12)-1),COLUMN()-2)</f>
        <v>1360171.33401941</v>
      </c>
      <c r="CZ15" s="18" t="n">
        <f aca="false">CZ13/POWER(1+((1+'Panel de Control'!$B$14)^(1/12)-1),COLUMN()-2)</f>
        <v>1347386.2647503</v>
      </c>
      <c r="DA15" s="18" t="n">
        <f aca="false">DA13/POWER(1+((1+'Panel de Control'!$B$14)^(1/12)-1),COLUMN()-2)</f>
        <v>1334721.37004458</v>
      </c>
      <c r="DB15" s="18" t="n">
        <f aca="false">DB13/POWER(1+((1+'Panel de Control'!$B$14)^(1/12)-1),COLUMN()-2)</f>
        <v>1322175.52030919</v>
      </c>
      <c r="DC15" s="18" t="n">
        <f aca="false">DC13/POWER(1+((1+'Panel de Control'!$B$14)^(1/12)-1),COLUMN()-2)</f>
        <v>1309747.59656878</v>
      </c>
      <c r="DD15" s="18" t="n">
        <f aca="false">DD13/POWER(1+((1+'Panel de Control'!$B$14)^(1/12)-1),COLUMN()-2)</f>
        <v>1297436.49036593</v>
      </c>
      <c r="DE15" s="18" t="n">
        <f aca="false">DE13/POWER(1+((1+'Panel de Control'!$B$14)^(1/12)-1),COLUMN()-2)</f>
        <v>1285241.10366226</v>
      </c>
      <c r="DF15" s="18" t="n">
        <f aca="false">DF13/POWER(1+((1+'Panel de Control'!$B$14)^(1/12)-1),COLUMN()-2)</f>
        <v>1273160.34874054</v>
      </c>
      <c r="DG15" s="18" t="n">
        <f aca="false">DG13/POWER(1+((1+'Panel de Control'!$B$14)^(1/12)-1),COLUMN()-2)</f>
        <v>1472615.91046731</v>
      </c>
      <c r="DH15" s="18" t="n">
        <f aca="false">DH13/POWER(1+((1+'Panel de Control'!$B$14)^(1/12)-1),COLUMN()-2)</f>
        <v>1458773.90692611</v>
      </c>
      <c r="DI15" s="18" t="n">
        <f aca="false">DI13/POWER(1+((1+'Panel de Control'!$B$14)^(1/12)-1),COLUMN()-2)</f>
        <v>1445062.01270988</v>
      </c>
      <c r="DJ15" s="18" t="n">
        <f aca="false">DJ13/POWER(1+((1+'Panel de Control'!$B$14)^(1/12)-1),COLUMN()-2)</f>
        <v>1431479.00484272</v>
      </c>
      <c r="DK15" s="18" t="n">
        <f aca="false">DK13/POWER(1+((1+'Panel de Control'!$B$14)^(1/12)-1),COLUMN()-2)</f>
        <v>1418023.67184425</v>
      </c>
      <c r="DL15" s="18" t="n">
        <f aca="false">DL13/POWER(1+((1+'Panel de Control'!$B$14)^(1/12)-1),COLUMN()-2)</f>
        <v>1404694.81362152</v>
      </c>
      <c r="DM15" s="18" t="n">
        <f aca="false">DM13/POWER(1+((1+'Panel de Control'!$B$14)^(1/12)-1),COLUMN()-2)</f>
        <v>1391491.24136195</v>
      </c>
      <c r="DN15" s="18" t="n">
        <f aca="false">DN13/POWER(1+((1+'Panel de Control'!$B$14)^(1/12)-1),COLUMN()-2)</f>
        <v>1378411.77742735</v>
      </c>
      <c r="DO15" s="18" t="n">
        <f aca="false">DO13/POWER(1+((1+'Panel de Control'!$B$14)^(1/12)-1),COLUMN()-2)</f>
        <v>1365455.25524885</v>
      </c>
      <c r="DP15" s="18" t="n">
        <f aca="false">DP13/POWER(1+((1+'Panel de Control'!$B$14)^(1/12)-1),COLUMN()-2)</f>
        <v>1352620.51922288</v>
      </c>
      <c r="DQ15" s="18" t="n">
        <f aca="false">DQ13/POWER(1+((1+'Panel de Control'!$B$14)^(1/12)-1),COLUMN()-2)</f>
        <v>1339906.42460806</v>
      </c>
      <c r="DR15" s="18" t="n">
        <f aca="false">DR13/POWER(1+((1+'Panel de Control'!$B$14)^(1/12)-1),COLUMN()-2)</f>
        <v>1327311.83742313</v>
      </c>
      <c r="DS15" s="18" t="n">
        <f aca="false">DS13/POWER(1+((1+'Panel de Control'!$B$14)^(1/12)-1),COLUMN()-2)</f>
        <v>1480938.36369567</v>
      </c>
      <c r="DT15" s="18" t="n">
        <f aca="false">DT13/POWER(1+((1+'Panel de Control'!$B$14)^(1/12)-1),COLUMN()-2)</f>
        <v>1467018.13240599</v>
      </c>
      <c r="DU15" s="18" t="n">
        <f aca="false">DU13/POWER(1+((1+'Panel de Control'!$B$14)^(1/12)-1),COLUMN()-2)</f>
        <v>1453228.74575097</v>
      </c>
      <c r="DV15" s="18" t="n">
        <f aca="false">DV13/POWER(1+((1+'Panel de Control'!$B$14)^(1/12)-1),COLUMN()-2)</f>
        <v>1439568.97384313</v>
      </c>
      <c r="DW15" s="18" t="n">
        <f aca="false">DW13/POWER(1+((1+'Panel de Control'!$B$14)^(1/12)-1),COLUMN()-2)</f>
        <v>1426037.5983554</v>
      </c>
      <c r="DX15" s="18" t="n">
        <f aca="false">DX13/POWER(1+((1+'Panel de Control'!$B$14)^(1/12)-1),COLUMN()-2)</f>
        <v>1412633.41241254</v>
      </c>
      <c r="DY15" s="18" t="n">
        <f aca="false">DY13/POWER(1+((1+'Panel de Control'!$B$14)^(1/12)-1),COLUMN()-2)</f>
        <v>1399355.22048345</v>
      </c>
      <c r="DZ15" s="18" t="n">
        <f aca="false">DZ13/POWER(1+((1+'Panel de Control'!$B$14)^(1/12)-1),COLUMN()-2)</f>
        <v>1386201.83827452</v>
      </c>
      <c r="EA15" s="18" t="n">
        <f aca="false">EA13/POWER(1+((1+'Panel de Control'!$B$14)^(1/12)-1),COLUMN()-2)</f>
        <v>1373172.09262407</v>
      </c>
      <c r="EB15" s="18" t="n">
        <f aca="false">EB13/POWER(1+((1+'Panel de Control'!$B$14)^(1/12)-1),COLUMN()-2)</f>
        <v>1360264.82139763</v>
      </c>
      <c r="EC15" s="18" t="n">
        <f aca="false">EC13/POWER(1+((1+'Panel de Control'!$B$14)^(1/12)-1),COLUMN()-2)</f>
        <v>1347478.87338436</v>
      </c>
      <c r="ED15" s="18" t="n">
        <f aca="false">ED13/POWER(1+((1+'Panel de Control'!$B$14)^(1/12)-1),COLUMN()-2)</f>
        <v>1334813.10819433</v>
      </c>
      <c r="EE15" s="18" t="n">
        <f aca="false">EE13/POWER(1+((1+'Panel de Control'!$B$14)^(1/12)-1),COLUMN()-2)</f>
        <v>1515233.4884923</v>
      </c>
      <c r="EF15" s="18" t="n">
        <f aca="false">EF13/POWER(1+((1+'Panel de Control'!$B$14)^(1/12)-1),COLUMN()-2)</f>
        <v>1500990.89667703</v>
      </c>
      <c r="EG15" s="18" t="n">
        <f aca="false">EG13/POWER(1+((1+'Panel de Control'!$B$14)^(1/12)-1),COLUMN()-2)</f>
        <v>1486882.17955709</v>
      </c>
      <c r="EH15" s="18" t="n">
        <f aca="false">EH13/POWER(1+((1+'Panel de Control'!$B$14)^(1/12)-1),COLUMN()-2)</f>
        <v>1472906.07876362</v>
      </c>
      <c r="EI15" s="18" t="n">
        <f aca="false">EI13/POWER(1+((1+'Panel de Control'!$B$14)^(1/12)-1),COLUMN()-2)</f>
        <v>1459061.34775591</v>
      </c>
      <c r="EJ15" s="18" t="n">
        <f aca="false">EJ13/POWER(1+((1+'Panel de Control'!$B$14)^(1/12)-1),COLUMN()-2)</f>
        <v>1445346.75171026</v>
      </c>
      <c r="EK15" s="18" t="n">
        <f aca="false">EK13/POWER(1+((1+'Panel de Control'!$B$14)^(1/12)-1),COLUMN()-2)</f>
        <v>1431761.06740981</v>
      </c>
      <c r="EL15" s="18" t="n">
        <f aca="false">EL13/POWER(1+((1+'Panel de Control'!$B$14)^(1/12)-1),COLUMN()-2)</f>
        <v>1418303.08313546</v>
      </c>
      <c r="EM15" s="18" t="n">
        <f aca="false">EM13/POWER(1+((1+'Panel de Control'!$B$14)^(1/12)-1),COLUMN()-2)</f>
        <v>1404971.59855777</v>
      </c>
      <c r="EN15" s="18" t="n">
        <f aca="false">EN13/POWER(1+((1+'Panel de Control'!$B$14)^(1/12)-1),COLUMN()-2)</f>
        <v>1391765.42462994</v>
      </c>
      <c r="EO15" s="18" t="n">
        <f aca="false">EO13/POWER(1+((1+'Panel de Control'!$B$14)^(1/12)-1),COLUMN()-2)</f>
        <v>1378683.38348174</v>
      </c>
      <c r="EP15" s="18" t="n">
        <f aca="false">EP13/POWER(1+((1+'Panel de Control'!$B$14)^(1/12)-1),COLUMN()-2)</f>
        <v>1365724.30831441</v>
      </c>
      <c r="EQ15" s="18" t="n">
        <f aca="false">EQ13/POWER(1+((1+'Panel de Control'!$B$14)^(1/12)-1),COLUMN()-2)</f>
        <v>1537239.53329574</v>
      </c>
      <c r="ER15" s="18" t="n">
        <f aca="false">ER13/POWER(1+((1+'Panel de Control'!$B$14)^(1/12)-1),COLUMN()-2)</f>
        <v>1522790.09341647</v>
      </c>
      <c r="ES15" s="18" t="n">
        <f aca="false">ES13/POWER(1+((1+'Panel de Control'!$B$14)^(1/12)-1),COLUMN()-2)</f>
        <v>1508476.47252202</v>
      </c>
      <c r="ET15" s="18" t="n">
        <f aca="false">ET13/POWER(1+((1+'Panel de Control'!$B$14)^(1/12)-1),COLUMN()-2)</f>
        <v>1494297.39396797</v>
      </c>
      <c r="EU15" s="18" t="n">
        <f aca="false">EU13/POWER(1+((1+'Panel de Control'!$B$14)^(1/12)-1),COLUMN()-2)</f>
        <v>1480251.59310987</v>
      </c>
      <c r="EV15" s="18" t="n">
        <f aca="false">EV13/POWER(1+((1+'Panel de Control'!$B$14)^(1/12)-1),COLUMN()-2)</f>
        <v>1466337.8171904</v>
      </c>
      <c r="EW15" s="18" t="n">
        <f aca="false">EW13/POWER(1+((1+'Panel de Control'!$B$14)^(1/12)-1),COLUMN()-2)</f>
        <v>1452554.82522768</v>
      </c>
      <c r="EX15" s="18" t="n">
        <f aca="false">EX13/POWER(1+((1+'Panel de Control'!$B$14)^(1/12)-1),COLUMN()-2)</f>
        <v>1438901.38790457</v>
      </c>
      <c r="EY15" s="18" t="n">
        <f aca="false">EY13/POWER(1+((1+'Panel de Control'!$B$14)^(1/12)-1),COLUMN()-2)</f>
        <v>1425376.28745901</v>
      </c>
      <c r="EZ15" s="18" t="n">
        <f aca="false">EZ13/POWER(1+((1+'Panel de Control'!$B$14)^(1/12)-1),COLUMN()-2)</f>
        <v>1411978.31757542</v>
      </c>
      <c r="FA15" s="18" t="n">
        <f aca="false">FA13/POWER(1+((1+'Panel de Control'!$B$14)^(1/12)-1),COLUMN()-2)</f>
        <v>1398706.2832771</v>
      </c>
      <c r="FB15" s="18" t="n">
        <f aca="false">FB13/POWER(1+((1+'Panel de Control'!$B$14)^(1/12)-1),COLUMN()-2)</f>
        <v>1385559.00081967</v>
      </c>
      <c r="FC15" s="18" t="n">
        <f aca="false">FC13/POWER(1+((1+'Panel de Control'!$B$14)^(1/12)-1),COLUMN()-2)</f>
        <v>1548657.76570957</v>
      </c>
      <c r="FD15" s="18" t="n">
        <f aca="false">FD13/POWER(1+((1+'Panel de Control'!$B$14)^(1/12)-1),COLUMN()-2)</f>
        <v>1534100.99898942</v>
      </c>
      <c r="FE15" s="18" t="n">
        <f aca="false">FE13/POWER(1+((1+'Panel de Control'!$B$14)^(1/12)-1),COLUMN()-2)</f>
        <v>1519681.06008368</v>
      </c>
      <c r="FF15" s="18" t="n">
        <f aca="false">FF13/POWER(1+((1+'Panel de Control'!$B$14)^(1/12)-1),COLUMN()-2)</f>
        <v>1505396.66286534</v>
      </c>
      <c r="FG15" s="18" t="n">
        <f aca="false">FG13/POWER(1+((1+'Panel de Control'!$B$14)^(1/12)-1),COLUMN()-2)</f>
        <v>1491246.53329647</v>
      </c>
      <c r="FH15" s="18" t="n">
        <f aca="false">FH13/POWER(1+((1+'Panel de Control'!$B$14)^(1/12)-1),COLUMN()-2)</f>
        <v>1477229.40931461</v>
      </c>
      <c r="FI15" s="18" t="n">
        <f aca="false">FI13/POWER(1+((1+'Panel de Control'!$B$14)^(1/12)-1),COLUMN()-2)</f>
        <v>1463344.04072016</v>
      </c>
      <c r="FJ15" s="18" t="n">
        <f aca="false">FJ13/POWER(1+((1+'Panel de Control'!$B$14)^(1/12)-1),COLUMN()-2)</f>
        <v>1449589.18906491</v>
      </c>
      <c r="FK15" s="18" t="n">
        <f aca="false">FK13/POWER(1+((1+'Panel de Control'!$B$14)^(1/12)-1),COLUMN()-2)</f>
        <v>1435963.62754158</v>
      </c>
      <c r="FL15" s="18" t="n">
        <f aca="false">FL13/POWER(1+((1+'Panel de Control'!$B$14)^(1/12)-1),COLUMN()-2)</f>
        <v>1422466.14087437</v>
      </c>
      <c r="FM15" s="18" t="n">
        <f aca="false">FM13/POWER(1+((1+'Panel de Control'!$B$14)^(1/12)-1),COLUMN()-2)</f>
        <v>1409095.5252106</v>
      </c>
      <c r="FN15" s="18" t="n">
        <f aca="false">FN13/POWER(1+((1+'Panel de Control'!$B$14)^(1/12)-1),COLUMN()-2)</f>
        <v>1395850.58801332</v>
      </c>
      <c r="FO15" s="18" t="n">
        <f aca="false">FO13/POWER(1+((1+'Panel de Control'!$B$14)^(1/12)-1),COLUMN()-2)</f>
        <v>1550990.00589495</v>
      </c>
      <c r="FP15" s="18" t="n">
        <f aca="false">FP13/POWER(1+((1+'Panel de Control'!$B$14)^(1/12)-1),COLUMN()-2)</f>
        <v>1536411.31704516</v>
      </c>
      <c r="FQ15" s="18" t="n">
        <f aca="false">FQ13/POWER(1+((1+'Panel de Control'!$B$14)^(1/12)-1),COLUMN()-2)</f>
        <v>1521969.66206907</v>
      </c>
      <c r="FR15" s="18" t="n">
        <f aca="false">FR13/POWER(1+((1+'Panel de Control'!$B$14)^(1/12)-1),COLUMN()-2)</f>
        <v>1507663.7529028</v>
      </c>
      <c r="FS15" s="18" t="n">
        <f aca="false">FS13/POWER(1+((1+'Panel de Control'!$B$14)^(1/12)-1),COLUMN()-2)</f>
        <v>1493492.31358975</v>
      </c>
      <c r="FT15" s="18" t="n">
        <f aca="false">FT13/POWER(1+((1+'Panel de Control'!$B$14)^(1/12)-1),COLUMN()-2)</f>
        <v>1479454.08016682</v>
      </c>
      <c r="FU15" s="18" t="n">
        <f aca="false">FU13/POWER(1+((1+'Panel de Control'!$B$14)^(1/12)-1),COLUMN()-2)</f>
        <v>1465547.80055166</v>
      </c>
      <c r="FV15" s="18" t="n">
        <f aca="false">FV13/POWER(1+((1+'Panel de Control'!$B$14)^(1/12)-1),COLUMN()-2)</f>
        <v>1451772.23443096</v>
      </c>
      <c r="FW15" s="18" t="n">
        <f aca="false">FW13/POWER(1+((1+'Panel de Control'!$B$14)^(1/12)-1),COLUMN()-2)</f>
        <v>1438126.15314992</v>
      </c>
      <c r="FX15" s="18" t="n">
        <f aca="false">FX13/POWER(1+((1+'Panel de Control'!$B$14)^(1/12)-1),COLUMN()-2)</f>
        <v>1424608.33960255</v>
      </c>
      <c r="FY15" s="18" t="n">
        <f aca="false">FY13/POWER(1+((1+'Panel de Control'!$B$14)^(1/12)-1),COLUMN()-2)</f>
        <v>1411217.5881232</v>
      </c>
      <c r="FZ15" s="18" t="n">
        <f aca="false">FZ13/POWER(1+((1+'Panel de Control'!$B$14)^(1/12)-1),COLUMN()-2)</f>
        <v>1397952.70437901</v>
      </c>
      <c r="GA15" s="18" t="n">
        <f aca="false">GA13/POWER(1+((1+'Panel de Control'!$B$14)^(1/12)-1),COLUMN()-2)</f>
        <v>1545560.76240243</v>
      </c>
      <c r="GB15" s="18" t="n">
        <f aca="false">GB13/POWER(1+((1+'Panel de Control'!$B$14)^(1/12)-1),COLUMN()-2)</f>
        <v>1531033.10628094</v>
      </c>
      <c r="GC15" s="18" t="n">
        <f aca="false">GC13/POWER(1+((1+'Panel de Control'!$B$14)^(1/12)-1),COLUMN()-2)</f>
        <v>1516642.00434581</v>
      </c>
      <c r="GD15" s="18" t="n">
        <f aca="false">GD13/POWER(1+((1+'Panel de Control'!$B$14)^(1/12)-1),COLUMN()-2)</f>
        <v>1502386.17304204</v>
      </c>
      <c r="GE15" s="18" t="n">
        <f aca="false">GE13/POWER(1+((1+'Panel de Control'!$B$14)^(1/12)-1),COLUMN()-2)</f>
        <v>1488264.34087951</v>
      </c>
      <c r="GF15" s="18" t="n">
        <f aca="false">GF13/POWER(1+((1+'Panel de Control'!$B$14)^(1/12)-1),COLUMN()-2)</f>
        <v>1474275.24831962</v>
      </c>
      <c r="GG15" s="18" t="n">
        <f aca="false">GG13/POWER(1+((1+'Panel de Control'!$B$14)^(1/12)-1),COLUMN()-2)</f>
        <v>1460417.64766294</v>
      </c>
      <c r="GH15" s="18" t="n">
        <f aca="false">GH13/POWER(1+((1+'Panel de Control'!$B$14)^(1/12)-1),COLUMN()-2)</f>
        <v>1446690.30293789</v>
      </c>
      <c r="GI15" s="18" t="n">
        <f aca="false">GI13/POWER(1+((1+'Panel de Control'!$B$14)^(1/12)-1),COLUMN()-2)</f>
        <v>1433091.98979056</v>
      </c>
      <c r="GJ15" s="18" t="n">
        <f aca="false">GJ13/POWER(1+((1+'Panel de Control'!$B$14)^(1/12)-1),COLUMN()-2)</f>
        <v>1419621.49537546</v>
      </c>
      <c r="GK15" s="18" t="n">
        <f aca="false">GK13/POWER(1+((1+'Panel de Control'!$B$14)^(1/12)-1),COLUMN()-2)</f>
        <v>1406277.61824737</v>
      </c>
      <c r="GL15" s="18" t="n">
        <f aca="false">GL13/POWER(1+((1+'Panel de Control'!$B$14)^(1/12)-1),COLUMN()-2)</f>
        <v>1393059.16825418</v>
      </c>
      <c r="GM15" s="18" t="n">
        <f aca="false">GM13/POWER(1+((1+'Panel de Control'!$B$14)^(1/12)-1),COLUMN()-2)</f>
        <v>1533536.96209041</v>
      </c>
      <c r="GN15" s="18" t="n">
        <f aca="false">GN13/POWER(1+((1+'Panel de Control'!$B$14)^(1/12)-1),COLUMN()-2)</f>
        <v>1519122.32490706</v>
      </c>
      <c r="GO15" s="18" t="n">
        <f aca="false">GO13/POWER(1+((1+'Panel de Control'!$B$14)^(1/12)-1),COLUMN()-2)</f>
        <v>1504843.17957703</v>
      </c>
      <c r="GP15" s="18" t="n">
        <f aca="false">GP13/POWER(1+((1+'Panel de Control'!$B$14)^(1/12)-1),COLUMN()-2)</f>
        <v>1490698.25253082</v>
      </c>
      <c r="GQ15" s="18" t="n">
        <f aca="false">GQ13/POWER(1+((1+'Panel de Control'!$B$14)^(1/12)-1),COLUMN()-2)</f>
        <v>1476686.28216997</v>
      </c>
      <c r="GR15" s="18" t="n">
        <f aca="false">GR13/POWER(1+((1+'Panel de Control'!$B$14)^(1/12)-1),COLUMN()-2)</f>
        <v>1462806.01875455</v>
      </c>
      <c r="GS15" s="18" t="n">
        <f aca="false">GS13/POWER(1+((1+'Panel de Control'!$B$14)^(1/12)-1),COLUMN()-2)</f>
        <v>1449056.22429168</v>
      </c>
      <c r="GT15" s="18" t="n">
        <f aca="false">GT13/POWER(1+((1+'Panel de Control'!$B$14)^(1/12)-1),COLUMN()-2)</f>
        <v>1435435.67242512</v>
      </c>
      <c r="GU15" s="18" t="n">
        <f aca="false">GU13/POWER(1+((1+'Panel de Control'!$B$14)^(1/12)-1),COLUMN()-2)</f>
        <v>1421943.14832591</v>
      </c>
      <c r="GV15" s="18" t="n">
        <f aca="false">GV13/POWER(1+((1+'Panel de Control'!$B$14)^(1/12)-1),COLUMN()-2)</f>
        <v>1408577.44858397</v>
      </c>
      <c r="GW15" s="18" t="n">
        <f aca="false">GW13/POWER(1+((1+'Panel de Control'!$B$14)^(1/12)-1),COLUMN()-2)</f>
        <v>1395337.38110082</v>
      </c>
      <c r="GX15" s="18" t="n">
        <f aca="false">GX13/POWER(1+((1+'Panel de Control'!$B$14)^(1/12)-1),COLUMN()-2)</f>
        <v>1382221.76498322</v>
      </c>
      <c r="GY15" s="18" t="n">
        <f aca="false">GY13/POWER(1+((1+'Panel de Control'!$B$14)^(1/12)-1),COLUMN()-2)</f>
        <v>1515945.53343415</v>
      </c>
      <c r="GZ15" s="18" t="n">
        <f aca="false">GZ13/POWER(1+((1+'Panel de Control'!$B$14)^(1/12)-1),COLUMN()-2)</f>
        <v>1501696.24867978</v>
      </c>
      <c r="HA15" s="18" t="n">
        <f aca="false">HA13/POWER(1+((1+'Panel de Control'!$B$14)^(1/12)-1),COLUMN()-2)</f>
        <v>1487580.90153171</v>
      </c>
      <c r="HB15" s="18" t="n">
        <f aca="false">HB13/POWER(1+((1+'Panel de Control'!$B$14)^(1/12)-1),COLUMN()-2)</f>
        <v>1473598.23302972</v>
      </c>
      <c r="HC15" s="18" t="n">
        <f aca="false">HC13/POWER(1+((1+'Panel de Control'!$B$14)^(1/12)-1),COLUMN()-2)</f>
        <v>1459746.99604735</v>
      </c>
      <c r="HD15" s="18" t="n">
        <f aca="false">HD13/POWER(1+((1+'Panel de Control'!$B$14)^(1/12)-1),COLUMN()-2)</f>
        <v>1446025.95518061</v>
      </c>
      <c r="HE15" s="18" t="n">
        <f aca="false">HE13/POWER(1+((1+'Panel de Control'!$B$14)^(1/12)-1),COLUMN()-2)</f>
        <v>1432433.88663782</v>
      </c>
      <c r="HF15" s="18" t="n">
        <f aca="false">HF13/POWER(1+((1+'Panel de Control'!$B$14)^(1/12)-1),COLUMN()-2)</f>
        <v>1418969.57813047</v>
      </c>
      <c r="HG15" s="18" t="n">
        <f aca="false">HG13/POWER(1+((1+'Panel de Control'!$B$14)^(1/12)-1),COLUMN()-2)</f>
        <v>1405631.82876506</v>
      </c>
      <c r="HH15" s="18" t="n">
        <f aca="false">HH13/POWER(1+((1+'Panel de Control'!$B$14)^(1/12)-1),COLUMN()-2)</f>
        <v>1392419.44893602</v>
      </c>
      <c r="HI15" s="18" t="n">
        <f aca="false">HI13/POWER(1+((1+'Panel de Control'!$B$14)^(1/12)-1),COLUMN()-2)</f>
        <v>1379331.2602196</v>
      </c>
      <c r="HJ15" s="18" t="n">
        <f aca="false">HJ13/POWER(1+((1+'Panel de Control'!$B$14)^(1/12)-1),COLUMN()-2)</f>
        <v>1366366.09526876</v>
      </c>
      <c r="HK15" s="18" t="n">
        <f aca="false">HK13/POWER(1+((1+'Panel de Control'!$B$14)^(1/12)-1),COLUMN()-2)</f>
        <v>1493689.07467872</v>
      </c>
      <c r="HL15" s="18" t="n">
        <f aca="false">HL13/POWER(1+((1+'Panel de Control'!$B$14)^(1/12)-1),COLUMN()-2)</f>
        <v>1479648.99177986</v>
      </c>
      <c r="HM15" s="18" t="n">
        <f aca="false">HM13/POWER(1+((1+'Panel de Control'!$B$14)^(1/12)-1),COLUMN()-2)</f>
        <v>1465740.88007309</v>
      </c>
      <c r="HN15" s="18" t="n">
        <f aca="false">HN13/POWER(1+((1+'Panel de Control'!$B$14)^(1/12)-1),COLUMN()-2)</f>
        <v>1451963.49908173</v>
      </c>
      <c r="HO15" s="18" t="n">
        <f aca="false">HO13/POWER(1+((1+'Panel de Control'!$B$14)^(1/12)-1),COLUMN()-2)</f>
        <v>1438315.61998908</v>
      </c>
      <c r="HP15" s="18" t="n">
        <f aca="false">HP13/POWER(1+((1+'Panel de Control'!$B$14)^(1/12)-1),COLUMN()-2)</f>
        <v>1424796.02552882</v>
      </c>
      <c r="HQ15" s="18" t="n">
        <f aca="false">HQ13/POWER(1+((1+'Panel de Control'!$B$14)^(1/12)-1),COLUMN()-2)</f>
        <v>1411403.50987646</v>
      </c>
      <c r="HR15" s="18" t="n">
        <f aca="false">HR13/POWER(1+((1+'Panel de Control'!$B$14)^(1/12)-1),COLUMN()-2)</f>
        <v>1398136.87854177</v>
      </c>
      <c r="HS15" s="18" t="n">
        <f aca="false">HS13/POWER(1+((1+'Panel de Control'!$B$14)^(1/12)-1),COLUMN()-2)</f>
        <v>1384994.94826227</v>
      </c>
      <c r="HT15" s="18" t="n">
        <f aca="false">HT13/POWER(1+((1+'Panel de Control'!$B$14)^(1/12)-1),COLUMN()-2)</f>
        <v>1371976.54689765</v>
      </c>
      <c r="HU15" s="18" t="n">
        <f aca="false">HU13/POWER(1+((1+'Panel de Control'!$B$14)^(1/12)-1),COLUMN()-2)</f>
        <v>1359080.51332528</v>
      </c>
      <c r="HV15" s="18" t="n">
        <f aca="false">HV13/POWER(1+((1+'Panel de Control'!$B$14)^(1/12)-1),COLUMN()-2)</f>
        <v>1346305.6973366</v>
      </c>
      <c r="HW15" s="18" t="n">
        <f aca="false">HW13/POWER(1+((1+'Panel de Control'!$B$14)^(1/12)-1),COLUMN()-2)</f>
        <v>1467559.81342523</v>
      </c>
      <c r="HX15" s="18" t="n">
        <f aca="false">HX13/POWER(1+((1+'Panel de Control'!$B$14)^(1/12)-1),COLUMN()-2)</f>
        <v>1453765.3351842</v>
      </c>
      <c r="HY15" s="18" t="n">
        <f aca="false">HY13/POWER(1+((1+'Panel de Control'!$B$14)^(1/12)-1),COLUMN()-2)</f>
        <v>1440100.51954921</v>
      </c>
      <c r="HZ15" s="18" t="n">
        <f aca="false">HZ13/POWER(1+((1+'Panel de Control'!$B$14)^(1/12)-1),COLUMN()-2)</f>
        <v>1426564.14774337</v>
      </c>
      <c r="IA15" s="18" t="n">
        <f aca="false">IA13/POWER(1+((1+'Panel de Control'!$B$14)^(1/12)-1),COLUMN()-2)</f>
        <v>1413155.01244581</v>
      </c>
      <c r="IB15" s="18" t="n">
        <f aca="false">IB13/POWER(1+((1+'Panel de Control'!$B$14)^(1/12)-1),COLUMN()-2)</f>
        <v>1399871.91768396</v>
      </c>
      <c r="IC15" s="18" t="n">
        <f aca="false">IC13/POWER(1+((1+'Panel de Control'!$B$14)^(1/12)-1),COLUMN()-2)</f>
        <v>1386713.67872697</v>
      </c>
      <c r="ID15" s="18" t="n">
        <f aca="false">ID13/POWER(1+((1+'Panel de Control'!$B$14)^(1/12)-1),COLUMN()-2)</f>
        <v>1373679.12197994</v>
      </c>
      <c r="IE15" s="18" t="n">
        <f aca="false">IE13/POWER(1+((1+'Panel de Control'!$B$14)^(1/12)-1),COLUMN()-2)</f>
        <v>1360767.08487933</v>
      </c>
      <c r="IF15" s="18" t="n">
        <f aca="false">IF13/POWER(1+((1+'Panel de Control'!$B$14)^(1/12)-1),COLUMN()-2)</f>
        <v>1347976.4157892</v>
      </c>
      <c r="IG15" s="18" t="n">
        <f aca="false">IG13/POWER(1+((1+'Panel de Control'!$B$14)^(1/12)-1),COLUMN()-2)</f>
        <v>1335305.97389857</v>
      </c>
      <c r="IH15" s="18" t="n">
        <f aca="false">IH13/POWER(1+((1+'Panel de Control'!$B$14)^(1/12)-1),COLUMN()-2)</f>
        <v>1322754.62911959</v>
      </c>
      <c r="II15" s="18" t="n">
        <f aca="false">II13/POWER(1+((1+'Panel de Control'!$B$14)^(1/12)-1),COLUMN()-2)</f>
        <v>1438252.04204307</v>
      </c>
      <c r="IJ15" s="18" t="n">
        <f aca="false">IJ13/POWER(1+((1+'Panel de Control'!$B$14)^(1/12)-1),COLUMN()-2)</f>
        <v>1424733.0451902</v>
      </c>
      <c r="IK15" s="18" t="n">
        <f aca="false">IK13/POWER(1+((1+'Panel de Control'!$B$14)^(1/12)-1),COLUMN()-2)</f>
        <v>1411341.12152796</v>
      </c>
      <c r="IL15" s="18" t="n">
        <f aca="false">IL13/POWER(1+((1+'Panel de Control'!$B$14)^(1/12)-1),COLUMN()-2)</f>
        <v>1398075.07661893</v>
      </c>
      <c r="IM15" s="18" t="n">
        <f aca="false">IM13/POWER(1+((1+'Panel de Control'!$B$14)^(1/12)-1),COLUMN()-2)</f>
        <v>1384933.7272529</v>
      </c>
      <c r="IN15" s="18" t="n">
        <f aca="false">IN13/POWER(1+((1+'Panel de Control'!$B$14)^(1/12)-1),COLUMN()-2)</f>
        <v>1371915.90134141</v>
      </c>
      <c r="IO15" s="18" t="n">
        <f aca="false">IO13/POWER(1+((1+'Panel de Control'!$B$14)^(1/12)-1),COLUMN()-2)</f>
        <v>1359020.43781314</v>
      </c>
      <c r="IP15" s="18" t="n">
        <f aca="false">IP13/POWER(1+((1+'Panel de Control'!$B$14)^(1/12)-1),COLUMN()-2)</f>
        <v>1346246.18651037</v>
      </c>
      <c r="IQ15" s="18" t="n">
        <f aca="false">IQ13/POWER(1+((1+'Panel de Control'!$B$14)^(1/12)-1),COLUMN()-2)</f>
        <v>1333592.00808642</v>
      </c>
      <c r="IR15" s="18" t="n">
        <f aca="false">IR13/POWER(1+((1+'Panel de Control'!$B$14)^(1/12)-1),COLUMN()-2)</f>
        <v>1321056.77390402</v>
      </c>
      <c r="IS15" s="18" t="n">
        <f aca="false">IS13/POWER(1+((1+'Panel de Control'!$B$14)^(1/12)-1),COLUMN()-2)</f>
        <v>1308639.36593462</v>
      </c>
      <c r="IT15" s="18" t="n">
        <f aca="false">IT13/POWER(1+((1+'Panel de Control'!$B$14)^(1/12)-1),COLUMN()-2)</f>
        <v>1296338.67665871</v>
      </c>
      <c r="IU15" s="18" t="n">
        <f aca="false">IU13/POWER(1+((1+'Panel de Control'!$B$14)^(1/12)-1),COLUMN()-2)</f>
        <v>1406373.19348506</v>
      </c>
      <c r="IV15" s="18" t="n">
        <f aca="false">IV13/POWER(1+((1+'Panel de Control'!$B$14)^(1/12)-1),COLUMN()-2)</f>
        <v>1393153.84512267</v>
      </c>
      <c r="IW15" s="18" t="n">
        <f aca="false">IW13/POWER(1+((1+'Panel de Control'!$B$14)^(1/12)-1),COLUMN()-2)</f>
        <v>1380058.75337434</v>
      </c>
      <c r="IX15" s="18" t="n">
        <f aca="false">IX13/POWER(1+((1+'Panel de Control'!$B$14)^(1/12)-1),COLUMN()-2)</f>
        <v>1367086.75027735</v>
      </c>
      <c r="IY15" s="18" t="n">
        <f aca="false">IY13/POWER(1+((1+'Panel de Control'!$B$14)^(1/12)-1),COLUMN()-2)</f>
        <v>1354236.67884735</v>
      </c>
      <c r="IZ15" s="18" t="n">
        <f aca="false">IZ13/POWER(1+((1+'Panel de Control'!$B$14)^(1/12)-1),COLUMN()-2)</f>
        <v>1341507.3929752</v>
      </c>
      <c r="JA15" s="18" t="n">
        <f aca="false">JA13/POWER(1+((1+'Panel de Control'!$B$14)^(1/12)-1),COLUMN()-2)</f>
        <v>1328897.75732471</v>
      </c>
      <c r="JB15" s="18" t="n">
        <f aca="false">JB13/POWER(1+((1+'Panel de Control'!$B$14)^(1/12)-1),COLUMN()-2)</f>
        <v>1316406.64723142</v>
      </c>
      <c r="JC15" s="18" t="n">
        <f aca="false">JC13/POWER(1+((1+'Panel de Control'!$B$14)^(1/12)-1),COLUMN()-2)</f>
        <v>1304032.94860226</v>
      </c>
      <c r="JD15" s="18" t="n">
        <f aca="false">JD13/POWER(1+((1+'Panel de Control'!$B$14)^(1/12)-1),COLUMN()-2)</f>
        <v>1291775.55781619</v>
      </c>
      <c r="JE15" s="18" t="n">
        <f aca="false">JE13/POWER(1+((1+'Panel de Control'!$B$14)^(1/12)-1),COLUMN()-2)</f>
        <v>1279633.38162576</v>
      </c>
      <c r="JF15" s="18" t="n">
        <f aca="false">JF13/POWER(1+((1+'Panel de Control'!$B$14)^(1/12)-1),COLUMN()-2)</f>
        <v>1267605.33705963</v>
      </c>
      <c r="JG15" s="18" t="n">
        <f aca="false">JG13/POWER(1+((1+'Panel de Control'!$B$14)^(1/12)-1),COLUMN()-2)</f>
        <v>1372453.70439228</v>
      </c>
      <c r="JH15" s="18" t="n">
        <f aca="false">JH13/POWER(1+((1+'Panel de Control'!$B$14)^(1/12)-1),COLUMN()-2)</f>
        <v>1359553.18572934</v>
      </c>
      <c r="JI15" s="18" t="n">
        <f aca="false">JI13/POWER(1+((1+'Panel de Control'!$B$14)^(1/12)-1),COLUMN()-2)</f>
        <v>1346773.92680816</v>
      </c>
      <c r="JJ15" s="18" t="n">
        <f aca="false">JJ13/POWER(1+((1+'Panel de Control'!$B$14)^(1/12)-1),COLUMN()-2)</f>
        <v>1334114.78783543</v>
      </c>
      <c r="JK15" s="18" t="n">
        <f aca="false">JK13/POWER(1+((1+'Panel de Control'!$B$14)^(1/12)-1),COLUMN()-2)</f>
        <v>1321574.63973142</v>
      </c>
      <c r="JL15" s="18" t="n">
        <f aca="false">JL13/POWER(1+((1+'Panel de Control'!$B$14)^(1/12)-1),COLUMN()-2)</f>
        <v>1309152.36402932</v>
      </c>
      <c r="JM15" s="18" t="n">
        <f aca="false">JM13/POWER(1+((1+'Panel de Control'!$B$14)^(1/12)-1),COLUMN()-2)</f>
        <v>1296846.85277547</v>
      </c>
      <c r="JN15" s="18" t="n">
        <f aca="false">JN13/POWER(1+((1+'Panel de Control'!$B$14)^(1/12)-1),COLUMN()-2)</f>
        <v>1284657.00843051</v>
      </c>
      <c r="JO15" s="18" t="n">
        <f aca="false">JO13/POWER(1+((1+'Panel de Control'!$B$14)^(1/12)-1),COLUMN()-2)</f>
        <v>1272581.74377154</v>
      </c>
      <c r="JP15" s="18" t="n">
        <f aca="false">JP13/POWER(1+((1+'Panel de Control'!$B$14)^(1/12)-1),COLUMN()-2)</f>
        <v>1260619.98179508</v>
      </c>
      <c r="JQ15" s="18" t="n">
        <f aca="false">JQ13/POWER(1+((1+'Panel de Control'!$B$14)^(1/12)-1),COLUMN()-2)</f>
        <v>1248770.65562111</v>
      </c>
      <c r="JR15" s="18" t="n">
        <f aca="false">JR13/POWER(1+((1+'Panel de Control'!$B$14)^(1/12)-1),COLUMN()-2)</f>
        <v>1237032.70839782</v>
      </c>
      <c r="JS15" s="18" t="n">
        <f aca="false">JS13/POWER(1+((1+'Panel de Control'!$B$14)^(1/12)-1),COLUMN()-2)</f>
        <v>1336955.79658326</v>
      </c>
      <c r="JT15" s="18" t="n">
        <f aca="false">JT13/POWER(1+((1+'Panel de Control'!$B$14)^(1/12)-1),COLUMN()-2)</f>
        <v>1324388.94412758</v>
      </c>
      <c r="JU15" s="18" t="n">
        <f aca="false">JU13/POWER(1+((1+'Panel de Control'!$B$14)^(1/12)-1),COLUMN()-2)</f>
        <v>1311940.2150841</v>
      </c>
      <c r="JV15" s="18" t="n">
        <f aca="false">JV13/POWER(1+((1+'Panel de Control'!$B$14)^(1/12)-1),COLUMN()-2)</f>
        <v>1299608.49913974</v>
      </c>
      <c r="JW15" s="18" t="n">
        <f aca="false">JW13/POWER(1+((1+'Panel de Control'!$B$14)^(1/12)-1),COLUMN()-2)</f>
        <v>1287392.69641793</v>
      </c>
      <c r="JX15" s="18" t="n">
        <f aca="false">JX13/POWER(1+((1+'Panel de Control'!$B$14)^(1/12)-1),COLUMN()-2)</f>
        <v>1275291.71738052</v>
      </c>
      <c r="JY15" s="18" t="n">
        <f aca="false">JY13/POWER(1+((1+'Panel de Control'!$B$14)^(1/12)-1),COLUMN()-2)</f>
        <v>1263304.48273056</v>
      </c>
      <c r="JZ15" s="18" t="n">
        <f aca="false">JZ13/POWER(1+((1+'Panel de Control'!$B$14)^(1/12)-1),COLUMN()-2)</f>
        <v>1251429.92331607</v>
      </c>
      <c r="KA15" s="18" t="n">
        <f aca="false">KA13/POWER(1+((1+'Panel de Control'!$B$14)^(1/12)-1),COLUMN()-2)</f>
        <v>1239666.98003468</v>
      </c>
      <c r="KB15" s="18" t="n">
        <f aca="false">KB13/POWER(1+((1+'Panel de Control'!$B$14)^(1/12)-1),COLUMN()-2)</f>
        <v>1228014.60373916</v>
      </c>
      <c r="KC15" s="18" t="n">
        <f aca="false">KC13/POWER(1+((1+'Panel de Control'!$B$14)^(1/12)-1),COLUMN()-2)</f>
        <v>1216471.75514383</v>
      </c>
      <c r="KD15" s="18" t="n">
        <f aca="false">KD13/POWER(1+((1+'Panel de Control'!$B$14)^(1/12)-1),COLUMN()-2)</f>
        <v>1205037.4047319</v>
      </c>
      <c r="KE15" s="18" t="n">
        <f aca="false">KE13/POWER(1+((1+'Panel de Control'!$B$14)^(1/12)-1),COLUMN()-2)</f>
        <v>1300281.2939245</v>
      </c>
      <c r="KF15" s="18" t="n">
        <f aca="false">KF13/POWER(1+((1+'Panel de Control'!$B$14)^(1/12)-1),COLUMN()-2)</f>
        <v>1288059.16719946</v>
      </c>
      <c r="KG15" s="18" t="n">
        <f aca="false">KG13/POWER(1+((1+'Panel de Control'!$B$14)^(1/12)-1),COLUMN()-2)</f>
        <v>1275951.92360191</v>
      </c>
      <c r="KH15" s="18" t="n">
        <f aca="false">KH13/POWER(1+((1+'Panel de Control'!$B$14)^(1/12)-1),COLUMN()-2)</f>
        <v>1263958.4832762</v>
      </c>
      <c r="KI15" s="18" t="n">
        <f aca="false">KI13/POWER(1+((1+'Panel de Control'!$B$14)^(1/12)-1),COLUMN()-2)</f>
        <v>1252077.77651684</v>
      </c>
      <c r="KJ15" s="18" t="n">
        <f aca="false">KJ13/POWER(1+((1+'Panel de Control'!$B$14)^(1/12)-1),COLUMN()-2)</f>
        <v>1240308.74367317</v>
      </c>
      <c r="KK15" s="18" t="n">
        <f aca="false">KK13/POWER(1+((1+'Panel de Control'!$B$14)^(1/12)-1),COLUMN()-2)</f>
        <v>1228650.33505483</v>
      </c>
      <c r="KL15" s="18" t="n">
        <f aca="false">KL13/POWER(1+((1+'Panel de Control'!$B$14)^(1/12)-1),COLUMN()-2)</f>
        <v>1217101.51083812</v>
      </c>
      <c r="KM15" s="18" t="n">
        <f aca="false">KM13/POWER(1+((1+'Panel de Control'!$B$14)^(1/12)-1),COLUMN()-2)</f>
        <v>1205661.24097327</v>
      </c>
      <c r="KN15" s="18" t="n">
        <f aca="false">KN13/POWER(1+((1+'Panel de Control'!$B$14)^(1/12)-1),COLUMN()-2)</f>
        <v>1194328.50509257</v>
      </c>
      <c r="KO15" s="18" t="n">
        <f aca="false">KO13/POWER(1+((1+'Panel de Control'!$B$14)^(1/12)-1),COLUMN()-2)</f>
        <v>1183102.29241938</v>
      </c>
      <c r="KP15" s="18" t="n">
        <f aca="false">KP13/POWER(1+((1+'Panel de Control'!$B$14)^(1/12)-1),COLUMN()-2)</f>
        <v>1171981.60167791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8" hidden="false" customHeight="true" outlineLevel="0" collapsed="false">
      <c r="A1" s="13" t="s">
        <v>426</v>
      </c>
    </row>
    <row r="3" customFormat="false" ht="15" hidden="false" customHeight="true" outlineLevel="0" collapsed="false">
      <c r="A3" s="6" t="s">
        <v>427</v>
      </c>
    </row>
    <row r="5" customFormat="false" ht="14.25" hidden="false" customHeight="false" outlineLevel="0" collapsed="false">
      <c r="A5" s="0" t="s">
        <v>47</v>
      </c>
      <c r="B5" s="18" t="n">
        <f aca="false">SUM('Flujo de Caja'!B15:BJ15)</f>
        <v>-24259406.001522</v>
      </c>
    </row>
    <row r="6" customFormat="false" ht="14.25" hidden="false" customHeight="false" outlineLevel="0" collapsed="false">
      <c r="A6" s="0" t="s">
        <v>428</v>
      </c>
      <c r="B6" s="24" t="n">
        <f aca="false">IFERROR(IRR('Flujo de Caja'!B13:BJ13,-0.005),"n/d")</f>
        <v>-0.0021329917062691</v>
      </c>
    </row>
    <row r="7" customFormat="false" ht="14.25" hidden="false" customHeight="false" outlineLevel="0" collapsed="false">
      <c r="A7" s="0" t="s">
        <v>429</v>
      </c>
      <c r="B7" s="23" t="n">
        <f aca="false">IFERROR(POWER(1+B6,12)-1,"n/d")</f>
        <v>-0.0252977480872344</v>
      </c>
    </row>
    <row r="8" customFormat="false" ht="14.25" hidden="false" customHeight="false" outlineLevel="0" collapsed="false">
      <c r="A8" s="0" t="s">
        <v>49</v>
      </c>
      <c r="B8" s="25" t="str">
        <f aca="false">IFERROR(MATCH(TRUE(),INDEX('Flujo de Caja'!C14:BJ14&gt;0,0),0),"-")</f>
        <v>-</v>
      </c>
    </row>
    <row r="9" customFormat="false" ht="14.25" hidden="false" customHeight="false" outlineLevel="0" collapsed="false">
      <c r="A9" s="0" t="s">
        <v>50</v>
      </c>
      <c r="B9" s="23" t="n">
        <f aca="false">'Flujo de Caja'!BJ14/(Supuestos!$B$4+Supuestos!$B$5+Supuestos!$B$6)</f>
        <v>-0.0971069878651884</v>
      </c>
    </row>
    <row r="11" customFormat="false" ht="15" hidden="false" customHeight="true" outlineLevel="0" collapsed="false">
      <c r="A11" s="6" t="s">
        <v>430</v>
      </c>
    </row>
    <row r="13" customFormat="false" ht="14.25" hidden="false" customHeight="false" outlineLevel="0" collapsed="false">
      <c r="A13" s="0" t="s">
        <v>431</v>
      </c>
      <c r="B13" s="23" t="n">
        <f aca="false">AVERAGE('Estado de Resultados'!B18:BI18)</f>
        <v>0.63</v>
      </c>
    </row>
    <row r="14" customFormat="false" ht="14.25" hidden="false" customHeight="false" outlineLevel="0" collapsed="false">
      <c r="A14" s="0" t="s">
        <v>432</v>
      </c>
      <c r="B14" s="23" t="n">
        <f aca="false">AVERAGE('Estado de Resultados'!B19:BI19)</f>
        <v>0.0641727538392321</v>
      </c>
    </row>
    <row r="15" customFormat="false" ht="14.25" hidden="false" customHeight="false" outlineLevel="0" collapsed="false">
      <c r="A15" s="0" t="s">
        <v>433</v>
      </c>
      <c r="B15" s="23" t="n">
        <f aca="false">AVERAGE('Estado de Resultados'!B20:BI20)</f>
        <v>0.0175301084065896</v>
      </c>
    </row>
    <row r="17" customFormat="false" ht="15" hidden="false" customHeight="true" outlineLevel="0" collapsed="false">
      <c r="A17" s="6" t="s">
        <v>434</v>
      </c>
    </row>
    <row r="19" customFormat="false" ht="14.25" hidden="false" customHeight="false" outlineLevel="0" collapsed="false">
      <c r="A19" s="0" t="s">
        <v>435</v>
      </c>
      <c r="B19" s="18" t="n">
        <f aca="false">SUM('Estado de Resultados'!C4:BJ4)</f>
        <v>742702192.40249</v>
      </c>
    </row>
    <row r="20" customFormat="false" ht="14.25" hidden="false" customHeight="false" outlineLevel="0" collapsed="false">
      <c r="A20" s="0" t="s">
        <v>436</v>
      </c>
      <c r="B20" s="18" t="n">
        <f aca="false">SUM(Costos!C18:BJ18)</f>
        <v>713799811.188921</v>
      </c>
    </row>
    <row r="21" customFormat="false" ht="14.25" hidden="false" customHeight="false" outlineLevel="0" collapsed="false">
      <c r="A21" s="0" t="s">
        <v>437</v>
      </c>
      <c r="B21" s="18" t="n">
        <f aca="false">SUM('Estado de Resultados'!C9:BJ9)</f>
        <v>53902381.2135688</v>
      </c>
    </row>
    <row r="22" customFormat="false" ht="14.25" hidden="false" customHeight="false" outlineLevel="0" collapsed="false">
      <c r="A22" s="0" t="s">
        <v>438</v>
      </c>
      <c r="B22" s="18" t="n">
        <f aca="false">SUM('Estado de Resultados'!C15:BJ15)</f>
        <v>18401029.2911665</v>
      </c>
    </row>
    <row r="24" customFormat="false" ht="15" hidden="false" customHeight="true" outlineLevel="0" collapsed="false">
      <c r="A24" s="6" t="s">
        <v>439</v>
      </c>
    </row>
    <row r="26" customFormat="false" ht="14.25" hidden="false" customHeight="false" outlineLevel="0" collapsed="false">
      <c r="A26" s="0" t="s">
        <v>72</v>
      </c>
      <c r="B26" s="22" t="n">
        <f aca="false">Supuestos!$B$27</f>
        <v>4000000</v>
      </c>
    </row>
    <row r="27" customFormat="false" ht="14.25" hidden="false" customHeight="false" outlineLevel="0" collapsed="false">
      <c r="A27" s="0" t="s">
        <v>73</v>
      </c>
      <c r="B27" s="11" t="n">
        <f aca="false">Supuestos!$B$28</f>
        <v>0.07</v>
      </c>
    </row>
    <row r="28" customFormat="false" ht="14.25" hidden="false" customHeight="false" outlineLevel="0" collapsed="false">
      <c r="A28" s="0" t="s">
        <v>440</v>
      </c>
      <c r="B28" s="26" t="n">
        <f aca="false">Supuestos!$B$29</f>
        <v>60</v>
      </c>
    </row>
    <row r="29" customFormat="false" ht="14.25" hidden="false" customHeight="false" outlineLevel="0" collapsed="false">
      <c r="A29" s="0" t="s">
        <v>441</v>
      </c>
      <c r="B29" s="18" t="n">
        <f aca="false">SUM(Financiamiento!C6:BK6)</f>
        <v>728954.316350557</v>
      </c>
    </row>
    <row r="31" customFormat="false" ht="15" hidden="false" customHeight="true" outlineLevel="0" collapsed="false">
      <c r="A31" s="6" t="s">
        <v>442</v>
      </c>
    </row>
    <row r="33" customFormat="false" ht="14.25" hidden="false" customHeight="false" outlineLevel="0" collapsed="false">
      <c r="A33" s="0" t="s">
        <v>443</v>
      </c>
      <c r="B33" s="9" t="n">
        <v>0</v>
      </c>
    </row>
    <row r="34" customFormat="false" ht="14.25" hidden="false" customHeight="false" outlineLevel="0" collapsed="false">
      <c r="A34" s="0" t="s">
        <v>444</v>
      </c>
      <c r="B34" s="9" t="n">
        <v>0</v>
      </c>
    </row>
    <row r="35" customFormat="false" ht="14.25" hidden="false" customHeight="false" outlineLevel="0" collapsed="false">
      <c r="A35" s="0" t="s">
        <v>445</v>
      </c>
      <c r="B35" s="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5"/>
  </cols>
  <sheetData>
    <row r="1" customFormat="false" ht="18" hidden="false" customHeight="true" outlineLevel="0" collapsed="false">
      <c r="A1" s="13" t="s">
        <v>446</v>
      </c>
    </row>
    <row r="3" customFormat="false" ht="14.25" hidden="false" customHeight="false" outlineLevel="0" collapsed="false">
      <c r="A3" s="27" t="s">
        <v>447</v>
      </c>
    </row>
    <row r="5" customFormat="false" ht="14.25" hidden="false" customHeight="false" outlineLevel="0" collapsed="false">
      <c r="A5" s="16" t="s">
        <v>448</v>
      </c>
      <c r="B5" s="16" t="s">
        <v>449</v>
      </c>
      <c r="C5" s="16" t="s">
        <v>450</v>
      </c>
      <c r="D5" s="16" t="s">
        <v>451</v>
      </c>
    </row>
    <row r="7" customFormat="false" ht="14.25" hidden="false" customHeight="false" outlineLevel="0" collapsed="false">
      <c r="A7" s="0" t="s">
        <v>452</v>
      </c>
      <c r="B7" s="7" t="n">
        <v>0.05</v>
      </c>
      <c r="C7" s="11" t="n">
        <f aca="false">Supuestos!$B$10</f>
        <v>0.07</v>
      </c>
      <c r="D7" s="7" t="n">
        <v>0.25</v>
      </c>
    </row>
    <row r="8" customFormat="false" ht="14.25" hidden="false" customHeight="false" outlineLevel="0" collapsed="false">
      <c r="A8" s="0" t="s">
        <v>453</v>
      </c>
      <c r="B8" s="7" t="n">
        <v>0.5</v>
      </c>
      <c r="C8" s="11" t="n">
        <f aca="false">Supuestos!$B$13</f>
        <v>0.37</v>
      </c>
      <c r="D8" s="7" t="n">
        <v>0.3</v>
      </c>
    </row>
    <row r="9" customFormat="false" ht="14.25" hidden="false" customHeight="false" outlineLevel="0" collapsed="false">
      <c r="A9" s="0" t="s">
        <v>454</v>
      </c>
      <c r="B9" s="7" t="n">
        <v>0.18</v>
      </c>
      <c r="C9" s="11" t="n">
        <f aca="false">'Panel de Control'!$B$14</f>
        <v>0.12</v>
      </c>
      <c r="D9" s="7" t="n">
        <v>0.09</v>
      </c>
    </row>
    <row r="10" customFormat="false" ht="14.25" hidden="false" customHeight="false" outlineLevel="0" collapsed="false">
      <c r="A10" s="0" t="s">
        <v>455</v>
      </c>
      <c r="B10" s="7" t="n">
        <f aca="false">C10*1.2</f>
        <v>60000000</v>
      </c>
      <c r="C10" s="10" t="n">
        <f aca="false">Supuestos!$B$4</f>
        <v>50000000</v>
      </c>
      <c r="D10" s="7" t="n">
        <f aca="false">C10*0.8</f>
        <v>40000000</v>
      </c>
    </row>
    <row r="12" customFormat="false" ht="14.25" hidden="false" customHeight="false" outlineLevel="0" collapsed="false">
      <c r="A12" s="14" t="s">
        <v>456</v>
      </c>
    </row>
    <row r="14" customFormat="false" ht="14.25" hidden="false" customHeight="false" outlineLevel="0" collapsed="false">
      <c r="A14" s="16" t="s">
        <v>457</v>
      </c>
      <c r="B14" s="16" t="s">
        <v>449</v>
      </c>
      <c r="C14" s="16" t="s">
        <v>450</v>
      </c>
      <c r="D14" s="16" t="s">
        <v>451</v>
      </c>
    </row>
    <row r="16" customFormat="false" ht="14.25" hidden="false" customHeight="false" outlineLevel="0" collapsed="false">
      <c r="A16" s="0" t="s">
        <v>458</v>
      </c>
      <c r="B16" s="0" t="s">
        <v>459</v>
      </c>
      <c r="C16" s="22" t="n">
        <f aca="false">Resumen!$B$5</f>
        <v>-24259406.001522</v>
      </c>
      <c r="D16" s="0" t="s">
        <v>459</v>
      </c>
    </row>
    <row r="17" customFormat="false" ht="14.25" hidden="false" customHeight="false" outlineLevel="0" collapsed="false">
      <c r="A17" s="0" t="s">
        <v>460</v>
      </c>
      <c r="B17" s="0" t="s">
        <v>459</v>
      </c>
      <c r="C17" s="11" t="n">
        <f aca="false">Resumen!$B$7</f>
        <v>-0.0252977480872344</v>
      </c>
      <c r="D17" s="0" t="s">
        <v>459</v>
      </c>
    </row>
    <row r="18" customFormat="false" ht="14.25" hidden="false" customHeight="false" outlineLevel="0" collapsed="false">
      <c r="A18" s="0" t="s">
        <v>461</v>
      </c>
      <c r="B18" s="0" t="s">
        <v>459</v>
      </c>
      <c r="C18" s="26" t="str">
        <f aca="false">Resumen!$B$8</f>
        <v>-</v>
      </c>
      <c r="D18" s="0" t="s">
        <v>459</v>
      </c>
    </row>
    <row r="20" customFormat="false" ht="14.25" hidden="false" customHeight="false" outlineLevel="0" collapsed="false">
      <c r="A20" s="28" t="s">
        <v>462</v>
      </c>
    </row>
    <row r="21" customFormat="false" ht="14.25" hidden="false" customHeight="false" outlineLevel="0" collapsed="false">
      <c r="A21" s="28" t="s">
        <v>463</v>
      </c>
    </row>
    <row r="22" customFormat="false" ht="14.25" hidden="false" customHeight="false" outlineLevel="0" collapsed="false">
      <c r="A22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</cols>
  <sheetData>
    <row r="1" customFormat="false" ht="18" hidden="false" customHeight="true" outlineLevel="0" collapsed="false">
      <c r="A1" s="13" t="s">
        <v>464</v>
      </c>
    </row>
    <row r="3" customFormat="false" ht="15" hidden="false" customHeight="true" outlineLevel="0" collapsed="false">
      <c r="A3" s="6" t="s">
        <v>465</v>
      </c>
    </row>
    <row r="5" customFormat="false" ht="14.25" hidden="false" customHeight="false" outlineLevel="0" collapsed="false">
      <c r="A5" s="20" t="s">
        <v>466</v>
      </c>
    </row>
    <row r="7" customFormat="false" ht="14.25" hidden="false" customHeight="false" outlineLevel="0" collapsed="false">
      <c r="A7" s="0" t="s">
        <v>467</v>
      </c>
      <c r="B7" s="22" t="n">
        <f aca="false">Resumen!$B$5</f>
        <v>-24259406.001522</v>
      </c>
    </row>
    <row r="8" customFormat="false" ht="14.25" hidden="false" customHeight="false" outlineLevel="0" collapsed="false">
      <c r="A8" s="0" t="s">
        <v>468</v>
      </c>
      <c r="B8" s="18" t="n">
        <f aca="false">Supuestos!$B$4+Supuestos!$B$5+Supuestos!$B$6</f>
        <v>57500000</v>
      </c>
    </row>
    <row r="9" customFormat="false" ht="14.25" hidden="false" customHeight="false" outlineLevel="0" collapsed="false">
      <c r="A9" s="0" t="s">
        <v>469</v>
      </c>
      <c r="B9" s="18" t="n">
        <f aca="false">B7+B8</f>
        <v>33240593.998478</v>
      </c>
    </row>
    <row r="11" customFormat="false" ht="14.25" hidden="false" customHeight="false" outlineLevel="0" collapsed="false">
      <c r="A11" s="20" t="s">
        <v>470</v>
      </c>
    </row>
    <row r="13" customFormat="false" ht="14.25" hidden="false" customHeight="false" outlineLevel="0" collapsed="false">
      <c r="A13" s="0" t="s">
        <v>471</v>
      </c>
      <c r="B13" s="18" t="n">
        <f aca="false">SUM('Estado de Resultados'!B9:BI9)/5</f>
        <v>10237755.999384</v>
      </c>
    </row>
    <row r="14" customFormat="false" ht="14.25" hidden="false" customHeight="false" outlineLevel="0" collapsed="false">
      <c r="A14" s="0" t="s">
        <v>472</v>
      </c>
      <c r="B14" s="29" t="n">
        <v>8</v>
      </c>
    </row>
    <row r="15" customFormat="false" ht="14.25" hidden="false" customHeight="false" outlineLevel="0" collapsed="false">
      <c r="A15" s="0" t="s">
        <v>473</v>
      </c>
      <c r="B15" s="18" t="n">
        <f aca="false">B13*B14</f>
        <v>81902047.9950721</v>
      </c>
    </row>
    <row r="17" customFormat="false" ht="14.25" hidden="false" customHeight="false" outlineLevel="0" collapsed="false">
      <c r="A17" s="20" t="s">
        <v>474</v>
      </c>
    </row>
    <row r="19" customFormat="false" ht="14.25" hidden="false" customHeight="false" outlineLevel="0" collapsed="false">
      <c r="A19" s="0" t="s">
        <v>475</v>
      </c>
      <c r="B19" s="18" t="n">
        <f aca="false">Supuestos!$B$4-SUM(Costos!B16:BI16)+Supuestos!$B$5</f>
        <v>32000000</v>
      </c>
    </row>
    <row r="20" customFormat="false" ht="14.25" hidden="false" customHeight="false" outlineLevel="0" collapsed="false">
      <c r="A20" s="0" t="s">
        <v>476</v>
      </c>
      <c r="B20" s="10" t="n">
        <f aca="false">Financiamiento!BI7</f>
        <v>5.67524693906307E-009</v>
      </c>
    </row>
    <row r="21" customFormat="false" ht="14.25" hidden="false" customHeight="false" outlineLevel="0" collapsed="false">
      <c r="A21" s="0" t="s">
        <v>477</v>
      </c>
      <c r="B21" s="18" t="n">
        <f aca="false">B19-B20</f>
        <v>32000000</v>
      </c>
    </row>
    <row r="24" customFormat="false" ht="15" hidden="false" customHeight="true" outlineLevel="0" collapsed="false">
      <c r="A24" s="6" t="s">
        <v>478</v>
      </c>
    </row>
    <row r="26" customFormat="false" ht="14.25" hidden="false" customHeight="false" outlineLevel="0" collapsed="false">
      <c r="A26" s="0" t="s">
        <v>479</v>
      </c>
      <c r="B26" s="18" t="n">
        <f aca="false">B9</f>
        <v>33240593.998478</v>
      </c>
    </row>
    <row r="27" customFormat="false" ht="14.25" hidden="false" customHeight="false" outlineLevel="0" collapsed="false">
      <c r="A27" s="0" t="s">
        <v>480</v>
      </c>
      <c r="B27" s="18" t="n">
        <f aca="false">B15</f>
        <v>81902047.9950721</v>
      </c>
    </row>
    <row r="28" customFormat="false" ht="14.25" hidden="false" customHeight="false" outlineLevel="0" collapsed="false">
      <c r="A28" s="0" t="s">
        <v>481</v>
      </c>
      <c r="B28" s="18" t="n">
        <f aca="false">B21</f>
        <v>32000000</v>
      </c>
    </row>
    <row r="30" customFormat="false" ht="14.25" hidden="false" customHeight="false" outlineLevel="0" collapsed="false">
      <c r="A30" s="0" t="s">
        <v>482</v>
      </c>
      <c r="B30" s="30" t="n">
        <f aca="false">AVERAGE(B26:B28)</f>
        <v>49047547.3311833</v>
      </c>
    </row>
    <row r="33" customFormat="false" ht="15" hidden="false" customHeight="true" outlineLevel="0" collapsed="false">
      <c r="A33" s="6" t="s">
        <v>483</v>
      </c>
    </row>
    <row r="35" customFormat="false" ht="14.25" hidden="false" customHeight="false" outlineLevel="0" collapsed="false">
      <c r="A35" s="0" t="s">
        <v>484</v>
      </c>
      <c r="B35" s="9" t="n">
        <v>0.2</v>
      </c>
    </row>
    <row r="36" customFormat="false" ht="14.25" hidden="false" customHeight="false" outlineLevel="0" collapsed="false">
      <c r="A36" s="0" t="s">
        <v>485</v>
      </c>
      <c r="B36" s="18" t="n">
        <f aca="false">B30*(1+B35)</f>
        <v>58857056.79742</v>
      </c>
    </row>
    <row r="38" customFormat="false" ht="14.25" hidden="false" customHeight="false" outlineLevel="0" collapsed="false">
      <c r="A38" s="0" t="s">
        <v>486</v>
      </c>
      <c r="B38" s="31" t="n">
        <v>50000</v>
      </c>
    </row>
    <row r="39" customFormat="false" ht="14.25" hidden="false" customHeight="false" outlineLevel="0" collapsed="false">
      <c r="A39" s="0" t="s">
        <v>487</v>
      </c>
      <c r="B39" s="18" t="n">
        <f aca="false">B38/'Panel de Control'!$B$14</f>
        <v>416666.666666667</v>
      </c>
    </row>
    <row r="41" customFormat="false" ht="14.25" hidden="false" customHeight="false" outlineLevel="0" collapsed="false">
      <c r="A41" s="14" t="s">
        <v>488</v>
      </c>
      <c r="B41" s="30" t="n">
        <f aca="false">B36+B39</f>
        <v>59273723.4640867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</cols>
  <sheetData>
    <row r="1" customFormat="false" ht="18" hidden="false" customHeight="true" outlineLevel="0" collapsed="false">
      <c r="A1" s="13" t="s">
        <v>489</v>
      </c>
    </row>
    <row r="3" customFormat="false" ht="14.25" hidden="false" customHeight="false" outlineLevel="0" collapsed="false">
      <c r="A3" s="14" t="s">
        <v>490</v>
      </c>
    </row>
    <row r="5" customFormat="false" ht="14.25" hidden="false" customHeight="false" outlineLevel="0" collapsed="false">
      <c r="A5" s="0" t="s">
        <v>491</v>
      </c>
      <c r="B5" s="22" t="n">
        <f aca="false">Supuestos!$B$5</f>
        <v>7000000</v>
      </c>
    </row>
    <row r="7" customFormat="false" ht="14.25" hidden="false" customHeight="false" outlineLevel="0" collapsed="false">
      <c r="A7" s="14" t="s">
        <v>492</v>
      </c>
    </row>
    <row r="9" customFormat="false" ht="14.25" hidden="false" customHeight="false" outlineLevel="0" collapsed="false">
      <c r="A9" s="0" t="s">
        <v>493</v>
      </c>
      <c r="B9" s="23" t="n">
        <f aca="false">SUM('Estado de Resultados'!B15:M15)/(Supuestos!$B$4+Supuestos!$B$5)</f>
        <v>-0.125720450638038</v>
      </c>
    </row>
    <row r="10" customFormat="false" ht="14.25" hidden="false" customHeight="false" outlineLevel="0" collapsed="false">
      <c r="A10" s="0" t="s">
        <v>494</v>
      </c>
      <c r="B10" s="23" t="n">
        <f aca="false">SUM('Estado de Resultados'!B15:M15)/(Supuestos!$B$4+Supuestos!$B$5+Supuestos!$B$6-Supuestos!$B$27)</f>
        <v>-0.133945153016228</v>
      </c>
    </row>
    <row r="12" customFormat="false" ht="14.25" hidden="false" customHeight="false" outlineLevel="0" collapsed="false">
      <c r="A12" s="14" t="s">
        <v>495</v>
      </c>
    </row>
    <row r="14" customFormat="false" ht="14.25" hidden="false" customHeight="false" outlineLevel="0" collapsed="false">
      <c r="A14" s="0" t="s">
        <v>496</v>
      </c>
      <c r="B14" s="32" t="n">
        <f aca="false">Supuestos!$B$27/(Supuestos!$B$4+Supuestos!$B$5+Supuestos!$B$6-Supuestos!$B$27)</f>
        <v>0.0747663551401869</v>
      </c>
    </row>
    <row r="15" customFormat="false" ht="14.25" hidden="false" customHeight="false" outlineLevel="0" collapsed="false">
      <c r="A15" s="0" t="s">
        <v>497</v>
      </c>
      <c r="B15" s="32" t="n">
        <f aca="false">IFERROR('Estado de Resultados'!M11/Financiamiento!M6,"-")</f>
        <v>-29.3081969392514</v>
      </c>
    </row>
    <row r="17" customFormat="false" ht="14.25" hidden="false" customHeight="false" outlineLevel="0" collapsed="false">
      <c r="A17" s="14" t="s">
        <v>498</v>
      </c>
    </row>
    <row r="19" customFormat="false" ht="14.25" hidden="false" customHeight="false" outlineLevel="0" collapsed="false">
      <c r="A19" s="0" t="s">
        <v>499</v>
      </c>
      <c r="B19" s="32" t="n">
        <f aca="false">SUM('Estado de Resultados'!B4:M4)/(Supuestos!$B$4+Supuestos!$B$5)</f>
        <v>2.25263157894737</v>
      </c>
    </row>
    <row r="20" customFormat="false" ht="14.25" hidden="false" customHeight="false" outlineLevel="0" collapsed="false">
      <c r="A20" s="0" t="s">
        <v>500</v>
      </c>
      <c r="B20" s="18" t="n">
        <f aca="false">(Supuestos!$B$5/SUM('Estado de Resultados'!B4:M4))*365</f>
        <v>19.898753894081</v>
      </c>
    </row>
    <row r="22" customFormat="false" ht="14.25" hidden="false" customHeight="false" outlineLevel="0" collapsed="false">
      <c r="A22" s="14" t="s">
        <v>501</v>
      </c>
    </row>
    <row r="24" customFormat="false" ht="14.25" hidden="false" customHeight="false" outlineLevel="0" collapsed="false">
      <c r="A24" s="0" t="s">
        <v>502</v>
      </c>
      <c r="B24" s="22" t="n">
        <f aca="false">SUM(Supuestos!$B$16:$B$20)</f>
        <v>6900000</v>
      </c>
    </row>
    <row r="25" customFormat="false" ht="14.25" hidden="false" customHeight="false" outlineLevel="0" collapsed="false">
      <c r="A25" s="0" t="s">
        <v>503</v>
      </c>
      <c r="B25" s="23" t="n">
        <f aca="false">1-Supuestos!$B$13</f>
        <v>0.63</v>
      </c>
    </row>
    <row r="26" customFormat="false" ht="14.25" hidden="false" customHeight="false" outlineLevel="0" collapsed="false">
      <c r="A26" s="0" t="s">
        <v>504</v>
      </c>
      <c r="B26" s="18" t="n">
        <f aca="false">B24/B25</f>
        <v>10952380.952381</v>
      </c>
    </row>
    <row r="27" customFormat="false" ht="14.25" hidden="false" customHeight="false" outlineLevel="0" collapsed="false">
      <c r="A27" s="0" t="s">
        <v>505</v>
      </c>
      <c r="B27" s="23" t="n">
        <f aca="false">(Ingresos!B6-B26)/Ingresos!B6</f>
        <v>-0.023587004895416</v>
      </c>
    </row>
    <row r="29" customFormat="false" ht="14.25" hidden="false" customHeight="false" outlineLevel="0" collapsed="false">
      <c r="A29" s="14" t="s">
        <v>506</v>
      </c>
    </row>
    <row r="31" customFormat="false" ht="14.25" hidden="false" customHeight="false" outlineLevel="0" collapsed="false">
      <c r="A31" s="0" t="s">
        <v>507</v>
      </c>
      <c r="B31" s="23" t="n">
        <f aca="false">(Ingresos!M6/Ingresos!B6)^(1/11)-1</f>
        <v>0</v>
      </c>
    </row>
    <row r="32" customFormat="false" ht="14.25" hidden="false" customHeight="false" outlineLevel="0" collapsed="false">
      <c r="A32" s="0" t="s">
        <v>508</v>
      </c>
      <c r="B32" s="23" t="n">
        <f aca="false">(Ingresos!BI6/Ingresos!B6)^(1/4.9167)-1</f>
        <v>0.0565870517154334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8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33" t="s">
        <v>509</v>
      </c>
    </row>
    <row r="2" customFormat="false" ht="15" hidden="false" customHeight="false" outlineLevel="0" collapsed="false">
      <c r="A2" s="34" t="s">
        <v>510</v>
      </c>
    </row>
    <row r="4" customFormat="false" ht="15" hidden="false" customHeight="false" outlineLevel="0" collapsed="false">
      <c r="A4" s="35" t="s">
        <v>511</v>
      </c>
      <c r="B4" s="35" t="s">
        <v>512</v>
      </c>
      <c r="C4" s="35" t="s">
        <v>513</v>
      </c>
      <c r="D4" s="35"/>
    </row>
    <row r="5" customFormat="false" ht="15" hidden="false" customHeight="false" outlineLevel="0" collapsed="false">
      <c r="A5" s="0" t="s">
        <v>514</v>
      </c>
      <c r="B5" s="36"/>
      <c r="C5" s="36"/>
      <c r="D5" s="37" t="s">
        <v>515</v>
      </c>
    </row>
    <row r="6" customFormat="false" ht="15" hidden="false" customHeight="false" outlineLevel="0" collapsed="false">
      <c r="A6" s="0" t="s">
        <v>516</v>
      </c>
      <c r="B6" s="36"/>
      <c r="C6" s="36"/>
      <c r="D6" s="37" t="s">
        <v>517</v>
      </c>
    </row>
    <row r="7" customFormat="false" ht="15" hidden="false" customHeight="false" outlineLevel="0" collapsed="false">
      <c r="A7" s="0" t="s">
        <v>518</v>
      </c>
      <c r="B7" s="36"/>
      <c r="C7" s="36"/>
      <c r="D7" s="37" t="s">
        <v>519</v>
      </c>
    </row>
    <row r="8" customFormat="false" ht="15" hidden="false" customHeight="false" outlineLevel="0" collapsed="false">
      <c r="A8" s="0" t="s">
        <v>520</v>
      </c>
      <c r="B8" s="36"/>
      <c r="C8" s="36"/>
      <c r="D8" s="37" t="s">
        <v>521</v>
      </c>
    </row>
    <row r="9" customFormat="false" ht="15" hidden="false" customHeight="false" outlineLevel="0" collapsed="false">
      <c r="A9" s="0" t="s">
        <v>522</v>
      </c>
      <c r="B9" s="36"/>
      <c r="C9" s="36"/>
      <c r="D9" s="37" t="s">
        <v>523</v>
      </c>
    </row>
    <row r="10" customFormat="false" ht="15" hidden="false" customHeight="false" outlineLevel="0" collapsed="false">
      <c r="A10" s="0" t="s">
        <v>524</v>
      </c>
      <c r="B10" s="36"/>
      <c r="C10" s="36"/>
      <c r="D10" s="37" t="s">
        <v>525</v>
      </c>
    </row>
    <row r="11" customFormat="false" ht="15" hidden="false" customHeight="false" outlineLevel="0" collapsed="false">
      <c r="A11" s="0" t="s">
        <v>526</v>
      </c>
      <c r="B11" s="36"/>
      <c r="C11" s="36"/>
      <c r="D11" s="37" t="s">
        <v>527</v>
      </c>
    </row>
    <row r="12" customFormat="false" ht="15" hidden="false" customHeight="false" outlineLevel="0" collapsed="false">
      <c r="A12" s="0" t="s">
        <v>528</v>
      </c>
      <c r="B12" s="36"/>
      <c r="C12" s="36"/>
      <c r="D12" s="37" t="s">
        <v>527</v>
      </c>
    </row>
    <row r="15" customFormat="false" ht="15" hidden="false" customHeight="false" outlineLevel="0" collapsed="false">
      <c r="A15" s="35" t="s">
        <v>529</v>
      </c>
      <c r="B15" s="35"/>
      <c r="C15" s="35"/>
      <c r="D15" s="35"/>
    </row>
    <row r="16" customFormat="false" ht="15" hidden="false" customHeight="false" outlineLevel="0" collapsed="false">
      <c r="A16" s="0" t="s">
        <v>530</v>
      </c>
      <c r="B16" s="31"/>
      <c r="D16" s="37" t="s">
        <v>531</v>
      </c>
    </row>
    <row r="17" customFormat="false" ht="15" hidden="false" customHeight="false" outlineLevel="0" collapsed="false">
      <c r="A17" s="0" t="s">
        <v>532</v>
      </c>
      <c r="B17" s="31"/>
      <c r="D17" s="37" t="s">
        <v>533</v>
      </c>
    </row>
    <row r="18" customFormat="false" ht="15" hidden="false" customHeight="false" outlineLevel="0" collapsed="false">
      <c r="A18" s="0" t="s">
        <v>534</v>
      </c>
      <c r="B18" s="31"/>
      <c r="D18" s="37" t="s">
        <v>535</v>
      </c>
    </row>
    <row r="19" customFormat="false" ht="15" hidden="false" customHeight="false" outlineLevel="0" collapsed="false">
      <c r="A19" s="0" t="s">
        <v>536</v>
      </c>
      <c r="B19" s="9"/>
      <c r="D19" s="37" t="s">
        <v>537</v>
      </c>
    </row>
    <row r="20" customFormat="false" ht="15" hidden="false" customHeight="false" outlineLevel="0" collapsed="false">
      <c r="A20" s="0" t="s">
        <v>538</v>
      </c>
      <c r="B20" s="38"/>
      <c r="D20" s="37" t="s">
        <v>539</v>
      </c>
    </row>
    <row r="21" customFormat="false" ht="15" hidden="false" customHeight="false" outlineLevel="0" collapsed="false">
      <c r="A21" s="0" t="s">
        <v>540</v>
      </c>
      <c r="B21" s="9"/>
      <c r="D21" s="37" t="s">
        <v>541</v>
      </c>
    </row>
    <row r="22" customFormat="false" ht="15" hidden="false" customHeight="false" outlineLevel="0" collapsed="false">
      <c r="A22" s="0" t="s">
        <v>542</v>
      </c>
      <c r="B22" s="9"/>
      <c r="D22" s="37" t="s">
        <v>543</v>
      </c>
    </row>
    <row r="23" customFormat="false" ht="15" hidden="false" customHeight="false" outlineLevel="0" collapsed="false">
      <c r="A23" s="0" t="s">
        <v>544</v>
      </c>
      <c r="B23" s="9"/>
      <c r="D23" s="37" t="s">
        <v>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3" min="2" style="0" width="13"/>
  </cols>
  <sheetData>
    <row r="1" customFormat="false" ht="17.35" hidden="false" customHeight="false" outlineLevel="0" collapsed="false">
      <c r="A1" s="33" t="s">
        <v>546</v>
      </c>
    </row>
    <row r="2" customFormat="false" ht="15" hidden="false" customHeight="false" outlineLevel="0" collapsed="false">
      <c r="A2" s="34" t="s">
        <v>547</v>
      </c>
    </row>
    <row r="3" customFormat="false" ht="15" hidden="false" customHeight="false" outlineLevel="0" collapsed="false">
      <c r="A3" s="35" t="s">
        <v>78</v>
      </c>
      <c r="B3" s="39" t="s">
        <v>548</v>
      </c>
      <c r="C3" s="39" t="s">
        <v>549</v>
      </c>
      <c r="D3" s="39" t="s">
        <v>550</v>
      </c>
      <c r="E3" s="39" t="s">
        <v>551</v>
      </c>
      <c r="F3" s="39" t="s">
        <v>552</v>
      </c>
      <c r="G3" s="39" t="s">
        <v>553</v>
      </c>
      <c r="H3" s="39" t="s">
        <v>554</v>
      </c>
      <c r="I3" s="39" t="s">
        <v>555</v>
      </c>
      <c r="J3" s="39" t="s">
        <v>556</v>
      </c>
      <c r="K3" s="39" t="s">
        <v>557</v>
      </c>
      <c r="L3" s="39" t="s">
        <v>558</v>
      </c>
      <c r="M3" s="39" t="s">
        <v>559</v>
      </c>
    </row>
    <row r="4" customFormat="false" ht="15" hidden="false" customHeight="false" outlineLevel="0" collapsed="false">
      <c r="A4" s="0" t="s">
        <v>560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customFormat="false" ht="15" hidden="false" customHeight="false" outlineLevel="0" collapsed="false">
      <c r="A5" s="0" t="s">
        <v>561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customFormat="false" ht="15" hidden="false" customHeight="false" outlineLevel="0" collapsed="false">
      <c r="A6" s="0" t="s">
        <v>562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</row>
    <row r="7" customFormat="false" ht="15" hidden="false" customHeight="false" outlineLevel="0" collapsed="false">
      <c r="A7" s="0" t="s">
        <v>563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</row>
    <row r="8" customFormat="false" ht="15" hidden="false" customHeight="false" outlineLevel="0" collapsed="false">
      <c r="A8" s="40" t="s">
        <v>564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</row>
    <row r="9" customFormat="false" ht="15" hidden="false" customHeight="false" outlineLevel="0" collapsed="false">
      <c r="A9" s="0" t="s">
        <v>565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</row>
    <row r="10" customFormat="false" ht="15" hidden="false" customHeight="false" outlineLevel="0" collapsed="false">
      <c r="A10" s="40" t="s">
        <v>566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</row>
    <row r="11" customFormat="false" ht="15" hidden="false" customHeight="false" outlineLevel="0" collapsed="false">
      <c r="A11" s="0" t="s">
        <v>567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</row>
    <row r="12" customFormat="false" ht="15" hidden="false" customHeight="false" outlineLevel="0" collapsed="false">
      <c r="A12" s="0" t="s">
        <v>568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</row>
    <row r="13" customFormat="false" ht="15" hidden="false" customHeight="false" outlineLevel="0" collapsed="false">
      <c r="A13" s="0" t="s">
        <v>569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</row>
    <row r="14" customFormat="false" ht="15" hidden="false" customHeight="false" outlineLevel="0" collapsed="false">
      <c r="A14" s="0" t="s">
        <v>570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</row>
    <row r="15" customFormat="false" ht="15" hidden="false" customHeight="false" outlineLevel="0" collapsed="false">
      <c r="A15" s="0" t="s">
        <v>571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</row>
    <row r="16" customFormat="false" ht="15" hidden="false" customHeight="false" outlineLevel="0" collapsed="false">
      <c r="A16" s="40" t="s">
        <v>572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</row>
    <row r="17" customFormat="false" ht="15" hidden="false" customHeight="false" outlineLevel="0" collapsed="false">
      <c r="A17" s="40" t="s">
        <v>573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</row>
    <row r="18" customFormat="false" ht="15" hidden="false" customHeight="false" outlineLevel="0" collapsed="false">
      <c r="A18" s="0" t="s">
        <v>574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</row>
    <row r="19" customFormat="false" ht="15" hidden="false" customHeight="false" outlineLevel="0" collapsed="false">
      <c r="A19" s="0" t="s">
        <v>575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</row>
    <row r="21" customFormat="false" ht="15" hidden="false" customHeight="false" outlineLevel="0" collapsed="false">
      <c r="A21" s="37" t="s">
        <v>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33" t="s">
        <v>577</v>
      </c>
    </row>
    <row r="2" customFormat="false" ht="15" hidden="false" customHeight="false" outlineLevel="0" collapsed="false">
      <c r="A2" s="34" t="s">
        <v>578</v>
      </c>
    </row>
    <row r="4" customFormat="false" ht="15" hidden="false" customHeight="false" outlineLevel="0" collapsed="false">
      <c r="A4" s="35" t="s">
        <v>579</v>
      </c>
      <c r="B4" s="42"/>
      <c r="C4" s="42"/>
    </row>
    <row r="5" customFormat="false" ht="15" hidden="false" customHeight="false" outlineLevel="0" collapsed="false">
      <c r="A5" s="0" t="s">
        <v>580</v>
      </c>
      <c r="B5" s="38"/>
      <c r="C5" s="37" t="s">
        <v>581</v>
      </c>
    </row>
    <row r="6" customFormat="false" ht="15" hidden="false" customHeight="false" outlineLevel="0" collapsed="false">
      <c r="A6" s="0" t="s">
        <v>582</v>
      </c>
      <c r="B6" s="9"/>
      <c r="C6" s="37" t="s">
        <v>583</v>
      </c>
    </row>
    <row r="7" customFormat="false" ht="15" hidden="false" customHeight="false" outlineLevel="0" collapsed="false">
      <c r="A7" s="0" t="s">
        <v>584</v>
      </c>
      <c r="B7" s="9"/>
      <c r="C7" s="37" t="s">
        <v>585</v>
      </c>
    </row>
    <row r="8" customFormat="false" ht="15" hidden="false" customHeight="false" outlineLevel="0" collapsed="false">
      <c r="A8" s="0" t="s">
        <v>586</v>
      </c>
      <c r="B8" s="9"/>
      <c r="C8" s="37" t="s">
        <v>587</v>
      </c>
    </row>
    <row r="9" customFormat="false" ht="15" hidden="false" customHeight="false" outlineLevel="0" collapsed="false">
      <c r="A9" s="0" t="s">
        <v>588</v>
      </c>
      <c r="B9" s="9"/>
      <c r="C9" s="37" t="s">
        <v>589</v>
      </c>
    </row>
    <row r="10" customFormat="false" ht="15" hidden="false" customHeight="false" outlineLevel="0" collapsed="false">
      <c r="A10" s="0" t="s">
        <v>590</v>
      </c>
      <c r="B10" s="9"/>
      <c r="C10" s="37" t="s">
        <v>591</v>
      </c>
    </row>
    <row r="11" customFormat="false" ht="15" hidden="false" customHeight="false" outlineLevel="0" collapsed="false">
      <c r="A11" s="0" t="s">
        <v>544</v>
      </c>
      <c r="B11" s="9"/>
      <c r="C11" s="37" t="s">
        <v>592</v>
      </c>
    </row>
    <row r="12" customFormat="false" ht="15" hidden="false" customHeight="false" outlineLevel="0" collapsed="false">
      <c r="A12" s="0" t="s">
        <v>593</v>
      </c>
      <c r="B12" s="31"/>
      <c r="C12" s="37" t="s">
        <v>594</v>
      </c>
    </row>
    <row r="14" customFormat="false" ht="15" hidden="false" customHeight="false" outlineLevel="0" collapsed="false">
      <c r="A14" s="35" t="s">
        <v>595</v>
      </c>
      <c r="B14" s="42"/>
      <c r="C14" s="42"/>
    </row>
    <row r="15" customFormat="false" ht="15" hidden="false" customHeight="false" outlineLevel="0" collapsed="false">
      <c r="A15" s="0" t="s">
        <v>596</v>
      </c>
      <c r="B15" s="9"/>
      <c r="C15" s="37" t="s">
        <v>597</v>
      </c>
    </row>
    <row r="16" customFormat="false" ht="15" hidden="false" customHeight="false" outlineLevel="0" collapsed="false">
      <c r="A16" s="0" t="s">
        <v>598</v>
      </c>
      <c r="B16" s="9"/>
      <c r="C16" s="37" t="s">
        <v>599</v>
      </c>
    </row>
    <row r="17" customFormat="false" ht="15" hidden="false" customHeight="false" outlineLevel="0" collapsed="false">
      <c r="A17" s="0" t="s">
        <v>600</v>
      </c>
      <c r="B17" s="43"/>
      <c r="C17" s="37" t="s">
        <v>601</v>
      </c>
    </row>
    <row r="18" customFormat="false" ht="15" hidden="false" customHeight="false" outlineLevel="0" collapsed="false">
      <c r="A18" s="0" t="s">
        <v>602</v>
      </c>
      <c r="B18" s="9"/>
      <c r="C18" s="37" t="s">
        <v>603</v>
      </c>
    </row>
    <row r="19" customFormat="false" ht="15" hidden="false" customHeight="false" outlineLevel="0" collapsed="false">
      <c r="A19" s="0" t="s">
        <v>604</v>
      </c>
      <c r="B19" s="9"/>
      <c r="C19" s="37" t="s">
        <v>605</v>
      </c>
    </row>
    <row r="20" customFormat="false" ht="15" hidden="false" customHeight="false" outlineLevel="0" collapsed="false">
      <c r="A20" s="0" t="s">
        <v>606</v>
      </c>
      <c r="B20" s="9"/>
      <c r="C20" s="37" t="s">
        <v>607</v>
      </c>
    </row>
    <row r="21" customFormat="false" ht="15" hidden="false" customHeight="false" outlineLevel="0" collapsed="false">
      <c r="A21" s="0" t="s">
        <v>608</v>
      </c>
      <c r="B21" s="9"/>
      <c r="C21" s="37" t="s">
        <v>609</v>
      </c>
    </row>
    <row r="22" customFormat="false" ht="15" hidden="false" customHeight="false" outlineLevel="0" collapsed="false">
      <c r="A22" s="0" t="s">
        <v>610</v>
      </c>
      <c r="B22" s="9"/>
      <c r="C22" s="37" t="s">
        <v>611</v>
      </c>
    </row>
    <row r="24" customFormat="false" ht="15" hidden="false" customHeight="false" outlineLevel="0" collapsed="false">
      <c r="A24" s="35" t="s">
        <v>612</v>
      </c>
      <c r="B24" s="42"/>
      <c r="C24" s="42"/>
    </row>
    <row r="25" customFormat="false" ht="15" hidden="false" customHeight="false" outlineLevel="0" collapsed="false">
      <c r="A25" s="0" t="s">
        <v>613</v>
      </c>
      <c r="B25" s="44"/>
      <c r="C25" s="37" t="s">
        <v>614</v>
      </c>
    </row>
    <row r="26" customFormat="false" ht="15" hidden="false" customHeight="false" outlineLevel="0" collapsed="false">
      <c r="A26" s="0" t="s">
        <v>615</v>
      </c>
      <c r="B26" s="38"/>
      <c r="C26" s="37" t="s">
        <v>616</v>
      </c>
    </row>
    <row r="27" customFormat="false" ht="15" hidden="false" customHeight="false" outlineLevel="0" collapsed="false">
      <c r="A27" s="0" t="s">
        <v>617</v>
      </c>
      <c r="B27" s="38"/>
      <c r="C27" s="37" t="s">
        <v>618</v>
      </c>
    </row>
    <row r="28" customFormat="false" ht="15" hidden="false" customHeight="false" outlineLevel="0" collapsed="false">
      <c r="A28" s="0" t="s">
        <v>619</v>
      </c>
      <c r="B28" s="38"/>
      <c r="C28" s="37" t="s">
        <v>620</v>
      </c>
    </row>
    <row r="29" customFormat="false" ht="15" hidden="false" customHeight="false" outlineLevel="0" collapsed="false">
      <c r="A29" s="0" t="s">
        <v>621</v>
      </c>
      <c r="B29" s="31"/>
      <c r="C29" s="37" t="s">
        <v>622</v>
      </c>
    </row>
    <row r="30" customFormat="false" ht="15" hidden="false" customHeight="false" outlineLevel="0" collapsed="false">
      <c r="A30" s="0" t="s">
        <v>623</v>
      </c>
      <c r="B30" s="38"/>
      <c r="C30" s="37" t="s">
        <v>624</v>
      </c>
    </row>
    <row r="31" customFormat="false" ht="15" hidden="false" customHeight="false" outlineLevel="0" collapsed="false">
      <c r="A31" s="0" t="s">
        <v>625</v>
      </c>
      <c r="B31" s="9"/>
      <c r="C31" s="37" t="s">
        <v>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9B3C"/>
    <pageSetUpPr fitToPage="false"/>
  </sheetPr>
  <dimension ref="A1:N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</cols>
  <sheetData>
    <row r="1" customFormat="false" ht="17.25" hidden="false" customHeight="true" outlineLevel="0" collapsed="false">
      <c r="A1" s="45" t="s">
        <v>627</v>
      </c>
    </row>
    <row r="2" customFormat="false" ht="15" hidden="false" customHeight="true" outlineLevel="0" collapsed="false">
      <c r="A2" s="46" t="s">
        <v>628</v>
      </c>
    </row>
    <row r="3" customFormat="false" ht="15" hidden="false" customHeight="true" outlineLevel="0" collapsed="false">
      <c r="A3" s="47" t="s">
        <v>629</v>
      </c>
    </row>
    <row r="5" customFormat="false" ht="15" hidden="false" customHeight="true" outlineLevel="0" collapsed="false">
      <c r="A5" s="48" t="s">
        <v>78</v>
      </c>
      <c r="B5" s="49" t="s">
        <v>630</v>
      </c>
      <c r="C5" s="49" t="s">
        <v>631</v>
      </c>
      <c r="D5" s="49" t="s">
        <v>632</v>
      </c>
      <c r="E5" s="49" t="s">
        <v>633</v>
      </c>
      <c r="F5" s="49" t="s">
        <v>634</v>
      </c>
      <c r="G5" s="49" t="s">
        <v>635</v>
      </c>
      <c r="H5" s="49" t="s">
        <v>636</v>
      </c>
      <c r="I5" s="49" t="s">
        <v>637</v>
      </c>
      <c r="J5" s="49" t="s">
        <v>638</v>
      </c>
      <c r="K5" s="49" t="s">
        <v>639</v>
      </c>
      <c r="L5" s="49" t="s">
        <v>640</v>
      </c>
      <c r="M5" s="49" t="s">
        <v>641</v>
      </c>
      <c r="N5" s="49" t="s">
        <v>642</v>
      </c>
    </row>
    <row r="6" customFormat="false" ht="15" hidden="false" customHeight="true" outlineLevel="0" collapsed="false">
      <c r="A6" s="50" t="s">
        <v>643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customFormat="false" ht="15" hidden="false" customHeight="true" outlineLevel="0" collapsed="false">
      <c r="A7" s="51" t="s">
        <v>644</v>
      </c>
      <c r="B7" s="52" t="n">
        <v>0</v>
      </c>
      <c r="C7" s="52" t="n">
        <v>0</v>
      </c>
      <c r="D7" s="52" t="n">
        <v>0</v>
      </c>
      <c r="E7" s="52" t="n">
        <v>0</v>
      </c>
      <c r="F7" s="52" t="n">
        <v>0</v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</row>
    <row r="8" customFormat="false" ht="15" hidden="false" customHeight="true" outlineLevel="0" collapsed="false">
      <c r="A8" s="51" t="s">
        <v>645</v>
      </c>
      <c r="B8" s="52" t="n">
        <v>0</v>
      </c>
      <c r="C8" s="52" t="n">
        <v>0</v>
      </c>
      <c r="D8" s="52" t="n">
        <v>0</v>
      </c>
      <c r="E8" s="52" t="n">
        <v>0</v>
      </c>
      <c r="F8" s="52" t="n">
        <v>0</v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</row>
    <row r="9" customFormat="false" ht="15" hidden="false" customHeight="true" outlineLevel="0" collapsed="false">
      <c r="A9" s="51" t="s">
        <v>646</v>
      </c>
      <c r="B9" s="52" t="n">
        <v>0</v>
      </c>
      <c r="C9" s="52" t="n">
        <v>0</v>
      </c>
      <c r="D9" s="52" t="n">
        <v>0</v>
      </c>
      <c r="E9" s="52" t="n">
        <v>0</v>
      </c>
      <c r="F9" s="52" t="n">
        <v>0</v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</row>
    <row r="10" customFormat="false" ht="15" hidden="false" customHeight="true" outlineLevel="0" collapsed="false">
      <c r="A10" s="51" t="s">
        <v>647</v>
      </c>
      <c r="B10" s="52" t="n">
        <v>0</v>
      </c>
      <c r="C10" s="52" t="n">
        <v>0</v>
      </c>
      <c r="D10" s="52" t="n">
        <v>0</v>
      </c>
      <c r="E10" s="52" t="n">
        <v>0</v>
      </c>
      <c r="F10" s="52" t="n">
        <v>0</v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3" t="n">
        <f aca="false">SUM(B10:M10)</f>
        <v>0</v>
      </c>
    </row>
    <row r="11" customFormat="false" ht="15" hidden="false" customHeight="true" outlineLevel="0" collapsed="false">
      <c r="A11" s="51" t="s">
        <v>648</v>
      </c>
      <c r="B11" s="54" t="n">
        <f aca="false">SUM(B7:B10)</f>
        <v>0</v>
      </c>
      <c r="C11" s="54" t="n">
        <f aca="false">SUM(C7:C10)</f>
        <v>0</v>
      </c>
      <c r="D11" s="54" t="n">
        <f aca="false">SUM(D7:D10)</f>
        <v>0</v>
      </c>
      <c r="E11" s="54" t="n">
        <f aca="false">SUM(E7:E10)</f>
        <v>0</v>
      </c>
      <c r="F11" s="54" t="n">
        <f aca="false">SUM(F7:F10)</f>
        <v>0</v>
      </c>
      <c r="G11" s="54" t="n">
        <f aca="false">SUM(G7:G10)</f>
        <v>0</v>
      </c>
      <c r="H11" s="54" t="n">
        <f aca="false">SUM(H7:H10)</f>
        <v>0</v>
      </c>
      <c r="I11" s="54" t="n">
        <f aca="false">SUM(I7:I10)</f>
        <v>0</v>
      </c>
      <c r="J11" s="54" t="n">
        <f aca="false">SUM(J7:J10)</f>
        <v>0</v>
      </c>
      <c r="K11" s="54" t="n">
        <f aca="false">SUM(K7:K10)</f>
        <v>0</v>
      </c>
      <c r="L11" s="54" t="n">
        <f aca="false">SUM(L7:L10)</f>
        <v>0</v>
      </c>
      <c r="M11" s="54" t="n">
        <f aca="false">SUM(M7:M10)</f>
        <v>0</v>
      </c>
      <c r="N11" s="54" t="n">
        <f aca="false">SUM(N7:N10)</f>
        <v>0</v>
      </c>
    </row>
    <row r="12" customFormat="false" ht="15" hidden="false" customHeight="true" outlineLevel="0" collapsed="false">
      <c r="A12" s="51" t="s">
        <v>649</v>
      </c>
      <c r="B12" s="52" t="n">
        <v>0</v>
      </c>
      <c r="C12" s="52" t="n">
        <v>0</v>
      </c>
      <c r="D12" s="52" t="n">
        <v>0</v>
      </c>
      <c r="E12" s="52" t="n">
        <v>0</v>
      </c>
      <c r="F12" s="52" t="n">
        <v>0</v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</row>
    <row r="13" customFormat="false" ht="15" hidden="false" customHeight="true" outlineLevel="0" collapsed="false">
      <c r="A13" s="51" t="s">
        <v>650</v>
      </c>
      <c r="B13" s="52" t="n">
        <v>0</v>
      </c>
      <c r="C13" s="52" t="n">
        <v>0</v>
      </c>
      <c r="D13" s="52" t="n">
        <v>0</v>
      </c>
      <c r="E13" s="52" t="n">
        <v>0</v>
      </c>
      <c r="F13" s="52" t="n">
        <v>0</v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3" t="n">
        <f aca="false">SUM(B13:M13)</f>
        <v>0</v>
      </c>
    </row>
    <row r="14" customFormat="false" ht="15" hidden="false" customHeight="true" outlineLevel="0" collapsed="false">
      <c r="A14" s="50" t="s">
        <v>651</v>
      </c>
      <c r="B14" s="55" t="n">
        <f aca="false">B11-B12-B13</f>
        <v>0</v>
      </c>
      <c r="C14" s="55" t="n">
        <f aca="false">C11-C12-C13</f>
        <v>0</v>
      </c>
      <c r="D14" s="55" t="n">
        <f aca="false">D11-D12-D13</f>
        <v>0</v>
      </c>
      <c r="E14" s="55" t="n">
        <f aca="false">E11-E12-E13</f>
        <v>0</v>
      </c>
      <c r="F14" s="55" t="n">
        <f aca="false">F11-F12-F13</f>
        <v>0</v>
      </c>
      <c r="G14" s="55" t="n">
        <f aca="false">G11-G12-G13</f>
        <v>0</v>
      </c>
      <c r="H14" s="55" t="n">
        <f aca="false">H11-H12-H13</f>
        <v>0</v>
      </c>
      <c r="I14" s="55" t="n">
        <f aca="false">I11-I12-I13</f>
        <v>0</v>
      </c>
      <c r="J14" s="55" t="n">
        <f aca="false">J11-J12-J13</f>
        <v>0</v>
      </c>
      <c r="K14" s="55" t="n">
        <f aca="false">K11-K12-K13</f>
        <v>0</v>
      </c>
      <c r="L14" s="55" t="n">
        <f aca="false">L11-L12-L13</f>
        <v>0</v>
      </c>
      <c r="M14" s="55" t="n">
        <f aca="false">M11-M12-M13</f>
        <v>0</v>
      </c>
      <c r="N14" s="55" t="n">
        <f aca="false">N11-N12-N13</f>
        <v>0</v>
      </c>
    </row>
    <row r="15" customFormat="false" ht="15" hidden="false" customHeight="true" outlineLevel="0" collapsed="false">
      <c r="A15" s="50" t="s">
        <v>652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</row>
    <row r="16" customFormat="false" ht="15" hidden="false" customHeight="true" outlineLevel="0" collapsed="false">
      <c r="A16" s="51" t="s">
        <v>653</v>
      </c>
      <c r="B16" s="52" t="n">
        <v>0</v>
      </c>
      <c r="C16" s="52" t="n">
        <v>0</v>
      </c>
      <c r="D16" s="52" t="n">
        <v>0</v>
      </c>
      <c r="E16" s="52" t="n">
        <v>0</v>
      </c>
      <c r="F16" s="52" t="n">
        <v>0</v>
      </c>
      <c r="G16" s="52" t="n">
        <v>0</v>
      </c>
      <c r="H16" s="52" t="n">
        <v>0</v>
      </c>
      <c r="I16" s="52" t="n">
        <v>0</v>
      </c>
      <c r="J16" s="52" t="n">
        <v>0</v>
      </c>
      <c r="K16" s="52" t="n">
        <v>0</v>
      </c>
      <c r="L16" s="52" t="n">
        <v>0</v>
      </c>
      <c r="M16" s="52" t="n">
        <v>0</v>
      </c>
      <c r="N16" s="52" t="n">
        <v>0</v>
      </c>
    </row>
    <row r="17" customFormat="false" ht="15" hidden="false" customHeight="true" outlineLevel="0" collapsed="false">
      <c r="A17" s="51" t="s">
        <v>654</v>
      </c>
      <c r="B17" s="52" t="n">
        <v>0</v>
      </c>
      <c r="C17" s="52" t="n">
        <v>0</v>
      </c>
      <c r="D17" s="52" t="n">
        <v>0</v>
      </c>
      <c r="E17" s="52" t="n">
        <v>0</v>
      </c>
      <c r="F17" s="52" t="n">
        <v>0</v>
      </c>
      <c r="G17" s="52" t="n">
        <v>0</v>
      </c>
      <c r="H17" s="52" t="n">
        <v>0</v>
      </c>
      <c r="I17" s="52" t="n">
        <v>0</v>
      </c>
      <c r="J17" s="52" t="n">
        <v>0</v>
      </c>
      <c r="K17" s="52" t="n">
        <v>0</v>
      </c>
      <c r="L17" s="52" t="n">
        <v>0</v>
      </c>
      <c r="M17" s="52" t="n">
        <v>0</v>
      </c>
      <c r="N17" s="52" t="n">
        <v>0</v>
      </c>
    </row>
    <row r="18" customFormat="false" ht="15" hidden="false" customHeight="true" outlineLevel="0" collapsed="false">
      <c r="A18" s="51" t="s">
        <v>655</v>
      </c>
      <c r="B18" s="52" t="n">
        <v>0</v>
      </c>
      <c r="C18" s="52" t="n">
        <v>0</v>
      </c>
      <c r="D18" s="52" t="n">
        <v>0</v>
      </c>
      <c r="E18" s="52" t="n">
        <v>0</v>
      </c>
      <c r="F18" s="52" t="n">
        <v>0</v>
      </c>
      <c r="G18" s="52" t="n">
        <v>0</v>
      </c>
      <c r="H18" s="52" t="n">
        <v>0</v>
      </c>
      <c r="I18" s="52" t="n">
        <v>0</v>
      </c>
      <c r="J18" s="52" t="n">
        <v>0</v>
      </c>
      <c r="K18" s="52" t="n">
        <v>0</v>
      </c>
      <c r="L18" s="52" t="n">
        <v>0</v>
      </c>
      <c r="M18" s="52" t="n">
        <v>0</v>
      </c>
      <c r="N18" s="52" t="n">
        <v>0</v>
      </c>
    </row>
    <row r="19" customFormat="false" ht="15" hidden="false" customHeight="true" outlineLevel="0" collapsed="false">
      <c r="A19" s="51" t="s">
        <v>656</v>
      </c>
      <c r="B19" s="52" t="n">
        <v>0</v>
      </c>
      <c r="C19" s="52" t="n">
        <v>0</v>
      </c>
      <c r="D19" s="52" t="n">
        <v>0</v>
      </c>
      <c r="E19" s="52" t="n">
        <v>0</v>
      </c>
      <c r="F19" s="52" t="n">
        <v>0</v>
      </c>
      <c r="G19" s="52" t="n">
        <v>0</v>
      </c>
      <c r="H19" s="52" t="n">
        <v>0</v>
      </c>
      <c r="I19" s="52" t="n">
        <v>0</v>
      </c>
      <c r="J19" s="52" t="n">
        <v>0</v>
      </c>
      <c r="K19" s="52" t="n">
        <v>0</v>
      </c>
      <c r="L19" s="52" t="n">
        <v>0</v>
      </c>
      <c r="M19" s="52" t="n">
        <v>0</v>
      </c>
      <c r="N19" s="52" t="n">
        <v>0</v>
      </c>
    </row>
    <row r="20" customFormat="false" ht="15" hidden="false" customHeight="true" outlineLevel="0" collapsed="false">
      <c r="A20" s="51" t="s">
        <v>657</v>
      </c>
      <c r="B20" s="52" t="n">
        <v>0</v>
      </c>
      <c r="C20" s="52" t="n">
        <v>0</v>
      </c>
      <c r="D20" s="52" t="n">
        <v>0</v>
      </c>
      <c r="E20" s="52" t="n">
        <v>0</v>
      </c>
      <c r="F20" s="52" t="n">
        <v>0</v>
      </c>
      <c r="G20" s="52" t="n">
        <v>0</v>
      </c>
      <c r="H20" s="52" t="n">
        <v>0</v>
      </c>
      <c r="I20" s="52" t="n">
        <v>0</v>
      </c>
      <c r="J20" s="52" t="n">
        <v>0</v>
      </c>
      <c r="K20" s="52" t="n">
        <v>0</v>
      </c>
      <c r="L20" s="52" t="n">
        <v>0</v>
      </c>
      <c r="M20" s="52" t="n">
        <v>0</v>
      </c>
      <c r="N20" s="52" t="n">
        <v>0</v>
      </c>
    </row>
    <row r="21" customFormat="false" ht="15" hidden="false" customHeight="true" outlineLevel="0" collapsed="false">
      <c r="A21" s="51" t="s">
        <v>658</v>
      </c>
      <c r="B21" s="52" t="n">
        <v>0</v>
      </c>
      <c r="C21" s="52" t="n">
        <v>0</v>
      </c>
      <c r="D21" s="52" t="n">
        <v>0</v>
      </c>
      <c r="E21" s="52" t="n">
        <v>0</v>
      </c>
      <c r="F21" s="52" t="n">
        <v>0</v>
      </c>
      <c r="G21" s="52" t="n">
        <v>0</v>
      </c>
      <c r="H21" s="52" t="n">
        <v>0</v>
      </c>
      <c r="I21" s="52" t="n">
        <v>0</v>
      </c>
      <c r="J21" s="52" t="n">
        <v>0</v>
      </c>
      <c r="K21" s="52" t="n">
        <v>0</v>
      </c>
      <c r="L21" s="52" t="n">
        <v>0</v>
      </c>
      <c r="M21" s="52" t="n">
        <v>0</v>
      </c>
      <c r="N21" s="52" t="n">
        <v>0</v>
      </c>
    </row>
    <row r="22" customFormat="false" ht="15" hidden="false" customHeight="true" outlineLevel="0" collapsed="false">
      <c r="A22" s="51" t="s">
        <v>659</v>
      </c>
      <c r="B22" s="52" t="n">
        <v>0</v>
      </c>
      <c r="C22" s="52" t="n">
        <v>0</v>
      </c>
      <c r="D22" s="52" t="n">
        <v>0</v>
      </c>
      <c r="E22" s="52" t="n">
        <v>0</v>
      </c>
      <c r="F22" s="52" t="n">
        <v>0</v>
      </c>
      <c r="G22" s="52" t="n">
        <v>0</v>
      </c>
      <c r="H22" s="52" t="n">
        <v>0</v>
      </c>
      <c r="I22" s="52" t="n">
        <v>0</v>
      </c>
      <c r="J22" s="52" t="n">
        <v>0</v>
      </c>
      <c r="K22" s="52" t="n">
        <v>0</v>
      </c>
      <c r="L22" s="52" t="n">
        <v>0</v>
      </c>
      <c r="M22" s="52" t="n">
        <v>0</v>
      </c>
      <c r="N22" s="52" t="n">
        <v>0</v>
      </c>
    </row>
    <row r="23" customFormat="false" ht="15" hidden="false" customHeight="true" outlineLevel="0" collapsed="false">
      <c r="A23" s="51" t="s">
        <v>660</v>
      </c>
      <c r="B23" s="52" t="n">
        <v>0</v>
      </c>
      <c r="C23" s="52" t="n">
        <v>0</v>
      </c>
      <c r="D23" s="52" t="n">
        <v>0</v>
      </c>
      <c r="E23" s="52" t="n">
        <v>0</v>
      </c>
      <c r="F23" s="52" t="n">
        <v>0</v>
      </c>
      <c r="G23" s="52" t="n">
        <v>0</v>
      </c>
      <c r="H23" s="52" t="n">
        <v>0</v>
      </c>
      <c r="I23" s="52" t="n">
        <v>0</v>
      </c>
      <c r="J23" s="52" t="n">
        <v>0</v>
      </c>
      <c r="K23" s="52" t="n">
        <v>0</v>
      </c>
      <c r="L23" s="52" t="n">
        <v>0</v>
      </c>
      <c r="M23" s="52" t="n">
        <v>0</v>
      </c>
      <c r="N23" s="52" t="n">
        <v>0</v>
      </c>
    </row>
    <row r="24" customFormat="false" ht="15" hidden="false" customHeight="true" outlineLevel="0" collapsed="false">
      <c r="A24" s="51" t="s">
        <v>661</v>
      </c>
      <c r="B24" s="52" t="n">
        <v>0</v>
      </c>
      <c r="C24" s="52" t="n">
        <v>0</v>
      </c>
      <c r="D24" s="52" t="n">
        <v>0</v>
      </c>
      <c r="E24" s="52" t="n">
        <v>0</v>
      </c>
      <c r="F24" s="52" t="n">
        <v>0</v>
      </c>
      <c r="G24" s="52" t="n">
        <v>0</v>
      </c>
      <c r="H24" s="52" t="n">
        <v>0</v>
      </c>
      <c r="I24" s="52" t="n">
        <v>0</v>
      </c>
      <c r="J24" s="52" t="n">
        <v>0</v>
      </c>
      <c r="K24" s="52" t="n">
        <v>0</v>
      </c>
      <c r="L24" s="52" t="n">
        <v>0</v>
      </c>
      <c r="M24" s="52" t="n">
        <v>0</v>
      </c>
      <c r="N24" s="52" t="n">
        <v>0</v>
      </c>
    </row>
    <row r="25" customFormat="false" ht="15" hidden="false" customHeight="true" outlineLevel="0" collapsed="false">
      <c r="A25" s="50" t="s">
        <v>662</v>
      </c>
      <c r="B25" s="55" t="n">
        <f aca="false" t="array" ref="B25:B25">SUM(B16:B23-B24)</f>
        <v>0</v>
      </c>
      <c r="C25" s="55" t="n">
        <f aca="false" t="array" ref="C25:C25">SUM(C16:C23-C24)</f>
        <v>0</v>
      </c>
      <c r="D25" s="55" t="n">
        <f aca="false" t="array" ref="D25:D25">SUM(D16:D23-D24)</f>
        <v>0</v>
      </c>
      <c r="E25" s="55" t="n">
        <f aca="false" t="array" ref="E25:E25">SUM(E16:E23-E24)</f>
        <v>0</v>
      </c>
      <c r="F25" s="55" t="n">
        <f aca="false" t="array" ref="F25:F25">SUM(F16:F23-F24)</f>
        <v>0</v>
      </c>
      <c r="G25" s="55" t="n">
        <f aca="false" t="array" ref="G25:G25">SUM(G16:G23-G24)</f>
        <v>0</v>
      </c>
      <c r="H25" s="55" t="n">
        <f aca="false" t="array" ref="H25:H25">SUM(H16:H23-H24)</f>
        <v>0</v>
      </c>
      <c r="I25" s="55" t="n">
        <f aca="false" t="array" ref="I25:I25">SUM(I16:I23-I24)</f>
        <v>0</v>
      </c>
      <c r="J25" s="55" t="n">
        <f aca="false" t="array" ref="J25:J25">SUM(J16:J23-J24)</f>
        <v>0</v>
      </c>
      <c r="K25" s="55" t="n">
        <f aca="false" t="array" ref="K25:K25">SUM(K16:K23-K24)</f>
        <v>0</v>
      </c>
      <c r="L25" s="55" t="n">
        <f aca="false" t="array" ref="L25:L25">SUM(L16:L23-L24)</f>
        <v>0</v>
      </c>
      <c r="M25" s="55" t="n">
        <f aca="false" t="array" ref="M25:M25">SUM(M16:M23-M24)</f>
        <v>0</v>
      </c>
      <c r="N25" s="55" t="n">
        <f aca="false" t="array" ref="N25:N25">SUM(N16:N23-N24)</f>
        <v>0</v>
      </c>
    </row>
    <row r="26" customFormat="false" ht="15" hidden="false" customHeight="true" outlineLevel="0" collapsed="false">
      <c r="A26" s="50" t="s">
        <v>663</v>
      </c>
      <c r="B26" s="56" t="n">
        <f aca="false">B14-B25</f>
        <v>0</v>
      </c>
      <c r="C26" s="56" t="n">
        <f aca="false">C14-C25</f>
        <v>0</v>
      </c>
      <c r="D26" s="56" t="n">
        <f aca="false">D14-D25</f>
        <v>0</v>
      </c>
      <c r="E26" s="56" t="n">
        <f aca="false">E14-E25</f>
        <v>0</v>
      </c>
      <c r="F26" s="56" t="n">
        <f aca="false">F14-F25</f>
        <v>0</v>
      </c>
      <c r="G26" s="56" t="n">
        <f aca="false">G14-G25</f>
        <v>0</v>
      </c>
      <c r="H26" s="56" t="n">
        <f aca="false">H14-H25</f>
        <v>0</v>
      </c>
      <c r="I26" s="56" t="n">
        <f aca="false">I14-I25</f>
        <v>0</v>
      </c>
      <c r="J26" s="56" t="n">
        <f aca="false">J14-J25</f>
        <v>0</v>
      </c>
      <c r="K26" s="56" t="n">
        <f aca="false">K14-K25</f>
        <v>0</v>
      </c>
      <c r="L26" s="56" t="n">
        <f aca="false">L14-L25</f>
        <v>0</v>
      </c>
      <c r="M26" s="56" t="n">
        <f aca="false">M14-M25</f>
        <v>0</v>
      </c>
      <c r="N26" s="56" t="n">
        <f aca="false">N14-N25</f>
        <v>0</v>
      </c>
    </row>
    <row r="27" customFormat="false" ht="15" hidden="false" customHeight="true" outlineLevel="0" collapsed="false">
      <c r="A27" s="51" t="s">
        <v>405</v>
      </c>
      <c r="B27" s="57" t="n">
        <f aca="false">IFERROR(B26/B14,0)</f>
        <v>0</v>
      </c>
      <c r="C27" s="57" t="n">
        <f aca="false">IFERROR(C26/C14,0)</f>
        <v>0</v>
      </c>
      <c r="D27" s="57" t="n">
        <f aca="false">IFERROR(D26/D14,0)</f>
        <v>0</v>
      </c>
      <c r="E27" s="57" t="n">
        <f aca="false">IFERROR(E26/E14,0)</f>
        <v>0</v>
      </c>
      <c r="F27" s="57" t="n">
        <f aca="false">IFERROR(F26/F14,0)</f>
        <v>0</v>
      </c>
      <c r="G27" s="57" t="n">
        <f aca="false">IFERROR(G26/G14,0)</f>
        <v>0</v>
      </c>
      <c r="H27" s="57" t="n">
        <f aca="false">IFERROR(H26/H14,0)</f>
        <v>0</v>
      </c>
      <c r="I27" s="57" t="n">
        <f aca="false">IFERROR(I26/I14,0)</f>
        <v>0</v>
      </c>
      <c r="J27" s="57" t="n">
        <f aca="false">IFERROR(J26/J14,0)</f>
        <v>0</v>
      </c>
      <c r="K27" s="57" t="n">
        <f aca="false">IFERROR(K26/K14,0)</f>
        <v>0</v>
      </c>
      <c r="L27" s="57" t="n">
        <f aca="false">IFERROR(L26/L14,0)</f>
        <v>0</v>
      </c>
      <c r="M27" s="57" t="n">
        <f aca="false">IFERROR(M26/M14,0)</f>
        <v>0</v>
      </c>
      <c r="N27" s="57" t="n">
        <f aca="false">IFERROR(N26/N14,0)</f>
        <v>0</v>
      </c>
    </row>
    <row r="28" customFormat="false" ht="15" hidden="false" customHeight="true" outlineLevel="0" collapsed="false">
      <c r="A28" s="50" t="s">
        <v>664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</row>
    <row r="29" customFormat="false" ht="15" hidden="false" customHeight="true" outlineLevel="0" collapsed="false">
      <c r="A29" s="51" t="s">
        <v>665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</row>
    <row r="30" customFormat="false" ht="15" hidden="false" customHeight="true" outlineLevel="0" collapsed="false">
      <c r="A30" s="51" t="s">
        <v>666</v>
      </c>
      <c r="B30" s="52" t="n">
        <v>0</v>
      </c>
      <c r="C30" s="52" t="n">
        <v>0</v>
      </c>
      <c r="D30" s="52" t="n">
        <v>0</v>
      </c>
      <c r="E30" s="52" t="n">
        <v>0</v>
      </c>
      <c r="F30" s="52" t="n">
        <v>0</v>
      </c>
      <c r="G30" s="52" t="n">
        <v>0</v>
      </c>
      <c r="H30" s="52" t="n">
        <v>0</v>
      </c>
      <c r="I30" s="52" t="n">
        <v>0</v>
      </c>
      <c r="J30" s="52" t="n">
        <v>0</v>
      </c>
      <c r="K30" s="52" t="n">
        <v>0</v>
      </c>
      <c r="L30" s="52" t="n">
        <v>0</v>
      </c>
      <c r="M30" s="52" t="n">
        <v>0</v>
      </c>
      <c r="N30" s="52" t="n">
        <v>0</v>
      </c>
    </row>
    <row r="31" customFormat="false" ht="15" hidden="false" customHeight="true" outlineLevel="0" collapsed="false">
      <c r="A31" s="51" t="s">
        <v>667</v>
      </c>
      <c r="B31" s="52" t="n">
        <v>0</v>
      </c>
      <c r="C31" s="52" t="n">
        <v>0</v>
      </c>
      <c r="D31" s="52" t="n">
        <v>0</v>
      </c>
      <c r="E31" s="52" t="n">
        <v>0</v>
      </c>
      <c r="F31" s="52" t="n">
        <v>0</v>
      </c>
      <c r="G31" s="52" t="n">
        <v>0</v>
      </c>
      <c r="H31" s="52" t="n">
        <v>0</v>
      </c>
      <c r="I31" s="52" t="n">
        <v>0</v>
      </c>
      <c r="J31" s="52" t="n">
        <v>0</v>
      </c>
      <c r="K31" s="52" t="n">
        <v>0</v>
      </c>
      <c r="L31" s="52" t="n">
        <v>0</v>
      </c>
      <c r="M31" s="52" t="n">
        <v>0</v>
      </c>
      <c r="N31" s="52" t="n">
        <v>0</v>
      </c>
    </row>
    <row r="32" customFormat="false" ht="15" hidden="false" customHeight="true" outlineLevel="0" collapsed="false">
      <c r="A32" s="51" t="s">
        <v>668</v>
      </c>
      <c r="B32" s="52" t="n">
        <v>0</v>
      </c>
      <c r="C32" s="52" t="n">
        <v>0</v>
      </c>
      <c r="D32" s="52" t="n">
        <v>0</v>
      </c>
      <c r="E32" s="52" t="n">
        <v>0</v>
      </c>
      <c r="F32" s="52" t="n">
        <v>0</v>
      </c>
      <c r="G32" s="52" t="n">
        <v>0</v>
      </c>
      <c r="H32" s="52" t="n">
        <v>0</v>
      </c>
      <c r="I32" s="52" t="n">
        <v>0</v>
      </c>
      <c r="J32" s="52" t="n">
        <v>0</v>
      </c>
      <c r="K32" s="52" t="n">
        <v>0</v>
      </c>
      <c r="L32" s="52" t="n">
        <v>0</v>
      </c>
      <c r="M32" s="52" t="n">
        <v>0</v>
      </c>
      <c r="N32" s="52" t="n">
        <v>0</v>
      </c>
    </row>
    <row r="33" customFormat="false" ht="15" hidden="false" customHeight="true" outlineLevel="0" collapsed="false">
      <c r="A33" s="51" t="s">
        <v>669</v>
      </c>
      <c r="B33" s="52" t="n">
        <v>0</v>
      </c>
      <c r="C33" s="52" t="n">
        <v>0</v>
      </c>
      <c r="D33" s="52" t="n">
        <v>0</v>
      </c>
      <c r="E33" s="52" t="n">
        <v>0</v>
      </c>
      <c r="F33" s="52" t="n">
        <v>0</v>
      </c>
      <c r="G33" s="52" t="n">
        <v>0</v>
      </c>
      <c r="H33" s="52" t="n">
        <v>0</v>
      </c>
      <c r="I33" s="52" t="n">
        <v>0</v>
      </c>
      <c r="J33" s="52" t="n">
        <v>0</v>
      </c>
      <c r="K33" s="52" t="n">
        <v>0</v>
      </c>
      <c r="L33" s="52" t="n">
        <v>0</v>
      </c>
      <c r="M33" s="52" t="n">
        <v>0</v>
      </c>
      <c r="N33" s="52" t="n">
        <v>0</v>
      </c>
    </row>
    <row r="34" customFormat="false" ht="15" hidden="false" customHeight="true" outlineLevel="0" collapsed="false">
      <c r="A34" s="51" t="s">
        <v>670</v>
      </c>
      <c r="B34" s="52" t="n">
        <v>0</v>
      </c>
      <c r="C34" s="52" t="n">
        <v>0</v>
      </c>
      <c r="D34" s="52" t="n">
        <v>0</v>
      </c>
      <c r="E34" s="52" t="n">
        <v>0</v>
      </c>
      <c r="F34" s="52" t="n">
        <v>0</v>
      </c>
      <c r="G34" s="52" t="n">
        <v>0</v>
      </c>
      <c r="H34" s="52" t="n">
        <v>0</v>
      </c>
      <c r="I34" s="52" t="n">
        <v>0</v>
      </c>
      <c r="J34" s="52" t="n">
        <v>0</v>
      </c>
      <c r="K34" s="52" t="n">
        <v>0</v>
      </c>
      <c r="L34" s="52" t="n">
        <v>0</v>
      </c>
      <c r="M34" s="52" t="n">
        <v>0</v>
      </c>
      <c r="N34" s="52" t="n">
        <v>0</v>
      </c>
    </row>
    <row r="35" customFormat="false" ht="15" hidden="false" customHeight="true" outlineLevel="0" collapsed="false">
      <c r="A35" s="51" t="s">
        <v>671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</row>
    <row r="36" customFormat="false" ht="15" hidden="false" customHeight="true" outlineLevel="0" collapsed="false">
      <c r="A36" s="51" t="s">
        <v>672</v>
      </c>
      <c r="B36" s="52" t="n">
        <v>0</v>
      </c>
      <c r="C36" s="52" t="n">
        <v>0</v>
      </c>
      <c r="D36" s="52" t="n">
        <v>0</v>
      </c>
      <c r="E36" s="52" t="n">
        <v>0</v>
      </c>
      <c r="F36" s="52" t="n">
        <v>0</v>
      </c>
      <c r="G36" s="52" t="n">
        <v>0</v>
      </c>
      <c r="H36" s="52" t="n">
        <v>0</v>
      </c>
      <c r="I36" s="52" t="n">
        <v>0</v>
      </c>
      <c r="J36" s="52" t="n">
        <v>0</v>
      </c>
      <c r="K36" s="52" t="n">
        <v>0</v>
      </c>
      <c r="L36" s="52" t="n">
        <v>0</v>
      </c>
      <c r="M36" s="52" t="n">
        <v>0</v>
      </c>
      <c r="N36" s="52" t="n">
        <v>0</v>
      </c>
    </row>
    <row r="37" customFormat="false" ht="15" hidden="false" customHeight="true" outlineLevel="0" collapsed="false">
      <c r="A37" s="51" t="s">
        <v>673</v>
      </c>
      <c r="B37" s="52" t="n">
        <v>0</v>
      </c>
      <c r="C37" s="52" t="n">
        <v>0</v>
      </c>
      <c r="D37" s="52" t="n">
        <v>0</v>
      </c>
      <c r="E37" s="52" t="n">
        <v>0</v>
      </c>
      <c r="F37" s="52" t="n">
        <v>0</v>
      </c>
      <c r="G37" s="52" t="n">
        <v>0</v>
      </c>
      <c r="H37" s="52" t="n">
        <v>0</v>
      </c>
      <c r="I37" s="52" t="n">
        <v>0</v>
      </c>
      <c r="J37" s="52" t="n">
        <v>0</v>
      </c>
      <c r="K37" s="52" t="n">
        <v>0</v>
      </c>
      <c r="L37" s="52" t="n">
        <v>0</v>
      </c>
      <c r="M37" s="52" t="n">
        <v>0</v>
      </c>
      <c r="N37" s="52" t="n">
        <v>0</v>
      </c>
    </row>
    <row r="38" customFormat="false" ht="15" hidden="false" customHeight="true" outlineLevel="0" collapsed="false">
      <c r="A38" s="51" t="s">
        <v>674</v>
      </c>
      <c r="B38" s="52" t="n">
        <v>0</v>
      </c>
      <c r="C38" s="52" t="n">
        <v>0</v>
      </c>
      <c r="D38" s="52" t="n">
        <v>0</v>
      </c>
      <c r="E38" s="52" t="n">
        <v>0</v>
      </c>
      <c r="F38" s="52" t="n">
        <v>0</v>
      </c>
      <c r="G38" s="52" t="n">
        <v>0</v>
      </c>
      <c r="H38" s="52" t="n">
        <v>0</v>
      </c>
      <c r="I38" s="52" t="n">
        <v>0</v>
      </c>
      <c r="J38" s="52" t="n">
        <v>0</v>
      </c>
      <c r="K38" s="52" t="n">
        <v>0</v>
      </c>
      <c r="L38" s="52" t="n">
        <v>0</v>
      </c>
      <c r="M38" s="52" t="n">
        <v>0</v>
      </c>
      <c r="N38" s="52" t="n">
        <v>0</v>
      </c>
    </row>
    <row r="39" customFormat="false" ht="15" hidden="false" customHeight="true" outlineLevel="0" collapsed="false">
      <c r="A39" s="51" t="s">
        <v>675</v>
      </c>
      <c r="B39" s="52" t="n">
        <v>0</v>
      </c>
      <c r="C39" s="52" t="n">
        <v>0</v>
      </c>
      <c r="D39" s="52" t="n">
        <v>0</v>
      </c>
      <c r="E39" s="52" t="n">
        <v>0</v>
      </c>
      <c r="F39" s="52" t="n">
        <v>0</v>
      </c>
      <c r="G39" s="52" t="n">
        <v>0</v>
      </c>
      <c r="H39" s="52" t="n">
        <v>0</v>
      </c>
      <c r="I39" s="52" t="n">
        <v>0</v>
      </c>
      <c r="J39" s="52" t="n">
        <v>0</v>
      </c>
      <c r="K39" s="52" t="n">
        <v>0</v>
      </c>
      <c r="L39" s="52" t="n">
        <v>0</v>
      </c>
      <c r="M39" s="52" t="n">
        <v>0</v>
      </c>
      <c r="N39" s="52" t="n">
        <v>0</v>
      </c>
    </row>
    <row r="40" customFormat="false" ht="15" hidden="false" customHeight="true" outlineLevel="0" collapsed="false">
      <c r="A40" s="51" t="s">
        <v>676</v>
      </c>
      <c r="B40" s="52" t="n">
        <v>0</v>
      </c>
      <c r="C40" s="52" t="n">
        <v>0</v>
      </c>
      <c r="D40" s="52" t="n">
        <v>0</v>
      </c>
      <c r="E40" s="52" t="n">
        <v>0</v>
      </c>
      <c r="F40" s="52" t="n">
        <v>0</v>
      </c>
      <c r="G40" s="52" t="n">
        <v>0</v>
      </c>
      <c r="H40" s="52" t="n">
        <v>0</v>
      </c>
      <c r="I40" s="52" t="n">
        <v>0</v>
      </c>
      <c r="J40" s="52" t="n">
        <v>0</v>
      </c>
      <c r="K40" s="52" t="n">
        <v>0</v>
      </c>
      <c r="L40" s="52" t="n">
        <v>0</v>
      </c>
      <c r="M40" s="52" t="n">
        <v>0</v>
      </c>
      <c r="N40" s="52" t="n">
        <v>0</v>
      </c>
    </row>
    <row r="41" customFormat="false" ht="15" hidden="false" customHeight="true" outlineLevel="0" collapsed="false">
      <c r="A41" s="51" t="s">
        <v>677</v>
      </c>
      <c r="B41" s="52" t="n">
        <v>0</v>
      </c>
      <c r="C41" s="52" t="n">
        <v>0</v>
      </c>
      <c r="D41" s="52" t="n">
        <v>0</v>
      </c>
      <c r="E41" s="52" t="n">
        <v>0</v>
      </c>
      <c r="F41" s="52" t="n">
        <v>0</v>
      </c>
      <c r="G41" s="52" t="n">
        <v>0</v>
      </c>
      <c r="H41" s="52" t="n">
        <v>0</v>
      </c>
      <c r="I41" s="52" t="n">
        <v>0</v>
      </c>
      <c r="J41" s="52" t="n">
        <v>0</v>
      </c>
      <c r="K41" s="52" t="n">
        <v>0</v>
      </c>
      <c r="L41" s="52" t="n">
        <v>0</v>
      </c>
      <c r="M41" s="52" t="n">
        <v>0</v>
      </c>
      <c r="N41" s="52" t="n">
        <v>0</v>
      </c>
    </row>
    <row r="42" customFormat="false" ht="15" hidden="false" customHeight="true" outlineLevel="0" collapsed="false">
      <c r="A42" s="51" t="s">
        <v>678</v>
      </c>
      <c r="B42" s="52" t="n">
        <v>0</v>
      </c>
      <c r="C42" s="52" t="n">
        <v>0</v>
      </c>
      <c r="D42" s="52" t="n">
        <v>0</v>
      </c>
      <c r="E42" s="52" t="n">
        <v>0</v>
      </c>
      <c r="F42" s="52" t="n">
        <v>0</v>
      </c>
      <c r="G42" s="52" t="n">
        <v>0</v>
      </c>
      <c r="H42" s="52" t="n">
        <v>0</v>
      </c>
      <c r="I42" s="52" t="n">
        <v>0</v>
      </c>
      <c r="J42" s="52" t="n">
        <v>0</v>
      </c>
      <c r="K42" s="52" t="n">
        <v>0</v>
      </c>
      <c r="L42" s="52" t="n">
        <v>0</v>
      </c>
      <c r="M42" s="52" t="n">
        <v>0</v>
      </c>
      <c r="N42" s="52" t="n">
        <v>0</v>
      </c>
    </row>
    <row r="43" customFormat="false" ht="15" hidden="false" customHeight="true" outlineLevel="0" collapsed="false">
      <c r="A43" s="51" t="s">
        <v>679</v>
      </c>
      <c r="B43" s="52" t="n">
        <v>0</v>
      </c>
      <c r="C43" s="52" t="n">
        <v>0</v>
      </c>
      <c r="D43" s="52" t="n">
        <v>0</v>
      </c>
      <c r="E43" s="52" t="n">
        <v>0</v>
      </c>
      <c r="F43" s="52" t="n">
        <v>0</v>
      </c>
      <c r="G43" s="52" t="n">
        <v>0</v>
      </c>
      <c r="H43" s="52" t="n">
        <v>0</v>
      </c>
      <c r="I43" s="52" t="n">
        <v>0</v>
      </c>
      <c r="J43" s="52" t="n">
        <v>0</v>
      </c>
      <c r="K43" s="52" t="n">
        <v>0</v>
      </c>
      <c r="L43" s="52" t="n">
        <v>0</v>
      </c>
      <c r="M43" s="52" t="n">
        <v>0</v>
      </c>
      <c r="N43" s="52" t="n">
        <v>0</v>
      </c>
    </row>
    <row r="44" customFormat="false" ht="15" hidden="false" customHeight="true" outlineLevel="0" collapsed="false">
      <c r="A44" s="50" t="s">
        <v>680</v>
      </c>
      <c r="B44" s="55" t="n">
        <f aca="false">SUM(B29:B43)</f>
        <v>0</v>
      </c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</row>
    <row r="45" customFormat="false" ht="15" hidden="false" customHeight="true" outlineLevel="0" collapsed="false">
      <c r="A45" s="50" t="s">
        <v>681</v>
      </c>
      <c r="B45" s="56" t="n">
        <f aca="false">B26-B44</f>
        <v>0</v>
      </c>
      <c r="C45" s="56" t="n">
        <f aca="false">C26-C44</f>
        <v>0</v>
      </c>
      <c r="D45" s="56" t="n">
        <f aca="false">D26-D44</f>
        <v>0</v>
      </c>
      <c r="E45" s="56" t="n">
        <f aca="false">E26-E44</f>
        <v>0</v>
      </c>
      <c r="F45" s="56" t="n">
        <f aca="false">F26-F44</f>
        <v>0</v>
      </c>
      <c r="G45" s="56" t="n">
        <f aca="false">G26-G44</f>
        <v>0</v>
      </c>
      <c r="H45" s="56" t="n">
        <f aca="false">H26-H44</f>
        <v>0</v>
      </c>
      <c r="I45" s="56" t="n">
        <f aca="false">I26-I44</f>
        <v>0</v>
      </c>
      <c r="J45" s="56" t="n">
        <f aca="false">J26-J44</f>
        <v>0</v>
      </c>
      <c r="K45" s="56" t="n">
        <f aca="false">K26-K44</f>
        <v>0</v>
      </c>
      <c r="L45" s="56" t="n">
        <f aca="false">L26-L44</f>
        <v>0</v>
      </c>
      <c r="M45" s="56" t="n">
        <f aca="false">M26-M44</f>
        <v>0</v>
      </c>
      <c r="N45" s="60" t="n">
        <f aca="false">SUM(B45:M45)</f>
        <v>0</v>
      </c>
    </row>
    <row r="46" customFormat="false" ht="15" hidden="false" customHeight="true" outlineLevel="0" collapsed="false">
      <c r="A46" s="51" t="s">
        <v>682</v>
      </c>
      <c r="B46" s="57" t="n">
        <f aca="false">IFERROR(B45/B14,0)</f>
        <v>0</v>
      </c>
      <c r="C46" s="57" t="n">
        <f aca="false">IFERROR(C45/C14,0)</f>
        <v>0</v>
      </c>
      <c r="D46" s="57" t="n">
        <f aca="false">IFERROR(D45/D14,0)</f>
        <v>0</v>
      </c>
      <c r="E46" s="57" t="n">
        <f aca="false">IFERROR(E45/E14,0)</f>
        <v>0</v>
      </c>
      <c r="F46" s="57" t="n">
        <f aca="false">IFERROR(F45/F14,0)</f>
        <v>0</v>
      </c>
      <c r="G46" s="57" t="n">
        <f aca="false">IFERROR(G45/G14,0)</f>
        <v>0</v>
      </c>
      <c r="H46" s="57" t="n">
        <f aca="false">IFERROR(H45/H14,0)</f>
        <v>0</v>
      </c>
      <c r="I46" s="57" t="n">
        <f aca="false">IFERROR(I45/I14,0)</f>
        <v>0</v>
      </c>
      <c r="J46" s="57" t="n">
        <f aca="false">IFERROR(J45/J14,0)</f>
        <v>0</v>
      </c>
      <c r="K46" s="57" t="n">
        <f aca="false">IFERROR(K45/K14,0)</f>
        <v>0</v>
      </c>
      <c r="L46" s="57" t="n">
        <f aca="false">IFERROR(L45/L14,0)</f>
        <v>0</v>
      </c>
      <c r="M46" s="57" t="n">
        <f aca="false">IFERROR(M45/M14,0)</f>
        <v>0</v>
      </c>
      <c r="N46" s="57" t="n">
        <f aca="false">IFERROR(N45/N14,0)</f>
        <v>0</v>
      </c>
    </row>
    <row r="47" customFormat="false" ht="15" hidden="false" customHeight="true" outlineLevel="0" collapsed="false">
      <c r="A47" s="50" t="s">
        <v>683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</row>
    <row r="48" customFormat="false" ht="15" hidden="false" customHeight="true" outlineLevel="0" collapsed="false">
      <c r="A48" s="51" t="s">
        <v>684</v>
      </c>
      <c r="B48" s="52" t="n">
        <v>0</v>
      </c>
      <c r="C48" s="52" t="n">
        <v>0</v>
      </c>
      <c r="D48" s="52" t="n">
        <v>0</v>
      </c>
      <c r="E48" s="52" t="n">
        <v>0</v>
      </c>
      <c r="F48" s="52" t="n">
        <v>0</v>
      </c>
      <c r="G48" s="52" t="n">
        <v>0</v>
      </c>
      <c r="H48" s="52" t="n">
        <v>0</v>
      </c>
      <c r="I48" s="52" t="n">
        <v>0</v>
      </c>
      <c r="J48" s="52" t="n">
        <v>0</v>
      </c>
      <c r="K48" s="52" t="n">
        <v>0</v>
      </c>
      <c r="L48" s="52" t="n">
        <v>0</v>
      </c>
      <c r="M48" s="52" t="n">
        <v>0</v>
      </c>
      <c r="N48" s="52" t="n">
        <v>0</v>
      </c>
    </row>
    <row r="49" customFormat="false" ht="15" hidden="false" customHeight="true" outlineLevel="0" collapsed="false">
      <c r="A49" s="51" t="s">
        <v>685</v>
      </c>
      <c r="B49" s="52" t="n">
        <v>0</v>
      </c>
      <c r="C49" s="52" t="n">
        <v>0</v>
      </c>
      <c r="D49" s="52" t="n">
        <v>0</v>
      </c>
      <c r="E49" s="52" t="n">
        <v>0</v>
      </c>
      <c r="F49" s="52" t="n">
        <v>0</v>
      </c>
      <c r="G49" s="52" t="n">
        <v>0</v>
      </c>
      <c r="H49" s="52" t="n">
        <v>0</v>
      </c>
      <c r="I49" s="52" t="n">
        <v>0</v>
      </c>
      <c r="J49" s="52" t="n">
        <v>0</v>
      </c>
      <c r="K49" s="52" t="n">
        <v>0</v>
      </c>
      <c r="L49" s="52" t="n">
        <v>0</v>
      </c>
      <c r="M49" s="52" t="n">
        <v>0</v>
      </c>
      <c r="N49" s="52" t="n">
        <v>0</v>
      </c>
    </row>
    <row r="50" customFormat="false" ht="15" hidden="false" customHeight="true" outlineLevel="0" collapsed="false">
      <c r="A50" s="51" t="s">
        <v>686</v>
      </c>
      <c r="B50" s="52" t="n">
        <v>0</v>
      </c>
      <c r="C50" s="52" t="n">
        <v>0</v>
      </c>
      <c r="D50" s="52" t="n">
        <v>0</v>
      </c>
      <c r="E50" s="52" t="n">
        <v>0</v>
      </c>
      <c r="F50" s="52" t="n">
        <v>0</v>
      </c>
      <c r="G50" s="52" t="n">
        <v>0</v>
      </c>
      <c r="H50" s="52" t="n">
        <v>0</v>
      </c>
      <c r="I50" s="52" t="n">
        <v>0</v>
      </c>
      <c r="J50" s="52" t="n">
        <v>0</v>
      </c>
      <c r="K50" s="52" t="n">
        <v>0</v>
      </c>
      <c r="L50" s="52" t="n">
        <v>0</v>
      </c>
      <c r="M50" s="52" t="n">
        <v>0</v>
      </c>
      <c r="N50" s="52" t="n">
        <v>0</v>
      </c>
    </row>
    <row r="51" customFormat="false" ht="15" hidden="false" customHeight="true" outlineLevel="0" collapsed="false">
      <c r="A51" s="51" t="s">
        <v>687</v>
      </c>
      <c r="B51" s="52" t="n">
        <v>0</v>
      </c>
      <c r="C51" s="52" t="n">
        <v>0</v>
      </c>
      <c r="D51" s="52" t="n">
        <v>0</v>
      </c>
      <c r="E51" s="52" t="n">
        <v>0</v>
      </c>
      <c r="F51" s="52" t="n">
        <v>0</v>
      </c>
      <c r="G51" s="52" t="n">
        <v>0</v>
      </c>
      <c r="H51" s="52" t="n">
        <v>0</v>
      </c>
      <c r="I51" s="52" t="n">
        <v>0</v>
      </c>
      <c r="J51" s="52" t="n">
        <v>0</v>
      </c>
      <c r="K51" s="52" t="n">
        <v>0</v>
      </c>
      <c r="L51" s="52" t="n">
        <v>0</v>
      </c>
      <c r="M51" s="52" t="n">
        <v>0</v>
      </c>
      <c r="N51" s="52" t="n">
        <v>0</v>
      </c>
    </row>
    <row r="52" customFormat="false" ht="15" hidden="false" customHeight="true" outlineLevel="0" collapsed="false">
      <c r="A52" s="51" t="s">
        <v>688</v>
      </c>
      <c r="B52" s="52" t="n">
        <v>0</v>
      </c>
      <c r="C52" s="52" t="n">
        <v>0</v>
      </c>
      <c r="D52" s="52" t="n">
        <v>0</v>
      </c>
      <c r="E52" s="52" t="n">
        <v>0</v>
      </c>
      <c r="F52" s="52" t="n">
        <v>0</v>
      </c>
      <c r="G52" s="52" t="n">
        <v>0</v>
      </c>
      <c r="H52" s="52" t="n">
        <v>0</v>
      </c>
      <c r="I52" s="52" t="n">
        <v>0</v>
      </c>
      <c r="J52" s="52" t="n">
        <v>0</v>
      </c>
      <c r="K52" s="52" t="n">
        <v>0</v>
      </c>
      <c r="L52" s="52" t="n">
        <v>0</v>
      </c>
      <c r="M52" s="52" t="n">
        <v>0</v>
      </c>
      <c r="N52" s="52" t="n">
        <v>0</v>
      </c>
    </row>
    <row r="53" customFormat="false" ht="15" hidden="false" customHeight="true" outlineLevel="0" collapsed="false">
      <c r="A53" s="51" t="s">
        <v>689</v>
      </c>
      <c r="B53" s="52" t="n">
        <v>0</v>
      </c>
      <c r="C53" s="52" t="n">
        <v>0</v>
      </c>
      <c r="D53" s="52" t="n">
        <v>0</v>
      </c>
      <c r="E53" s="52" t="n">
        <v>0</v>
      </c>
      <c r="F53" s="52" t="n">
        <v>0</v>
      </c>
      <c r="G53" s="52" t="n">
        <v>0</v>
      </c>
      <c r="H53" s="52" t="n">
        <v>0</v>
      </c>
      <c r="I53" s="52" t="n">
        <v>0</v>
      </c>
      <c r="J53" s="52" t="n">
        <v>0</v>
      </c>
      <c r="K53" s="52" t="n">
        <v>0</v>
      </c>
      <c r="L53" s="52" t="n">
        <v>0</v>
      </c>
      <c r="M53" s="52" t="n">
        <v>0</v>
      </c>
      <c r="N53" s="52" t="n">
        <v>0</v>
      </c>
    </row>
    <row r="54" customFormat="false" ht="15" hidden="false" customHeight="true" outlineLevel="0" collapsed="false">
      <c r="A54" s="50" t="s">
        <v>690</v>
      </c>
      <c r="B54" s="55" t="n">
        <f aca="false">SUM(B48:B50)-B51-B52-B53</f>
        <v>0</v>
      </c>
      <c r="C54" s="55" t="n">
        <f aca="false">SUM(C48:C50)-C51-C52-C53</f>
        <v>0</v>
      </c>
      <c r="D54" s="55" t="n">
        <f aca="false">SUM(D48:D50)-D51-D52-D53</f>
        <v>0</v>
      </c>
      <c r="E54" s="55" t="n">
        <f aca="false">SUM(E48:E50)-E51-E52-E53</f>
        <v>0</v>
      </c>
      <c r="F54" s="55" t="n">
        <f aca="false">SUM(F48:F50)-F51-F52-F53</f>
        <v>0</v>
      </c>
      <c r="G54" s="55" t="n">
        <f aca="false">SUM(G48:G50)-G51-G52-G53</f>
        <v>0</v>
      </c>
      <c r="H54" s="55" t="n">
        <f aca="false">SUM(H48:H50)-H51-H52-H53</f>
        <v>0</v>
      </c>
      <c r="I54" s="55" t="n">
        <f aca="false">SUM(I48:I50)-I51-I52-I53</f>
        <v>0</v>
      </c>
      <c r="J54" s="55" t="n">
        <f aca="false">SUM(J48:J50)-J51-J52-J53</f>
        <v>0</v>
      </c>
      <c r="K54" s="55" t="n">
        <f aca="false">SUM(K48:K50)-K51-K52-K53</f>
        <v>0</v>
      </c>
      <c r="L54" s="55" t="n">
        <f aca="false">SUM(L48:L50)-L51-L52-L53</f>
        <v>0</v>
      </c>
      <c r="M54" s="55" t="n">
        <f aca="false">SUM(M48:M50)-M51-M52-M53</f>
        <v>0</v>
      </c>
      <c r="N54" s="55" t="n">
        <f aca="false">SUM(N48:N50)-N51-N52-N53</f>
        <v>0</v>
      </c>
    </row>
    <row r="55" customFormat="false" ht="15" hidden="false" customHeight="true" outlineLevel="0" collapsed="false">
      <c r="A55" s="50" t="s">
        <v>691</v>
      </c>
      <c r="B55" s="56" t="n">
        <f aca="false">B45+B54</f>
        <v>0</v>
      </c>
      <c r="C55" s="56" t="n">
        <f aca="false">C45+C54</f>
        <v>0</v>
      </c>
      <c r="D55" s="56" t="n">
        <f aca="false">D45+D54</f>
        <v>0</v>
      </c>
      <c r="E55" s="56" t="n">
        <f aca="false">E45+E54</f>
        <v>0</v>
      </c>
      <c r="F55" s="56" t="n">
        <f aca="false">F45+F54</f>
        <v>0</v>
      </c>
      <c r="G55" s="56" t="n">
        <f aca="false">G45+G54</f>
        <v>0</v>
      </c>
      <c r="H55" s="56" t="n">
        <f aca="false">H45+H54</f>
        <v>0</v>
      </c>
      <c r="I55" s="56" t="n">
        <f aca="false">I45+I54</f>
        <v>0</v>
      </c>
      <c r="J55" s="56" t="n">
        <f aca="false">J45+J54</f>
        <v>0</v>
      </c>
      <c r="K55" s="56" t="n">
        <f aca="false">K45+K54</f>
        <v>0</v>
      </c>
      <c r="L55" s="56" t="n">
        <f aca="false">L45+L54</f>
        <v>0</v>
      </c>
      <c r="M55" s="56" t="n">
        <f aca="false">M45+M54</f>
        <v>0</v>
      </c>
      <c r="N55" s="56" t="n">
        <f aca="false">N45+N54</f>
        <v>0</v>
      </c>
    </row>
    <row r="56" customFormat="false" ht="15" hidden="false" customHeight="true" outlineLevel="0" collapsed="false">
      <c r="A56" s="51" t="s">
        <v>692</v>
      </c>
      <c r="B56" s="54" t="n">
        <f aca="false">B55*0.25</f>
        <v>0</v>
      </c>
      <c r="C56" s="54" t="n">
        <f aca="false">C55*0.25</f>
        <v>0</v>
      </c>
      <c r="D56" s="54" t="n">
        <f aca="false">D55*0.25</f>
        <v>0</v>
      </c>
      <c r="E56" s="54" t="n">
        <f aca="false">E55*0.25</f>
        <v>0</v>
      </c>
      <c r="F56" s="54" t="n">
        <f aca="false">F55*0.25</f>
        <v>0</v>
      </c>
      <c r="G56" s="54" t="n">
        <f aca="false">G55*0.25</f>
        <v>0</v>
      </c>
      <c r="H56" s="54" t="n">
        <f aca="false">H55*0.25</f>
        <v>0</v>
      </c>
      <c r="I56" s="54" t="n">
        <f aca="false">I55*0.25</f>
        <v>0</v>
      </c>
      <c r="J56" s="54" t="n">
        <f aca="false">J55*0.25</f>
        <v>0</v>
      </c>
      <c r="K56" s="54" t="n">
        <f aca="false">K55*0.25</f>
        <v>0</v>
      </c>
      <c r="L56" s="54" t="n">
        <f aca="false">L55*0.25</f>
        <v>0</v>
      </c>
      <c r="M56" s="54" t="n">
        <f aca="false">M55*0.25</f>
        <v>0</v>
      </c>
      <c r="N56" s="54" t="n">
        <f aca="false">N55*0.25</f>
        <v>0</v>
      </c>
    </row>
    <row r="57" customFormat="false" ht="15" hidden="false" customHeight="true" outlineLevel="0" collapsed="false">
      <c r="A57" s="50" t="s">
        <v>403</v>
      </c>
      <c r="B57" s="56" t="n">
        <f aca="false">B55-B56</f>
        <v>0</v>
      </c>
      <c r="C57" s="56" t="n">
        <f aca="false">C55-C56</f>
        <v>0</v>
      </c>
      <c r="D57" s="56" t="n">
        <f aca="false">D55-D56</f>
        <v>0</v>
      </c>
      <c r="E57" s="56" t="n">
        <f aca="false">E55-E56</f>
        <v>0</v>
      </c>
      <c r="F57" s="56" t="n">
        <f aca="false">F55-F56</f>
        <v>0</v>
      </c>
      <c r="G57" s="56" t="n">
        <f aca="false">G55-G56</f>
        <v>0</v>
      </c>
      <c r="H57" s="56" t="n">
        <f aca="false">H55-H56</f>
        <v>0</v>
      </c>
      <c r="I57" s="56" t="n">
        <f aca="false">I55-I56</f>
        <v>0</v>
      </c>
      <c r="J57" s="56" t="n">
        <f aca="false">J55-J56</f>
        <v>0</v>
      </c>
      <c r="K57" s="56" t="n">
        <f aca="false">K55-K56</f>
        <v>0</v>
      </c>
      <c r="L57" s="56" t="n">
        <f aca="false">L55-L56</f>
        <v>0</v>
      </c>
      <c r="M57" s="56" t="n">
        <f aca="false">M55-M56</f>
        <v>0</v>
      </c>
      <c r="N57" s="60" t="n">
        <f aca="false">SUM(B57:M57)</f>
        <v>0</v>
      </c>
    </row>
    <row r="58" customFormat="false" ht="15" hidden="false" customHeight="true" outlineLevel="0" collapsed="false">
      <c r="A58" s="51" t="s">
        <v>407</v>
      </c>
      <c r="B58" s="57" t="n">
        <f aca="false">IFERROR(B57/B14,0)</f>
        <v>0</v>
      </c>
      <c r="C58" s="57" t="n">
        <f aca="false">IFERROR(C57/C14,0)</f>
        <v>0</v>
      </c>
      <c r="D58" s="57" t="n">
        <f aca="false">IFERROR(D57/D14,0)</f>
        <v>0</v>
      </c>
      <c r="E58" s="57" t="n">
        <f aca="false">IFERROR(E57/E14,0)</f>
        <v>0</v>
      </c>
      <c r="F58" s="57" t="n">
        <f aca="false">IFERROR(F57/F14,0)</f>
        <v>0</v>
      </c>
      <c r="G58" s="57" t="n">
        <f aca="false">IFERROR(G57/G14,0)</f>
        <v>0</v>
      </c>
      <c r="H58" s="57" t="n">
        <f aca="false">IFERROR(H57/H14,0)</f>
        <v>0</v>
      </c>
      <c r="I58" s="57" t="n">
        <f aca="false">IFERROR(I57/I14,0)</f>
        <v>0</v>
      </c>
      <c r="J58" s="57" t="n">
        <f aca="false">IFERROR(J57/J14,0)</f>
        <v>0</v>
      </c>
      <c r="K58" s="57" t="n">
        <f aca="false">IFERROR(K57/K14,0)</f>
        <v>0</v>
      </c>
      <c r="L58" s="57" t="n">
        <f aca="false">IFERROR(L57/L14,0)</f>
        <v>0</v>
      </c>
      <c r="M58" s="57" t="n">
        <f aca="false">IFERROR(M57/M14,0)</f>
        <v>0</v>
      </c>
      <c r="N58" s="57" t="n">
        <f aca="false">IFERROR(N57/N14,0)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9B3C"/>
    <pageSetUpPr fitToPage="false"/>
  </sheetPr>
  <dimension ref="A1:N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</cols>
  <sheetData>
    <row r="1" customFormat="false" ht="17.25" hidden="false" customHeight="true" outlineLevel="0" collapsed="false">
      <c r="A1" s="45" t="s">
        <v>627</v>
      </c>
    </row>
    <row r="2" customFormat="false" ht="15" hidden="false" customHeight="true" outlineLevel="0" collapsed="false">
      <c r="A2" s="46" t="s">
        <v>693</v>
      </c>
    </row>
    <row r="3" customFormat="false" ht="15" hidden="false" customHeight="true" outlineLevel="0" collapsed="false">
      <c r="A3" s="47" t="s">
        <v>629</v>
      </c>
    </row>
    <row r="5" customFormat="false" ht="15" hidden="false" customHeight="true" outlineLevel="0" collapsed="false">
      <c r="A5" s="48" t="s">
        <v>78</v>
      </c>
      <c r="B5" s="49" t="s">
        <v>630</v>
      </c>
      <c r="C5" s="49" t="s">
        <v>631</v>
      </c>
      <c r="D5" s="49" t="s">
        <v>632</v>
      </c>
      <c r="E5" s="49" t="s">
        <v>633</v>
      </c>
      <c r="F5" s="49" t="s">
        <v>634</v>
      </c>
      <c r="G5" s="49" t="s">
        <v>635</v>
      </c>
      <c r="H5" s="49" t="s">
        <v>636</v>
      </c>
      <c r="I5" s="49" t="s">
        <v>637</v>
      </c>
      <c r="J5" s="49" t="s">
        <v>638</v>
      </c>
      <c r="K5" s="49" t="s">
        <v>639</v>
      </c>
      <c r="L5" s="49" t="s">
        <v>640</v>
      </c>
      <c r="M5" s="49" t="s">
        <v>641</v>
      </c>
      <c r="N5" s="49" t="s">
        <v>642</v>
      </c>
    </row>
    <row r="6" customFormat="false" ht="15" hidden="false" customHeight="true" outlineLevel="0" collapsed="false">
      <c r="A6" s="50" t="s">
        <v>643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customFormat="false" ht="15" hidden="false" customHeight="true" outlineLevel="0" collapsed="false">
      <c r="A7" s="51" t="s">
        <v>644</v>
      </c>
      <c r="B7" s="52" t="n">
        <v>0</v>
      </c>
      <c r="C7" s="52" t="n">
        <v>0</v>
      </c>
      <c r="D7" s="52" t="n">
        <v>0</v>
      </c>
      <c r="E7" s="52" t="n">
        <v>0</v>
      </c>
      <c r="F7" s="52" t="n">
        <v>0</v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</row>
    <row r="8" customFormat="false" ht="15" hidden="false" customHeight="true" outlineLevel="0" collapsed="false">
      <c r="A8" s="51" t="s">
        <v>645</v>
      </c>
      <c r="B8" s="52" t="n">
        <v>0</v>
      </c>
      <c r="C8" s="52" t="n">
        <v>0</v>
      </c>
      <c r="D8" s="52" t="n">
        <v>0</v>
      </c>
      <c r="E8" s="52" t="n">
        <v>0</v>
      </c>
      <c r="F8" s="52" t="n">
        <v>0</v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</row>
    <row r="9" customFormat="false" ht="15" hidden="false" customHeight="true" outlineLevel="0" collapsed="false">
      <c r="A9" s="51" t="s">
        <v>646</v>
      </c>
      <c r="B9" s="52" t="n">
        <v>0</v>
      </c>
      <c r="C9" s="52" t="n">
        <v>0</v>
      </c>
      <c r="D9" s="52" t="n">
        <v>0</v>
      </c>
      <c r="E9" s="52" t="n">
        <v>0</v>
      </c>
      <c r="F9" s="52" t="n">
        <v>0</v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</row>
    <row r="10" customFormat="false" ht="15" hidden="false" customHeight="true" outlineLevel="0" collapsed="false">
      <c r="A10" s="51" t="s">
        <v>647</v>
      </c>
      <c r="B10" s="52" t="n">
        <v>0</v>
      </c>
      <c r="C10" s="52" t="n">
        <v>0</v>
      </c>
      <c r="D10" s="52" t="n">
        <v>0</v>
      </c>
      <c r="E10" s="52" t="n">
        <v>0</v>
      </c>
      <c r="F10" s="52" t="n">
        <v>0</v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3" t="n">
        <f aca="false">SUM(B10:M10)</f>
        <v>0</v>
      </c>
    </row>
    <row r="11" customFormat="false" ht="15" hidden="false" customHeight="true" outlineLevel="0" collapsed="false">
      <c r="A11" s="51" t="s">
        <v>648</v>
      </c>
      <c r="B11" s="54" t="n">
        <f aca="false">SUM(B7:B10)</f>
        <v>0</v>
      </c>
      <c r="C11" s="54" t="n">
        <f aca="false">SUM(C7:C10)</f>
        <v>0</v>
      </c>
      <c r="D11" s="54" t="n">
        <f aca="false">SUM(D7:D10)</f>
        <v>0</v>
      </c>
      <c r="E11" s="54" t="n">
        <f aca="false">SUM(E7:E10)</f>
        <v>0</v>
      </c>
      <c r="F11" s="54" t="n">
        <f aca="false">SUM(F7:F10)</f>
        <v>0</v>
      </c>
      <c r="G11" s="54" t="n">
        <f aca="false">SUM(G7:G10)</f>
        <v>0</v>
      </c>
      <c r="H11" s="54" t="n">
        <f aca="false">SUM(H7:H10)</f>
        <v>0</v>
      </c>
      <c r="I11" s="54" t="n">
        <f aca="false">SUM(I7:I10)</f>
        <v>0</v>
      </c>
      <c r="J11" s="54" t="n">
        <f aca="false">SUM(J7:J10)</f>
        <v>0</v>
      </c>
      <c r="K11" s="54" t="n">
        <f aca="false">SUM(K7:K10)</f>
        <v>0</v>
      </c>
      <c r="L11" s="54" t="n">
        <f aca="false">SUM(L7:L10)</f>
        <v>0</v>
      </c>
      <c r="M11" s="54" t="n">
        <f aca="false">SUM(M7:M10)</f>
        <v>0</v>
      </c>
      <c r="N11" s="54" t="n">
        <f aca="false">SUM(N7:N10)</f>
        <v>0</v>
      </c>
    </row>
    <row r="12" customFormat="false" ht="15" hidden="false" customHeight="true" outlineLevel="0" collapsed="false">
      <c r="A12" s="51" t="s">
        <v>649</v>
      </c>
      <c r="B12" s="52" t="n">
        <v>0</v>
      </c>
      <c r="C12" s="52" t="n">
        <v>0</v>
      </c>
      <c r="D12" s="52" t="n">
        <v>0</v>
      </c>
      <c r="E12" s="52" t="n">
        <v>0</v>
      </c>
      <c r="F12" s="52" t="n">
        <v>0</v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</row>
    <row r="13" customFormat="false" ht="15" hidden="false" customHeight="true" outlineLevel="0" collapsed="false">
      <c r="A13" s="51" t="s">
        <v>650</v>
      </c>
      <c r="B13" s="52" t="n">
        <v>0</v>
      </c>
      <c r="C13" s="52" t="n">
        <v>0</v>
      </c>
      <c r="D13" s="52" t="n">
        <v>0</v>
      </c>
      <c r="E13" s="52" t="n">
        <v>0</v>
      </c>
      <c r="F13" s="52" t="n">
        <v>0</v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3" t="n">
        <f aca="false">SUM(B13:M13)</f>
        <v>0</v>
      </c>
    </row>
    <row r="14" customFormat="false" ht="15" hidden="false" customHeight="true" outlineLevel="0" collapsed="false">
      <c r="A14" s="50" t="s">
        <v>651</v>
      </c>
      <c r="B14" s="55" t="n">
        <f aca="false">SUM(B7:B11)-B12-B13</f>
        <v>0</v>
      </c>
      <c r="C14" s="55" t="n">
        <f aca="false">SUM(C7:C11)-C12-C13</f>
        <v>0</v>
      </c>
      <c r="D14" s="55" t="n">
        <f aca="false">SUM(D7:D11)-D12-D13</f>
        <v>0</v>
      </c>
      <c r="E14" s="55" t="n">
        <f aca="false">SUM(E7:E11)-E12-E13</f>
        <v>0</v>
      </c>
      <c r="F14" s="55" t="n">
        <f aca="false">SUM(F7:F11)-F12-F13</f>
        <v>0</v>
      </c>
      <c r="G14" s="55" t="n">
        <f aca="false">SUM(G7:G11)-G12-G13</f>
        <v>0</v>
      </c>
      <c r="H14" s="55" t="n">
        <f aca="false">SUM(H7:H11)-H12-H13</f>
        <v>0</v>
      </c>
      <c r="I14" s="55" t="n">
        <f aca="false">SUM(I7:I11)-I12-I13</f>
        <v>0</v>
      </c>
      <c r="J14" s="55" t="n">
        <f aca="false">SUM(J7:J11)-J12-J13</f>
        <v>0</v>
      </c>
      <c r="K14" s="55" t="n">
        <f aca="false">SUM(K7:K11)-K12-K13</f>
        <v>0</v>
      </c>
      <c r="L14" s="55" t="n">
        <f aca="false">SUM(L7:L11)-L12-L13</f>
        <v>0</v>
      </c>
      <c r="M14" s="55" t="n">
        <f aca="false">SUM(M7:M11)-M12-M13</f>
        <v>0</v>
      </c>
      <c r="N14" s="55" t="n">
        <f aca="false">SUM(N7:N11)-N12-N13</f>
        <v>0</v>
      </c>
    </row>
    <row r="15" customFormat="false" ht="15" hidden="false" customHeight="true" outlineLevel="0" collapsed="false">
      <c r="A15" s="50" t="s">
        <v>652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</row>
    <row r="16" customFormat="false" ht="15" hidden="false" customHeight="true" outlineLevel="0" collapsed="false">
      <c r="A16" s="51" t="s">
        <v>653</v>
      </c>
      <c r="B16" s="52" t="n">
        <v>0</v>
      </c>
      <c r="C16" s="52" t="n">
        <v>0</v>
      </c>
      <c r="D16" s="52" t="n">
        <v>0</v>
      </c>
      <c r="E16" s="52" t="n">
        <v>0</v>
      </c>
      <c r="F16" s="52" t="n">
        <v>0</v>
      </c>
      <c r="G16" s="52" t="n">
        <v>0</v>
      </c>
      <c r="H16" s="52" t="n">
        <v>0</v>
      </c>
      <c r="I16" s="52" t="n">
        <v>0</v>
      </c>
      <c r="J16" s="52" t="n">
        <v>0</v>
      </c>
      <c r="K16" s="52" t="n">
        <v>0</v>
      </c>
      <c r="L16" s="52" t="n">
        <v>0</v>
      </c>
      <c r="M16" s="52" t="n">
        <v>0</v>
      </c>
      <c r="N16" s="52" t="n">
        <v>0</v>
      </c>
    </row>
    <row r="17" customFormat="false" ht="15" hidden="false" customHeight="true" outlineLevel="0" collapsed="false">
      <c r="A17" s="51" t="s">
        <v>654</v>
      </c>
      <c r="B17" s="52" t="n">
        <v>0</v>
      </c>
      <c r="C17" s="52" t="n">
        <v>0</v>
      </c>
      <c r="D17" s="52" t="n">
        <v>0</v>
      </c>
      <c r="E17" s="52" t="n">
        <v>0</v>
      </c>
      <c r="F17" s="52" t="n">
        <v>0</v>
      </c>
      <c r="G17" s="52" t="n">
        <v>0</v>
      </c>
      <c r="H17" s="52" t="n">
        <v>0</v>
      </c>
      <c r="I17" s="52" t="n">
        <v>0</v>
      </c>
      <c r="J17" s="52" t="n">
        <v>0</v>
      </c>
      <c r="K17" s="52" t="n">
        <v>0</v>
      </c>
      <c r="L17" s="52" t="n">
        <v>0</v>
      </c>
      <c r="M17" s="52" t="n">
        <v>0</v>
      </c>
      <c r="N17" s="52" t="n">
        <v>0</v>
      </c>
    </row>
    <row r="18" customFormat="false" ht="15" hidden="false" customHeight="true" outlineLevel="0" collapsed="false">
      <c r="A18" s="51" t="s">
        <v>655</v>
      </c>
      <c r="B18" s="52" t="n">
        <v>0</v>
      </c>
      <c r="C18" s="52" t="n">
        <v>0</v>
      </c>
      <c r="D18" s="52" t="n">
        <v>0</v>
      </c>
      <c r="E18" s="52" t="n">
        <v>0</v>
      </c>
      <c r="F18" s="52" t="n">
        <v>0</v>
      </c>
      <c r="G18" s="52" t="n">
        <v>0</v>
      </c>
      <c r="H18" s="52" t="n">
        <v>0</v>
      </c>
      <c r="I18" s="52" t="n">
        <v>0</v>
      </c>
      <c r="J18" s="52" t="n">
        <v>0</v>
      </c>
      <c r="K18" s="52" t="n">
        <v>0</v>
      </c>
      <c r="L18" s="52" t="n">
        <v>0</v>
      </c>
      <c r="M18" s="52" t="n">
        <v>0</v>
      </c>
      <c r="N18" s="52" t="n">
        <v>0</v>
      </c>
    </row>
    <row r="19" customFormat="false" ht="15" hidden="false" customHeight="true" outlineLevel="0" collapsed="false">
      <c r="A19" s="51" t="s">
        <v>656</v>
      </c>
      <c r="B19" s="52" t="n">
        <v>0</v>
      </c>
      <c r="C19" s="52" t="n">
        <v>0</v>
      </c>
      <c r="D19" s="52" t="n">
        <v>0</v>
      </c>
      <c r="E19" s="52" t="n">
        <v>0</v>
      </c>
      <c r="F19" s="52" t="n">
        <v>0</v>
      </c>
      <c r="G19" s="52" t="n">
        <v>0</v>
      </c>
      <c r="H19" s="52" t="n">
        <v>0</v>
      </c>
      <c r="I19" s="52" t="n">
        <v>0</v>
      </c>
      <c r="J19" s="52" t="n">
        <v>0</v>
      </c>
      <c r="K19" s="52" t="n">
        <v>0</v>
      </c>
      <c r="L19" s="52" t="n">
        <v>0</v>
      </c>
      <c r="M19" s="52" t="n">
        <v>0</v>
      </c>
      <c r="N19" s="52" t="n">
        <v>0</v>
      </c>
    </row>
    <row r="20" customFormat="false" ht="15" hidden="false" customHeight="true" outlineLevel="0" collapsed="false">
      <c r="A20" s="51" t="s">
        <v>657</v>
      </c>
      <c r="B20" s="52" t="n">
        <v>0</v>
      </c>
      <c r="C20" s="52" t="n">
        <v>0</v>
      </c>
      <c r="D20" s="52" t="n">
        <v>0</v>
      </c>
      <c r="E20" s="52" t="n">
        <v>0</v>
      </c>
      <c r="F20" s="52" t="n">
        <v>0</v>
      </c>
      <c r="G20" s="52" t="n">
        <v>0</v>
      </c>
      <c r="H20" s="52" t="n">
        <v>0</v>
      </c>
      <c r="I20" s="52" t="n">
        <v>0</v>
      </c>
      <c r="J20" s="52" t="n">
        <v>0</v>
      </c>
      <c r="K20" s="52" t="n">
        <v>0</v>
      </c>
      <c r="L20" s="52" t="n">
        <v>0</v>
      </c>
      <c r="M20" s="52" t="n">
        <v>0</v>
      </c>
      <c r="N20" s="52" t="n">
        <v>0</v>
      </c>
    </row>
    <row r="21" customFormat="false" ht="15" hidden="false" customHeight="true" outlineLevel="0" collapsed="false">
      <c r="A21" s="51" t="s">
        <v>658</v>
      </c>
      <c r="B21" s="52" t="n">
        <v>0</v>
      </c>
      <c r="C21" s="52" t="n">
        <v>0</v>
      </c>
      <c r="D21" s="52" t="n">
        <v>0</v>
      </c>
      <c r="E21" s="52" t="n">
        <v>0</v>
      </c>
      <c r="F21" s="52" t="n">
        <v>0</v>
      </c>
      <c r="G21" s="52" t="n">
        <v>0</v>
      </c>
      <c r="H21" s="52" t="n">
        <v>0</v>
      </c>
      <c r="I21" s="52" t="n">
        <v>0</v>
      </c>
      <c r="J21" s="52" t="n">
        <v>0</v>
      </c>
      <c r="K21" s="52" t="n">
        <v>0</v>
      </c>
      <c r="L21" s="52" t="n">
        <v>0</v>
      </c>
      <c r="M21" s="52" t="n">
        <v>0</v>
      </c>
      <c r="N21" s="52" t="n">
        <v>0</v>
      </c>
    </row>
    <row r="22" customFormat="false" ht="15" hidden="false" customHeight="true" outlineLevel="0" collapsed="false">
      <c r="A22" s="51" t="s">
        <v>659</v>
      </c>
      <c r="B22" s="52" t="n">
        <v>0</v>
      </c>
      <c r="C22" s="52" t="n">
        <v>0</v>
      </c>
      <c r="D22" s="52" t="n">
        <v>0</v>
      </c>
      <c r="E22" s="52" t="n">
        <v>0</v>
      </c>
      <c r="F22" s="52" t="n">
        <v>0</v>
      </c>
      <c r="G22" s="52" t="n">
        <v>0</v>
      </c>
      <c r="H22" s="52" t="n">
        <v>0</v>
      </c>
      <c r="I22" s="52" t="n">
        <v>0</v>
      </c>
      <c r="J22" s="52" t="n">
        <v>0</v>
      </c>
      <c r="K22" s="52" t="n">
        <v>0</v>
      </c>
      <c r="L22" s="52" t="n">
        <v>0</v>
      </c>
      <c r="M22" s="52" t="n">
        <v>0</v>
      </c>
      <c r="N22" s="52" t="n">
        <v>0</v>
      </c>
    </row>
    <row r="23" customFormat="false" ht="15" hidden="false" customHeight="true" outlineLevel="0" collapsed="false">
      <c r="A23" s="51" t="s">
        <v>660</v>
      </c>
      <c r="B23" s="52" t="n">
        <v>0</v>
      </c>
      <c r="C23" s="52" t="n">
        <v>0</v>
      </c>
      <c r="D23" s="52" t="n">
        <v>0</v>
      </c>
      <c r="E23" s="52" t="n">
        <v>0</v>
      </c>
      <c r="F23" s="52" t="n">
        <v>0</v>
      </c>
      <c r="G23" s="52" t="n">
        <v>0</v>
      </c>
      <c r="H23" s="52" t="n">
        <v>0</v>
      </c>
      <c r="I23" s="52" t="n">
        <v>0</v>
      </c>
      <c r="J23" s="52" t="n">
        <v>0</v>
      </c>
      <c r="K23" s="52" t="n">
        <v>0</v>
      </c>
      <c r="L23" s="52" t="n">
        <v>0</v>
      </c>
      <c r="M23" s="52" t="n">
        <v>0</v>
      </c>
      <c r="N23" s="52" t="n">
        <v>0</v>
      </c>
    </row>
    <row r="24" customFormat="false" ht="15" hidden="false" customHeight="true" outlineLevel="0" collapsed="false">
      <c r="A24" s="51" t="s">
        <v>661</v>
      </c>
      <c r="B24" s="52" t="n">
        <v>0</v>
      </c>
      <c r="C24" s="52" t="n">
        <v>0</v>
      </c>
      <c r="D24" s="52" t="n">
        <v>0</v>
      </c>
      <c r="E24" s="52" t="n">
        <v>0</v>
      </c>
      <c r="F24" s="52" t="n">
        <v>0</v>
      </c>
      <c r="G24" s="52" t="n">
        <v>0</v>
      </c>
      <c r="H24" s="52" t="n">
        <v>0</v>
      </c>
      <c r="I24" s="52" t="n">
        <v>0</v>
      </c>
      <c r="J24" s="52" t="n">
        <v>0</v>
      </c>
      <c r="K24" s="52" t="n">
        <v>0</v>
      </c>
      <c r="L24" s="52" t="n">
        <v>0</v>
      </c>
      <c r="M24" s="52" t="n">
        <v>0</v>
      </c>
      <c r="N24" s="52" t="n">
        <v>0</v>
      </c>
    </row>
    <row r="25" customFormat="false" ht="15" hidden="false" customHeight="true" outlineLevel="0" collapsed="false">
      <c r="A25" s="50" t="s">
        <v>662</v>
      </c>
      <c r="B25" s="55" t="n">
        <f aca="false" t="array" ref="B25:B25">SUM(B16:B23-B24)</f>
        <v>0</v>
      </c>
      <c r="C25" s="55" t="n">
        <f aca="false" t="array" ref="C25:C25">SUM(C16:C23-C24)</f>
        <v>0</v>
      </c>
      <c r="D25" s="55" t="n">
        <f aca="false" t="array" ref="D25:D25">SUM(D16:D23-D24)</f>
        <v>0</v>
      </c>
      <c r="E25" s="55" t="n">
        <f aca="false" t="array" ref="E25:E25">SUM(E16:E23-E24)</f>
        <v>0</v>
      </c>
      <c r="F25" s="55" t="n">
        <f aca="false" t="array" ref="F25:F25">SUM(F16:F23-F24)</f>
        <v>0</v>
      </c>
      <c r="G25" s="55" t="n">
        <f aca="false" t="array" ref="G25:G25">SUM(G16:G23-G24)</f>
        <v>0</v>
      </c>
      <c r="H25" s="55" t="n">
        <f aca="false" t="array" ref="H25:H25">SUM(H16:H23-H24)</f>
        <v>0</v>
      </c>
      <c r="I25" s="55" t="n">
        <f aca="false" t="array" ref="I25:I25">SUM(I16:I23-I24)</f>
        <v>0</v>
      </c>
      <c r="J25" s="55" t="n">
        <f aca="false" t="array" ref="J25:J25">SUM(J16:J23-J24)</f>
        <v>0</v>
      </c>
      <c r="K25" s="55" t="n">
        <f aca="false" t="array" ref="K25:K25">SUM(K16:K23-K24)</f>
        <v>0</v>
      </c>
      <c r="L25" s="55" t="n">
        <f aca="false" t="array" ref="L25:L25">SUM(L16:L23-L24)</f>
        <v>0</v>
      </c>
      <c r="M25" s="55" t="n">
        <f aca="false" t="array" ref="M25:M25">SUM(M16:M23-M24)</f>
        <v>0</v>
      </c>
      <c r="N25" s="55" t="n">
        <f aca="false" t="array" ref="N25:N25">SUM(N16:N23-N24)</f>
        <v>0</v>
      </c>
    </row>
    <row r="26" customFormat="false" ht="15" hidden="false" customHeight="true" outlineLevel="0" collapsed="false">
      <c r="A26" s="50" t="s">
        <v>663</v>
      </c>
      <c r="B26" s="56" t="n">
        <f aca="false">B14-B25</f>
        <v>0</v>
      </c>
      <c r="C26" s="56" t="n">
        <f aca="false">C14-C25</f>
        <v>0</v>
      </c>
      <c r="D26" s="56" t="n">
        <f aca="false">D14-D25</f>
        <v>0</v>
      </c>
      <c r="E26" s="56" t="n">
        <f aca="false">E14-E25</f>
        <v>0</v>
      </c>
      <c r="F26" s="56" t="n">
        <f aca="false">F14-F25</f>
        <v>0</v>
      </c>
      <c r="G26" s="56" t="n">
        <f aca="false">G14-G25</f>
        <v>0</v>
      </c>
      <c r="H26" s="56" t="n">
        <f aca="false">H14-H25</f>
        <v>0</v>
      </c>
      <c r="I26" s="56" t="n">
        <f aca="false">I14-I25</f>
        <v>0</v>
      </c>
      <c r="J26" s="56" t="n">
        <f aca="false">J14-J25</f>
        <v>0</v>
      </c>
      <c r="K26" s="56" t="n">
        <f aca="false">K14-K25</f>
        <v>0</v>
      </c>
      <c r="L26" s="56" t="n">
        <f aca="false">L14-L25</f>
        <v>0</v>
      </c>
      <c r="M26" s="56" t="n">
        <f aca="false">M14-M25</f>
        <v>0</v>
      </c>
      <c r="N26" s="56" t="n">
        <f aca="false">N14-N25</f>
        <v>0</v>
      </c>
    </row>
    <row r="27" customFormat="false" ht="15" hidden="false" customHeight="true" outlineLevel="0" collapsed="false">
      <c r="A27" s="51" t="s">
        <v>405</v>
      </c>
      <c r="B27" s="57" t="n">
        <f aca="false">IFERROR(B26/B14,0)</f>
        <v>0</v>
      </c>
      <c r="C27" s="57" t="n">
        <f aca="false">IFERROR(C26/C14,0)</f>
        <v>0</v>
      </c>
      <c r="D27" s="57" t="n">
        <f aca="false">IFERROR(D26/D14,0)</f>
        <v>0</v>
      </c>
      <c r="E27" s="57" t="n">
        <f aca="false">IFERROR(E26/E14,0)</f>
        <v>0</v>
      </c>
      <c r="F27" s="57" t="n">
        <f aca="false">IFERROR(F26/F14,0)</f>
        <v>0</v>
      </c>
      <c r="G27" s="57" t="n">
        <f aca="false">IFERROR(G26/G14,0)</f>
        <v>0</v>
      </c>
      <c r="H27" s="57" t="n">
        <f aca="false">IFERROR(H26/H14,0)</f>
        <v>0</v>
      </c>
      <c r="I27" s="57" t="n">
        <f aca="false">IFERROR(I26/I14,0)</f>
        <v>0</v>
      </c>
      <c r="J27" s="57" t="n">
        <f aca="false">IFERROR(J26/J14,0)</f>
        <v>0</v>
      </c>
      <c r="K27" s="57" t="n">
        <f aca="false">IFERROR(K26/K14,0)</f>
        <v>0</v>
      </c>
      <c r="L27" s="57" t="n">
        <f aca="false">IFERROR(L26/L14,0)</f>
        <v>0</v>
      </c>
      <c r="M27" s="57" t="n">
        <f aca="false">IFERROR(M26/M14,0)</f>
        <v>0</v>
      </c>
      <c r="N27" s="57" t="n">
        <f aca="false">IFERROR(N26/N14,0)</f>
        <v>0</v>
      </c>
    </row>
    <row r="28" customFormat="false" ht="15" hidden="false" customHeight="true" outlineLevel="0" collapsed="false">
      <c r="A28" s="50" t="s">
        <v>664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</row>
    <row r="29" customFormat="false" ht="15" hidden="false" customHeight="true" outlineLevel="0" collapsed="false">
      <c r="A29" s="51" t="s">
        <v>665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</row>
    <row r="30" customFormat="false" ht="15" hidden="false" customHeight="true" outlineLevel="0" collapsed="false">
      <c r="A30" s="51" t="s">
        <v>666</v>
      </c>
      <c r="B30" s="52" t="n">
        <v>0</v>
      </c>
      <c r="C30" s="52" t="n">
        <v>0</v>
      </c>
      <c r="D30" s="52" t="n">
        <v>0</v>
      </c>
      <c r="E30" s="52" t="n">
        <v>0</v>
      </c>
      <c r="F30" s="52" t="n">
        <v>0</v>
      </c>
      <c r="G30" s="52" t="n">
        <v>0</v>
      </c>
      <c r="H30" s="52" t="n">
        <v>0</v>
      </c>
      <c r="I30" s="52" t="n">
        <v>0</v>
      </c>
      <c r="J30" s="52" t="n">
        <v>0</v>
      </c>
      <c r="K30" s="52" t="n">
        <v>0</v>
      </c>
      <c r="L30" s="52" t="n">
        <v>0</v>
      </c>
      <c r="M30" s="52" t="n">
        <v>0</v>
      </c>
      <c r="N30" s="52" t="n">
        <v>0</v>
      </c>
    </row>
    <row r="31" customFormat="false" ht="15" hidden="false" customHeight="true" outlineLevel="0" collapsed="false">
      <c r="A31" s="51" t="s">
        <v>667</v>
      </c>
      <c r="B31" s="52" t="n">
        <v>0</v>
      </c>
      <c r="C31" s="52" t="n">
        <v>0</v>
      </c>
      <c r="D31" s="52" t="n">
        <v>0</v>
      </c>
      <c r="E31" s="52" t="n">
        <v>0</v>
      </c>
      <c r="F31" s="52" t="n">
        <v>0</v>
      </c>
      <c r="G31" s="52" t="n">
        <v>0</v>
      </c>
      <c r="H31" s="52" t="n">
        <v>0</v>
      </c>
      <c r="I31" s="52" t="n">
        <v>0</v>
      </c>
      <c r="J31" s="52" t="n">
        <v>0</v>
      </c>
      <c r="K31" s="52" t="n">
        <v>0</v>
      </c>
      <c r="L31" s="52" t="n">
        <v>0</v>
      </c>
      <c r="M31" s="52" t="n">
        <v>0</v>
      </c>
      <c r="N31" s="52" t="n">
        <v>0</v>
      </c>
    </row>
    <row r="32" customFormat="false" ht="15" hidden="false" customHeight="true" outlineLevel="0" collapsed="false">
      <c r="A32" s="51" t="s">
        <v>668</v>
      </c>
      <c r="B32" s="52" t="n">
        <v>0</v>
      </c>
      <c r="C32" s="52" t="n">
        <v>0</v>
      </c>
      <c r="D32" s="52" t="n">
        <v>0</v>
      </c>
      <c r="E32" s="52" t="n">
        <v>0</v>
      </c>
      <c r="F32" s="52" t="n">
        <v>0</v>
      </c>
      <c r="G32" s="52" t="n">
        <v>0</v>
      </c>
      <c r="H32" s="52" t="n">
        <v>0</v>
      </c>
      <c r="I32" s="52" t="n">
        <v>0</v>
      </c>
      <c r="J32" s="52" t="n">
        <v>0</v>
      </c>
      <c r="K32" s="52" t="n">
        <v>0</v>
      </c>
      <c r="L32" s="52" t="n">
        <v>0</v>
      </c>
      <c r="M32" s="52" t="n">
        <v>0</v>
      </c>
      <c r="N32" s="52" t="n">
        <v>0</v>
      </c>
    </row>
    <row r="33" customFormat="false" ht="15" hidden="false" customHeight="true" outlineLevel="0" collapsed="false">
      <c r="A33" s="51" t="s">
        <v>669</v>
      </c>
      <c r="B33" s="52" t="n">
        <v>0</v>
      </c>
      <c r="C33" s="52" t="n">
        <v>0</v>
      </c>
      <c r="D33" s="52" t="n">
        <v>0</v>
      </c>
      <c r="E33" s="52" t="n">
        <v>0</v>
      </c>
      <c r="F33" s="52" t="n">
        <v>0</v>
      </c>
      <c r="G33" s="52" t="n">
        <v>0</v>
      </c>
      <c r="H33" s="52" t="n">
        <v>0</v>
      </c>
      <c r="I33" s="52" t="n">
        <v>0</v>
      </c>
      <c r="J33" s="52" t="n">
        <v>0</v>
      </c>
      <c r="K33" s="52" t="n">
        <v>0</v>
      </c>
      <c r="L33" s="52" t="n">
        <v>0</v>
      </c>
      <c r="M33" s="52" t="n">
        <v>0</v>
      </c>
      <c r="N33" s="52" t="n">
        <v>0</v>
      </c>
    </row>
    <row r="34" customFormat="false" ht="15" hidden="false" customHeight="true" outlineLevel="0" collapsed="false">
      <c r="A34" s="51" t="s">
        <v>670</v>
      </c>
      <c r="B34" s="52" t="n">
        <v>0</v>
      </c>
      <c r="C34" s="52" t="n">
        <v>0</v>
      </c>
      <c r="D34" s="52" t="n">
        <v>0</v>
      </c>
      <c r="E34" s="52" t="n">
        <v>0</v>
      </c>
      <c r="F34" s="52" t="n">
        <v>0</v>
      </c>
      <c r="G34" s="52" t="n">
        <v>0</v>
      </c>
      <c r="H34" s="52" t="n">
        <v>0</v>
      </c>
      <c r="I34" s="52" t="n">
        <v>0</v>
      </c>
      <c r="J34" s="52" t="n">
        <v>0</v>
      </c>
      <c r="K34" s="52" t="n">
        <v>0</v>
      </c>
      <c r="L34" s="52" t="n">
        <v>0</v>
      </c>
      <c r="M34" s="52" t="n">
        <v>0</v>
      </c>
      <c r="N34" s="52" t="n">
        <v>0</v>
      </c>
    </row>
    <row r="35" customFormat="false" ht="15" hidden="false" customHeight="true" outlineLevel="0" collapsed="false">
      <c r="A35" s="51" t="s">
        <v>671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</row>
    <row r="36" customFormat="false" ht="15" hidden="false" customHeight="true" outlineLevel="0" collapsed="false">
      <c r="A36" s="51" t="s">
        <v>672</v>
      </c>
      <c r="B36" s="52" t="n">
        <v>0</v>
      </c>
      <c r="C36" s="52" t="n">
        <v>0</v>
      </c>
      <c r="D36" s="52" t="n">
        <v>0</v>
      </c>
      <c r="E36" s="52" t="n">
        <v>0</v>
      </c>
      <c r="F36" s="52" t="n">
        <v>0</v>
      </c>
      <c r="G36" s="52" t="n">
        <v>0</v>
      </c>
      <c r="H36" s="52" t="n">
        <v>0</v>
      </c>
      <c r="I36" s="52" t="n">
        <v>0</v>
      </c>
      <c r="J36" s="52" t="n">
        <v>0</v>
      </c>
      <c r="K36" s="52" t="n">
        <v>0</v>
      </c>
      <c r="L36" s="52" t="n">
        <v>0</v>
      </c>
      <c r="M36" s="52" t="n">
        <v>0</v>
      </c>
      <c r="N36" s="52" t="n">
        <v>0</v>
      </c>
    </row>
    <row r="37" customFormat="false" ht="15" hidden="false" customHeight="true" outlineLevel="0" collapsed="false">
      <c r="A37" s="51" t="s">
        <v>673</v>
      </c>
      <c r="B37" s="52" t="n">
        <v>0</v>
      </c>
      <c r="C37" s="52" t="n">
        <v>0</v>
      </c>
      <c r="D37" s="52" t="n">
        <v>0</v>
      </c>
      <c r="E37" s="52" t="n">
        <v>0</v>
      </c>
      <c r="F37" s="52" t="n">
        <v>0</v>
      </c>
      <c r="G37" s="52" t="n">
        <v>0</v>
      </c>
      <c r="H37" s="52" t="n">
        <v>0</v>
      </c>
      <c r="I37" s="52" t="n">
        <v>0</v>
      </c>
      <c r="J37" s="52" t="n">
        <v>0</v>
      </c>
      <c r="K37" s="52" t="n">
        <v>0</v>
      </c>
      <c r="L37" s="52" t="n">
        <v>0</v>
      </c>
      <c r="M37" s="52" t="n">
        <v>0</v>
      </c>
      <c r="N37" s="52" t="n">
        <v>0</v>
      </c>
    </row>
    <row r="38" customFormat="false" ht="15" hidden="false" customHeight="true" outlineLevel="0" collapsed="false">
      <c r="A38" s="51" t="s">
        <v>674</v>
      </c>
      <c r="B38" s="52" t="n">
        <v>0</v>
      </c>
      <c r="C38" s="52" t="n">
        <v>0</v>
      </c>
      <c r="D38" s="52" t="n">
        <v>0</v>
      </c>
      <c r="E38" s="52" t="n">
        <v>0</v>
      </c>
      <c r="F38" s="52" t="n">
        <v>0</v>
      </c>
      <c r="G38" s="52" t="n">
        <v>0</v>
      </c>
      <c r="H38" s="52" t="n">
        <v>0</v>
      </c>
      <c r="I38" s="52" t="n">
        <v>0</v>
      </c>
      <c r="J38" s="52" t="n">
        <v>0</v>
      </c>
      <c r="K38" s="52" t="n">
        <v>0</v>
      </c>
      <c r="L38" s="52" t="n">
        <v>0</v>
      </c>
      <c r="M38" s="52" t="n">
        <v>0</v>
      </c>
      <c r="N38" s="52" t="n">
        <v>0</v>
      </c>
    </row>
    <row r="39" customFormat="false" ht="15" hidden="false" customHeight="true" outlineLevel="0" collapsed="false">
      <c r="A39" s="51" t="s">
        <v>675</v>
      </c>
      <c r="B39" s="52" t="n">
        <v>0</v>
      </c>
      <c r="C39" s="52" t="n">
        <v>0</v>
      </c>
      <c r="D39" s="52" t="n">
        <v>0</v>
      </c>
      <c r="E39" s="52" t="n">
        <v>0</v>
      </c>
      <c r="F39" s="52" t="n">
        <v>0</v>
      </c>
      <c r="G39" s="52" t="n">
        <v>0</v>
      </c>
      <c r="H39" s="52" t="n">
        <v>0</v>
      </c>
      <c r="I39" s="52" t="n">
        <v>0</v>
      </c>
      <c r="J39" s="52" t="n">
        <v>0</v>
      </c>
      <c r="K39" s="52" t="n">
        <v>0</v>
      </c>
      <c r="L39" s="52" t="n">
        <v>0</v>
      </c>
      <c r="M39" s="52" t="n">
        <v>0</v>
      </c>
      <c r="N39" s="52" t="n">
        <v>0</v>
      </c>
    </row>
    <row r="40" customFormat="false" ht="15" hidden="false" customHeight="true" outlineLevel="0" collapsed="false">
      <c r="A40" s="51" t="s">
        <v>676</v>
      </c>
      <c r="B40" s="52" t="n">
        <v>0</v>
      </c>
      <c r="C40" s="52" t="n">
        <v>0</v>
      </c>
      <c r="D40" s="52" t="n">
        <v>0</v>
      </c>
      <c r="E40" s="52" t="n">
        <v>0</v>
      </c>
      <c r="F40" s="52" t="n">
        <v>0</v>
      </c>
      <c r="G40" s="52" t="n">
        <v>0</v>
      </c>
      <c r="H40" s="52" t="n">
        <v>0</v>
      </c>
      <c r="I40" s="52" t="n">
        <v>0</v>
      </c>
      <c r="J40" s="52" t="n">
        <v>0</v>
      </c>
      <c r="K40" s="52" t="n">
        <v>0</v>
      </c>
      <c r="L40" s="52" t="n">
        <v>0</v>
      </c>
      <c r="M40" s="52" t="n">
        <v>0</v>
      </c>
      <c r="N40" s="52" t="n">
        <v>0</v>
      </c>
    </row>
    <row r="41" customFormat="false" ht="15" hidden="false" customHeight="true" outlineLevel="0" collapsed="false">
      <c r="A41" s="51" t="s">
        <v>677</v>
      </c>
      <c r="B41" s="52" t="n">
        <v>0</v>
      </c>
      <c r="C41" s="52" t="n">
        <v>0</v>
      </c>
      <c r="D41" s="52" t="n">
        <v>0</v>
      </c>
      <c r="E41" s="52" t="n">
        <v>0</v>
      </c>
      <c r="F41" s="52" t="n">
        <v>0</v>
      </c>
      <c r="G41" s="52" t="n">
        <v>0</v>
      </c>
      <c r="H41" s="52" t="n">
        <v>0</v>
      </c>
      <c r="I41" s="52" t="n">
        <v>0</v>
      </c>
      <c r="J41" s="52" t="n">
        <v>0</v>
      </c>
      <c r="K41" s="52" t="n">
        <v>0</v>
      </c>
      <c r="L41" s="52" t="n">
        <v>0</v>
      </c>
      <c r="M41" s="52" t="n">
        <v>0</v>
      </c>
      <c r="N41" s="52" t="n">
        <v>0</v>
      </c>
    </row>
    <row r="42" customFormat="false" ht="15" hidden="false" customHeight="true" outlineLevel="0" collapsed="false">
      <c r="A42" s="51" t="s">
        <v>678</v>
      </c>
      <c r="B42" s="52" t="n">
        <v>0</v>
      </c>
      <c r="C42" s="52" t="n">
        <v>0</v>
      </c>
      <c r="D42" s="52" t="n">
        <v>0</v>
      </c>
      <c r="E42" s="52" t="n">
        <v>0</v>
      </c>
      <c r="F42" s="52" t="n">
        <v>0</v>
      </c>
      <c r="G42" s="52" t="n">
        <v>0</v>
      </c>
      <c r="H42" s="52" t="n">
        <v>0</v>
      </c>
      <c r="I42" s="52" t="n">
        <v>0</v>
      </c>
      <c r="J42" s="52" t="n">
        <v>0</v>
      </c>
      <c r="K42" s="52" t="n">
        <v>0</v>
      </c>
      <c r="L42" s="52" t="n">
        <v>0</v>
      </c>
      <c r="M42" s="52" t="n">
        <v>0</v>
      </c>
      <c r="N42" s="52" t="n">
        <v>0</v>
      </c>
    </row>
    <row r="43" customFormat="false" ht="15" hidden="false" customHeight="true" outlineLevel="0" collapsed="false">
      <c r="A43" s="51" t="s">
        <v>679</v>
      </c>
      <c r="B43" s="52" t="n">
        <v>0</v>
      </c>
      <c r="C43" s="52" t="n">
        <v>0</v>
      </c>
      <c r="D43" s="52" t="n">
        <v>0</v>
      </c>
      <c r="E43" s="52" t="n">
        <v>0</v>
      </c>
      <c r="F43" s="52" t="n">
        <v>0</v>
      </c>
      <c r="G43" s="52" t="n">
        <v>0</v>
      </c>
      <c r="H43" s="52" t="n">
        <v>0</v>
      </c>
      <c r="I43" s="52" t="n">
        <v>0</v>
      </c>
      <c r="J43" s="52" t="n">
        <v>0</v>
      </c>
      <c r="K43" s="52" t="n">
        <v>0</v>
      </c>
      <c r="L43" s="52" t="n">
        <v>0</v>
      </c>
      <c r="M43" s="52" t="n">
        <v>0</v>
      </c>
      <c r="N43" s="52" t="n">
        <v>0</v>
      </c>
    </row>
    <row r="44" customFormat="false" ht="15" hidden="false" customHeight="true" outlineLevel="0" collapsed="false">
      <c r="A44" s="50" t="s">
        <v>680</v>
      </c>
      <c r="B44" s="55" t="n">
        <f aca="false">SUM(B30:B43)</f>
        <v>0</v>
      </c>
      <c r="C44" s="55" t="n">
        <f aca="false">SUM(C30:C43)</f>
        <v>0</v>
      </c>
      <c r="D44" s="55" t="n">
        <f aca="false">SUM(D30:D43)</f>
        <v>0</v>
      </c>
      <c r="E44" s="55" t="n">
        <f aca="false">SUM(E30:E43)</f>
        <v>0</v>
      </c>
      <c r="F44" s="55" t="n">
        <f aca="false">SUM(F30:F43)</f>
        <v>0</v>
      </c>
      <c r="G44" s="55" t="n">
        <f aca="false">SUM(G30:G43)</f>
        <v>0</v>
      </c>
      <c r="H44" s="55" t="n">
        <f aca="false">SUM(H30:H43)</f>
        <v>0</v>
      </c>
      <c r="I44" s="55" t="n">
        <f aca="false">SUM(I30:I43)</f>
        <v>0</v>
      </c>
      <c r="J44" s="55" t="n">
        <f aca="false">SUM(J30:J43)</f>
        <v>0</v>
      </c>
      <c r="K44" s="55" t="n">
        <f aca="false">SUM(K30:K43)</f>
        <v>0</v>
      </c>
      <c r="L44" s="55" t="n">
        <f aca="false">SUM(L30:L43)</f>
        <v>0</v>
      </c>
      <c r="M44" s="55" t="n">
        <f aca="false">SUM(M30:M43)</f>
        <v>0</v>
      </c>
      <c r="N44" s="55" t="n">
        <f aca="false">SUM(N30:N43)</f>
        <v>0</v>
      </c>
    </row>
    <row r="45" customFormat="false" ht="15" hidden="false" customHeight="true" outlineLevel="0" collapsed="false">
      <c r="A45" s="50" t="s">
        <v>681</v>
      </c>
      <c r="B45" s="56" t="n">
        <f aca="false">B26-B44</f>
        <v>0</v>
      </c>
      <c r="C45" s="56" t="n">
        <f aca="false">C26-C44</f>
        <v>0</v>
      </c>
      <c r="D45" s="56" t="n">
        <f aca="false">D26-D44</f>
        <v>0</v>
      </c>
      <c r="E45" s="56" t="n">
        <f aca="false">E26-E44</f>
        <v>0</v>
      </c>
      <c r="F45" s="56" t="n">
        <f aca="false">F26-F44</f>
        <v>0</v>
      </c>
      <c r="G45" s="56" t="n">
        <f aca="false">G26-G44</f>
        <v>0</v>
      </c>
      <c r="H45" s="56" t="n">
        <f aca="false">H26-H44</f>
        <v>0</v>
      </c>
      <c r="I45" s="56" t="n">
        <f aca="false">I26-I44</f>
        <v>0</v>
      </c>
      <c r="J45" s="56" t="n">
        <f aca="false">J26-J44</f>
        <v>0</v>
      </c>
      <c r="K45" s="56" t="n">
        <f aca="false">K26-K44</f>
        <v>0</v>
      </c>
      <c r="L45" s="56" t="n">
        <f aca="false">L26-L44</f>
        <v>0</v>
      </c>
      <c r="M45" s="56" t="n">
        <f aca="false">M26-M44</f>
        <v>0</v>
      </c>
      <c r="N45" s="56" t="n">
        <f aca="false">N26-N44</f>
        <v>0</v>
      </c>
    </row>
    <row r="46" customFormat="false" ht="15" hidden="false" customHeight="true" outlineLevel="0" collapsed="false">
      <c r="A46" s="51" t="s">
        <v>682</v>
      </c>
      <c r="B46" s="57" t="n">
        <f aca="false">IFERROR(B45/B14,0)</f>
        <v>0</v>
      </c>
      <c r="C46" s="57" t="n">
        <f aca="false">IFERROR(C45/C14,0)</f>
        <v>0</v>
      </c>
      <c r="D46" s="57" t="n">
        <f aca="false">IFERROR(D45/D14,0)</f>
        <v>0</v>
      </c>
      <c r="E46" s="57" t="n">
        <f aca="false">IFERROR(E45/E14,0)</f>
        <v>0</v>
      </c>
      <c r="F46" s="57" t="n">
        <f aca="false">IFERROR(F45/F14,0)</f>
        <v>0</v>
      </c>
      <c r="G46" s="57" t="n">
        <f aca="false">IFERROR(G45/G14,0)</f>
        <v>0</v>
      </c>
      <c r="H46" s="57" t="n">
        <f aca="false">IFERROR(H45/H14,0)</f>
        <v>0</v>
      </c>
      <c r="I46" s="57" t="n">
        <f aca="false">IFERROR(I45/I14,0)</f>
        <v>0</v>
      </c>
      <c r="J46" s="57" t="n">
        <f aca="false">IFERROR(J45/J14,0)</f>
        <v>0</v>
      </c>
      <c r="K46" s="57" t="n">
        <f aca="false">IFERROR(K45/K14,0)</f>
        <v>0</v>
      </c>
      <c r="L46" s="57" t="n">
        <f aca="false">IFERROR(L45/L14,0)</f>
        <v>0</v>
      </c>
      <c r="M46" s="57" t="n">
        <f aca="false">IFERROR(M45/M14,0)</f>
        <v>0</v>
      </c>
      <c r="N46" s="57" t="n">
        <f aca="false">IFERROR(N45/N14,0)</f>
        <v>0</v>
      </c>
    </row>
    <row r="47" customFormat="false" ht="15" hidden="false" customHeight="true" outlineLevel="0" collapsed="false">
      <c r="A47" s="50" t="s">
        <v>683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</row>
    <row r="48" customFormat="false" ht="15" hidden="false" customHeight="true" outlineLevel="0" collapsed="false">
      <c r="A48" s="51" t="s">
        <v>684</v>
      </c>
      <c r="B48" s="52" t="n">
        <v>0</v>
      </c>
      <c r="C48" s="52" t="n">
        <v>0</v>
      </c>
      <c r="D48" s="52" t="n">
        <v>0</v>
      </c>
      <c r="E48" s="52" t="n">
        <v>0</v>
      </c>
      <c r="F48" s="52" t="n">
        <v>0</v>
      </c>
      <c r="G48" s="52" t="n">
        <v>0</v>
      </c>
      <c r="H48" s="52" t="n">
        <v>0</v>
      </c>
      <c r="I48" s="52" t="n">
        <v>0</v>
      </c>
      <c r="J48" s="52" t="n">
        <v>0</v>
      </c>
      <c r="K48" s="52" t="n">
        <v>0</v>
      </c>
      <c r="L48" s="52" t="n">
        <v>0</v>
      </c>
      <c r="M48" s="52" t="n">
        <v>0</v>
      </c>
      <c r="N48" s="52" t="n">
        <v>0</v>
      </c>
    </row>
    <row r="49" customFormat="false" ht="15" hidden="false" customHeight="true" outlineLevel="0" collapsed="false">
      <c r="A49" s="51" t="s">
        <v>685</v>
      </c>
      <c r="B49" s="52" t="n">
        <v>0</v>
      </c>
      <c r="C49" s="52" t="n">
        <v>0</v>
      </c>
      <c r="D49" s="52" t="n">
        <v>0</v>
      </c>
      <c r="E49" s="52" t="n">
        <v>0</v>
      </c>
      <c r="F49" s="52" t="n">
        <v>0</v>
      </c>
      <c r="G49" s="52" t="n">
        <v>0</v>
      </c>
      <c r="H49" s="52" t="n">
        <v>0</v>
      </c>
      <c r="I49" s="52" t="n">
        <v>0</v>
      </c>
      <c r="J49" s="52" t="n">
        <v>0</v>
      </c>
      <c r="K49" s="52" t="n">
        <v>0</v>
      </c>
      <c r="L49" s="52" t="n">
        <v>0</v>
      </c>
      <c r="M49" s="52" t="n">
        <v>0</v>
      </c>
      <c r="N49" s="52" t="n">
        <v>0</v>
      </c>
    </row>
    <row r="50" customFormat="false" ht="15" hidden="false" customHeight="true" outlineLevel="0" collapsed="false">
      <c r="A50" s="51" t="s">
        <v>686</v>
      </c>
      <c r="B50" s="52" t="n">
        <v>0</v>
      </c>
      <c r="C50" s="52" t="n">
        <v>0</v>
      </c>
      <c r="D50" s="52" t="n">
        <v>0</v>
      </c>
      <c r="E50" s="52" t="n">
        <v>0</v>
      </c>
      <c r="F50" s="52" t="n">
        <v>0</v>
      </c>
      <c r="G50" s="52" t="n">
        <v>0</v>
      </c>
      <c r="H50" s="52" t="n">
        <v>0</v>
      </c>
      <c r="I50" s="52" t="n">
        <v>0</v>
      </c>
      <c r="J50" s="52" t="n">
        <v>0</v>
      </c>
      <c r="K50" s="52" t="n">
        <v>0</v>
      </c>
      <c r="L50" s="52" t="n">
        <v>0</v>
      </c>
      <c r="M50" s="52" t="n">
        <v>0</v>
      </c>
      <c r="N50" s="52" t="n">
        <v>0</v>
      </c>
    </row>
    <row r="51" customFormat="false" ht="15" hidden="false" customHeight="true" outlineLevel="0" collapsed="false">
      <c r="A51" s="51" t="s">
        <v>687</v>
      </c>
      <c r="B51" s="52" t="n">
        <v>0</v>
      </c>
      <c r="C51" s="52" t="n">
        <v>0</v>
      </c>
      <c r="D51" s="52" t="n">
        <v>0</v>
      </c>
      <c r="E51" s="52" t="n">
        <v>0</v>
      </c>
      <c r="F51" s="52" t="n">
        <v>0</v>
      </c>
      <c r="G51" s="52" t="n">
        <v>0</v>
      </c>
      <c r="H51" s="52" t="n">
        <v>0</v>
      </c>
      <c r="I51" s="52" t="n">
        <v>0</v>
      </c>
      <c r="J51" s="52" t="n">
        <v>0</v>
      </c>
      <c r="K51" s="52" t="n">
        <v>0</v>
      </c>
      <c r="L51" s="52" t="n">
        <v>0</v>
      </c>
      <c r="M51" s="52" t="n">
        <v>0</v>
      </c>
      <c r="N51" s="52" t="n">
        <v>0</v>
      </c>
    </row>
    <row r="52" customFormat="false" ht="15" hidden="false" customHeight="true" outlineLevel="0" collapsed="false">
      <c r="A52" s="51" t="s">
        <v>688</v>
      </c>
      <c r="B52" s="52" t="n">
        <v>0</v>
      </c>
      <c r="C52" s="52" t="n">
        <v>0</v>
      </c>
      <c r="D52" s="52" t="n">
        <v>0</v>
      </c>
      <c r="E52" s="52" t="n">
        <v>0</v>
      </c>
      <c r="F52" s="52" t="n">
        <v>0</v>
      </c>
      <c r="G52" s="52" t="n">
        <v>0</v>
      </c>
      <c r="H52" s="52" t="n">
        <v>0</v>
      </c>
      <c r="I52" s="52" t="n">
        <v>0</v>
      </c>
      <c r="J52" s="52" t="n">
        <v>0</v>
      </c>
      <c r="K52" s="52" t="n">
        <v>0</v>
      </c>
      <c r="L52" s="52" t="n">
        <v>0</v>
      </c>
      <c r="M52" s="52" t="n">
        <v>0</v>
      </c>
      <c r="N52" s="52" t="n">
        <v>0</v>
      </c>
    </row>
    <row r="53" customFormat="false" ht="15" hidden="false" customHeight="true" outlineLevel="0" collapsed="false">
      <c r="A53" s="51" t="s">
        <v>689</v>
      </c>
      <c r="B53" s="52" t="n">
        <v>0</v>
      </c>
      <c r="C53" s="52" t="n">
        <v>0</v>
      </c>
      <c r="D53" s="52" t="n">
        <v>0</v>
      </c>
      <c r="E53" s="52" t="n">
        <v>0</v>
      </c>
      <c r="F53" s="52" t="n">
        <v>0</v>
      </c>
      <c r="G53" s="52" t="n">
        <v>0</v>
      </c>
      <c r="H53" s="52" t="n">
        <v>0</v>
      </c>
      <c r="I53" s="52" t="n">
        <v>0</v>
      </c>
      <c r="J53" s="52" t="n">
        <v>0</v>
      </c>
      <c r="K53" s="52" t="n">
        <v>0</v>
      </c>
      <c r="L53" s="52" t="n">
        <v>0</v>
      </c>
      <c r="M53" s="52" t="n">
        <v>0</v>
      </c>
      <c r="N53" s="52" t="n">
        <v>0</v>
      </c>
    </row>
    <row r="54" customFormat="false" ht="15" hidden="false" customHeight="true" outlineLevel="0" collapsed="false">
      <c r="A54" s="50" t="s">
        <v>690</v>
      </c>
      <c r="B54" s="55" t="n">
        <f aca="false">SUM(B48:B50)-B51-B52-B53</f>
        <v>0</v>
      </c>
      <c r="C54" s="55" t="n">
        <f aca="false">SUM(C48:C50)-C51-C52-C53</f>
        <v>0</v>
      </c>
      <c r="D54" s="55" t="n">
        <f aca="false">SUM(D48:D50)-D51-D52-D53</f>
        <v>0</v>
      </c>
      <c r="E54" s="55" t="n">
        <f aca="false">SUM(E48:E50)-E51-E52-E53</f>
        <v>0</v>
      </c>
      <c r="F54" s="55" t="n">
        <f aca="false">SUM(F48:F50)-F51-F52-F53</f>
        <v>0</v>
      </c>
      <c r="G54" s="55" t="n">
        <f aca="false">SUM(G48:G50)-G51-G52-G53</f>
        <v>0</v>
      </c>
      <c r="H54" s="55" t="n">
        <f aca="false">SUM(H48:H50)-H51-H52-H53</f>
        <v>0</v>
      </c>
      <c r="I54" s="55" t="n">
        <f aca="false">SUM(I48:I50)-I51-I52-I53</f>
        <v>0</v>
      </c>
      <c r="J54" s="55" t="n">
        <f aca="false">SUM(J48:J50)-J51-J52-J53</f>
        <v>0</v>
      </c>
      <c r="K54" s="55" t="n">
        <f aca="false">SUM(K48:K50)-K51-K52-K53</f>
        <v>0</v>
      </c>
      <c r="L54" s="55" t="n">
        <f aca="false">SUM(L48:L50)-L51-L52-L53</f>
        <v>0</v>
      </c>
      <c r="M54" s="55" t="n">
        <f aca="false">SUM(M48:M50)-M51-M52-M53</f>
        <v>0</v>
      </c>
      <c r="N54" s="55" t="n">
        <f aca="false">SUM(N48:N50)-N51-N52-N53</f>
        <v>0</v>
      </c>
    </row>
    <row r="55" customFormat="false" ht="15" hidden="false" customHeight="true" outlineLevel="0" collapsed="false">
      <c r="A55" s="50" t="s">
        <v>691</v>
      </c>
      <c r="B55" s="56" t="n">
        <f aca="false">B45+B54</f>
        <v>0</v>
      </c>
      <c r="C55" s="56" t="n">
        <f aca="false">C45+C54</f>
        <v>0</v>
      </c>
      <c r="D55" s="56" t="n">
        <f aca="false">D45+D54</f>
        <v>0</v>
      </c>
      <c r="E55" s="56" t="n">
        <f aca="false">E45+E54</f>
        <v>0</v>
      </c>
      <c r="F55" s="56" t="n">
        <f aca="false">F45+F54</f>
        <v>0</v>
      </c>
      <c r="G55" s="56" t="n">
        <f aca="false">G45+G54</f>
        <v>0</v>
      </c>
      <c r="H55" s="56" t="n">
        <f aca="false">H45+H54</f>
        <v>0</v>
      </c>
      <c r="I55" s="56" t="n">
        <f aca="false">I45+I54</f>
        <v>0</v>
      </c>
      <c r="J55" s="56" t="n">
        <f aca="false">J45+J54</f>
        <v>0</v>
      </c>
      <c r="K55" s="56" t="n">
        <f aca="false">K45+K54</f>
        <v>0</v>
      </c>
      <c r="L55" s="56" t="n">
        <f aca="false">L45+L54</f>
        <v>0</v>
      </c>
      <c r="M55" s="56" t="n">
        <f aca="false">M45+M54</f>
        <v>0</v>
      </c>
      <c r="N55" s="56" t="n">
        <f aca="false">N45+N54</f>
        <v>0</v>
      </c>
    </row>
    <row r="56" customFormat="false" ht="15" hidden="false" customHeight="true" outlineLevel="0" collapsed="false">
      <c r="A56" s="51" t="s">
        <v>692</v>
      </c>
      <c r="B56" s="54" t="n">
        <f aca="false">B55*0.25</f>
        <v>0</v>
      </c>
      <c r="C56" s="54" t="n">
        <f aca="false">C55*0.25</f>
        <v>0</v>
      </c>
      <c r="D56" s="54" t="n">
        <f aca="false">D55*0.25</f>
        <v>0</v>
      </c>
      <c r="E56" s="54" t="n">
        <f aca="false">E55*0.25</f>
        <v>0</v>
      </c>
      <c r="F56" s="54" t="n">
        <f aca="false">F55*0.25</f>
        <v>0</v>
      </c>
      <c r="G56" s="54" t="n">
        <f aca="false">G55*0.25</f>
        <v>0</v>
      </c>
      <c r="H56" s="54" t="n">
        <f aca="false">H55*0.25</f>
        <v>0</v>
      </c>
      <c r="I56" s="54" t="n">
        <f aca="false">I55*0.25</f>
        <v>0</v>
      </c>
      <c r="J56" s="54" t="n">
        <f aca="false">J55*0.25</f>
        <v>0</v>
      </c>
      <c r="K56" s="54" t="n">
        <f aca="false">K55*0.25</f>
        <v>0</v>
      </c>
      <c r="L56" s="54" t="n">
        <f aca="false">L55*0.25</f>
        <v>0</v>
      </c>
      <c r="M56" s="54" t="n">
        <f aca="false">M55*0.25</f>
        <v>0</v>
      </c>
      <c r="N56" s="54" t="n">
        <f aca="false">N55*0.25</f>
        <v>0</v>
      </c>
    </row>
    <row r="57" customFormat="false" ht="15" hidden="false" customHeight="true" outlineLevel="0" collapsed="false">
      <c r="A57" s="50" t="s">
        <v>403</v>
      </c>
      <c r="B57" s="56" t="n">
        <f aca="false">B55-B56</f>
        <v>0</v>
      </c>
      <c r="C57" s="56" t="n">
        <f aca="false">C55-C56</f>
        <v>0</v>
      </c>
      <c r="D57" s="56" t="n">
        <f aca="false">D55-D56</f>
        <v>0</v>
      </c>
      <c r="E57" s="56" t="n">
        <f aca="false">E55-E56</f>
        <v>0</v>
      </c>
      <c r="F57" s="56" t="n">
        <f aca="false">F55-F56</f>
        <v>0</v>
      </c>
      <c r="G57" s="56" t="n">
        <f aca="false">G55-G56</f>
        <v>0</v>
      </c>
      <c r="H57" s="56" t="n">
        <f aca="false">H55-H56</f>
        <v>0</v>
      </c>
      <c r="I57" s="56" t="n">
        <f aca="false">I55-I56</f>
        <v>0</v>
      </c>
      <c r="J57" s="56" t="n">
        <f aca="false">J55-J56</f>
        <v>0</v>
      </c>
      <c r="K57" s="56" t="n">
        <f aca="false">K55-K56</f>
        <v>0</v>
      </c>
      <c r="L57" s="56" t="n">
        <f aca="false">L55-L56</f>
        <v>0</v>
      </c>
      <c r="M57" s="56" t="n">
        <f aca="false">M55-M56</f>
        <v>0</v>
      </c>
      <c r="N57" s="56" t="n">
        <f aca="false">N55-N56</f>
        <v>0</v>
      </c>
    </row>
    <row r="58" customFormat="false" ht="15" hidden="false" customHeight="true" outlineLevel="0" collapsed="false">
      <c r="A58" s="51" t="s">
        <v>407</v>
      </c>
      <c r="B58" s="57" t="n">
        <f aca="false">IFERROR(B57/B14,0)</f>
        <v>0</v>
      </c>
      <c r="C58" s="57" t="n">
        <f aca="false">IFERROR(C57/C14,0)</f>
        <v>0</v>
      </c>
      <c r="D58" s="57" t="n">
        <f aca="false">IFERROR(D57/D14,0)</f>
        <v>0</v>
      </c>
      <c r="E58" s="57" t="n">
        <f aca="false">IFERROR(E57/E14,0)</f>
        <v>0</v>
      </c>
      <c r="F58" s="57" t="n">
        <f aca="false">IFERROR(F57/F14,0)</f>
        <v>0</v>
      </c>
      <c r="G58" s="57" t="n">
        <f aca="false">IFERROR(G57/G14,0)</f>
        <v>0</v>
      </c>
      <c r="H58" s="57" t="n">
        <f aca="false">IFERROR(H57/H14,0)</f>
        <v>0</v>
      </c>
      <c r="I58" s="57" t="n">
        <f aca="false">IFERROR(I57/I14,0)</f>
        <v>0</v>
      </c>
      <c r="J58" s="57" t="n">
        <f aca="false">IFERROR(J57/J14,0)</f>
        <v>0</v>
      </c>
      <c r="K58" s="57" t="n">
        <f aca="false">IFERROR(K57/K14,0)</f>
        <v>0</v>
      </c>
      <c r="L58" s="57" t="n">
        <f aca="false">IFERROR(L57/L14,0)</f>
        <v>0</v>
      </c>
      <c r="M58" s="57" t="n">
        <f aca="false">IFERROR(M57/M14,0)</f>
        <v>0</v>
      </c>
      <c r="N58" s="57" t="n">
        <f aca="false">IFERROR(N57/N14,0)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9B3C"/>
    <pageSetUpPr fitToPage="false"/>
  </sheetPr>
  <dimension ref="A1:N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</cols>
  <sheetData>
    <row r="1" customFormat="false" ht="17.25" hidden="false" customHeight="true" outlineLevel="0" collapsed="false">
      <c r="A1" s="45" t="s">
        <v>627</v>
      </c>
    </row>
    <row r="2" customFormat="false" ht="15" hidden="false" customHeight="true" outlineLevel="0" collapsed="false">
      <c r="A2" s="46" t="s">
        <v>694</v>
      </c>
    </row>
    <row r="3" customFormat="false" ht="15" hidden="false" customHeight="true" outlineLevel="0" collapsed="false">
      <c r="A3" s="47" t="s">
        <v>629</v>
      </c>
    </row>
    <row r="5" customFormat="false" ht="15" hidden="false" customHeight="true" outlineLevel="0" collapsed="false">
      <c r="A5" s="48" t="s">
        <v>78</v>
      </c>
      <c r="B5" s="49" t="s">
        <v>630</v>
      </c>
      <c r="C5" s="49" t="s">
        <v>631</v>
      </c>
      <c r="D5" s="49" t="s">
        <v>632</v>
      </c>
      <c r="E5" s="49" t="s">
        <v>633</v>
      </c>
      <c r="F5" s="49" t="s">
        <v>634</v>
      </c>
      <c r="G5" s="49" t="s">
        <v>635</v>
      </c>
      <c r="H5" s="49" t="s">
        <v>636</v>
      </c>
      <c r="I5" s="49" t="s">
        <v>637</v>
      </c>
      <c r="J5" s="49" t="s">
        <v>638</v>
      </c>
      <c r="K5" s="49" t="s">
        <v>639</v>
      </c>
      <c r="L5" s="49" t="s">
        <v>640</v>
      </c>
      <c r="M5" s="49" t="s">
        <v>641</v>
      </c>
      <c r="N5" s="49" t="s">
        <v>642</v>
      </c>
    </row>
    <row r="6" customFormat="false" ht="15" hidden="false" customHeight="true" outlineLevel="0" collapsed="false">
      <c r="A6" s="50" t="s">
        <v>643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customFormat="false" ht="15" hidden="false" customHeight="true" outlineLevel="0" collapsed="false">
      <c r="A7" s="51" t="s">
        <v>644</v>
      </c>
      <c r="B7" s="52" t="n">
        <v>0</v>
      </c>
      <c r="C7" s="52" t="n">
        <v>0</v>
      </c>
      <c r="D7" s="52" t="n">
        <v>0</v>
      </c>
      <c r="E7" s="52" t="n">
        <v>0</v>
      </c>
      <c r="F7" s="52" t="n">
        <v>0</v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</row>
    <row r="8" customFormat="false" ht="15" hidden="false" customHeight="true" outlineLevel="0" collapsed="false">
      <c r="A8" s="51" t="s">
        <v>645</v>
      </c>
      <c r="B8" s="52" t="n">
        <v>0</v>
      </c>
      <c r="C8" s="52" t="n">
        <v>0</v>
      </c>
      <c r="D8" s="52" t="n">
        <v>0</v>
      </c>
      <c r="E8" s="52" t="n">
        <v>0</v>
      </c>
      <c r="F8" s="52" t="n">
        <v>0</v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</row>
    <row r="9" customFormat="false" ht="15" hidden="false" customHeight="true" outlineLevel="0" collapsed="false">
      <c r="A9" s="51" t="s">
        <v>646</v>
      </c>
      <c r="B9" s="52" t="n">
        <v>0</v>
      </c>
      <c r="C9" s="52" t="n">
        <v>0</v>
      </c>
      <c r="D9" s="52" t="n">
        <v>0</v>
      </c>
      <c r="E9" s="52" t="n">
        <v>0</v>
      </c>
      <c r="F9" s="52" t="n">
        <v>0</v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</row>
    <row r="10" customFormat="false" ht="15" hidden="false" customHeight="true" outlineLevel="0" collapsed="false">
      <c r="A10" s="51" t="s">
        <v>647</v>
      </c>
      <c r="B10" s="52" t="n">
        <v>0</v>
      </c>
      <c r="C10" s="52" t="n">
        <v>0</v>
      </c>
      <c r="D10" s="52" t="n">
        <v>0</v>
      </c>
      <c r="E10" s="52" t="n">
        <v>0</v>
      </c>
      <c r="F10" s="52" t="n">
        <v>0</v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3" t="n">
        <f aca="false">SUM(B10:M10)</f>
        <v>0</v>
      </c>
    </row>
    <row r="11" customFormat="false" ht="15" hidden="false" customHeight="true" outlineLevel="0" collapsed="false">
      <c r="A11" s="51" t="s">
        <v>648</v>
      </c>
      <c r="B11" s="54" t="n">
        <f aca="false">SUM(B7:B10)</f>
        <v>0</v>
      </c>
      <c r="C11" s="54" t="n">
        <f aca="false">SUM(C7:C10)</f>
        <v>0</v>
      </c>
      <c r="D11" s="54" t="n">
        <f aca="false">SUM(D7:D10)</f>
        <v>0</v>
      </c>
      <c r="E11" s="54" t="n">
        <f aca="false">SUM(E7:E10)</f>
        <v>0</v>
      </c>
      <c r="F11" s="54" t="n">
        <f aca="false">SUM(F7:F10)</f>
        <v>0</v>
      </c>
      <c r="G11" s="54" t="n">
        <f aca="false">SUM(G7:G10)</f>
        <v>0</v>
      </c>
      <c r="H11" s="54" t="n">
        <f aca="false">SUM(H7:H10)</f>
        <v>0</v>
      </c>
      <c r="I11" s="54" t="n">
        <f aca="false">SUM(I7:I10)</f>
        <v>0</v>
      </c>
      <c r="J11" s="54" t="n">
        <f aca="false">SUM(J7:J10)</f>
        <v>0</v>
      </c>
      <c r="K11" s="54" t="n">
        <f aca="false">SUM(K7:K10)</f>
        <v>0</v>
      </c>
      <c r="L11" s="54" t="n">
        <f aca="false">SUM(L7:L10)</f>
        <v>0</v>
      </c>
      <c r="M11" s="54" t="n">
        <f aca="false">SUM(M7:M10)</f>
        <v>0</v>
      </c>
      <c r="N11" s="54" t="n">
        <f aca="false">SUM(N7:N10)</f>
        <v>0</v>
      </c>
    </row>
    <row r="12" customFormat="false" ht="15" hidden="false" customHeight="true" outlineLevel="0" collapsed="false">
      <c r="A12" s="51" t="s">
        <v>649</v>
      </c>
      <c r="B12" s="52" t="n">
        <v>0</v>
      </c>
      <c r="C12" s="52" t="n">
        <v>0</v>
      </c>
      <c r="D12" s="52" t="n">
        <v>0</v>
      </c>
      <c r="E12" s="52" t="n">
        <v>0</v>
      </c>
      <c r="F12" s="52" t="n">
        <v>0</v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</row>
    <row r="13" customFormat="false" ht="15" hidden="false" customHeight="true" outlineLevel="0" collapsed="false">
      <c r="A13" s="51" t="s">
        <v>650</v>
      </c>
      <c r="B13" s="52" t="n">
        <v>0</v>
      </c>
      <c r="C13" s="52" t="n">
        <v>0</v>
      </c>
      <c r="D13" s="52" t="n">
        <v>0</v>
      </c>
      <c r="E13" s="52" t="n">
        <v>0</v>
      </c>
      <c r="F13" s="52" t="n">
        <v>0</v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3" t="n">
        <f aca="false">SUM(B13:M13)</f>
        <v>0</v>
      </c>
    </row>
    <row r="14" customFormat="false" ht="15" hidden="false" customHeight="true" outlineLevel="0" collapsed="false">
      <c r="A14" s="50" t="s">
        <v>651</v>
      </c>
      <c r="B14" s="55" t="n">
        <f aca="false" t="array" ref="B14:B14">SUM(B7:B11-B12-B13)</f>
        <v>0</v>
      </c>
      <c r="C14" s="55" t="n">
        <f aca="false" t="array" ref="C14:C14">SUM(C7:C11-C12-C13)</f>
        <v>0</v>
      </c>
      <c r="D14" s="55" t="n">
        <f aca="false" t="array" ref="D14:D14">SUM(D7:D11-D12-D13)</f>
        <v>0</v>
      </c>
      <c r="E14" s="55" t="n">
        <f aca="false" t="array" ref="E14:E14">SUM(E7:E11-E12-E13)</f>
        <v>0</v>
      </c>
      <c r="F14" s="55" t="n">
        <f aca="false" t="array" ref="F14:F14">SUM(F7:F11-F12-F13)</f>
        <v>0</v>
      </c>
      <c r="G14" s="55" t="n">
        <f aca="false" t="array" ref="G14:G14">SUM(G7:G11-G12-G13)</f>
        <v>0</v>
      </c>
      <c r="H14" s="55" t="n">
        <f aca="false" t="array" ref="H14:H14">SUM(H7:H11-H12-H13)</f>
        <v>0</v>
      </c>
      <c r="I14" s="55" t="n">
        <f aca="false" t="array" ref="I14:I14">SUM(I7:I11-I12-I13)</f>
        <v>0</v>
      </c>
      <c r="J14" s="55" t="n">
        <f aca="false" t="array" ref="J14:J14">SUM(J7:J11-J12-J13)</f>
        <v>0</v>
      </c>
      <c r="K14" s="55" t="n">
        <f aca="false" t="array" ref="K14:K14">SUM(K7:K11-K12-K13)</f>
        <v>0</v>
      </c>
      <c r="L14" s="55" t="n">
        <f aca="false" t="array" ref="L14:L14">SUM(L7:L11-L12-L13)</f>
        <v>0</v>
      </c>
      <c r="M14" s="55" t="n">
        <f aca="false" t="array" ref="M14:M14">SUM(M7:M11-M12-M13)</f>
        <v>0</v>
      </c>
      <c r="N14" s="55" t="n">
        <f aca="false" t="array" ref="N14:N14">SUM(N7:N11-N12-N13)</f>
        <v>0</v>
      </c>
    </row>
    <row r="15" customFormat="false" ht="15" hidden="false" customHeight="true" outlineLevel="0" collapsed="false">
      <c r="A15" s="50" t="s">
        <v>652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</row>
    <row r="16" customFormat="false" ht="15" hidden="false" customHeight="true" outlineLevel="0" collapsed="false">
      <c r="A16" s="51" t="s">
        <v>653</v>
      </c>
      <c r="B16" s="52" t="n">
        <v>0</v>
      </c>
      <c r="C16" s="52" t="n">
        <v>0</v>
      </c>
      <c r="D16" s="52" t="n">
        <v>0</v>
      </c>
      <c r="E16" s="52" t="n">
        <v>0</v>
      </c>
      <c r="F16" s="52" t="n">
        <v>0</v>
      </c>
      <c r="G16" s="52" t="n">
        <v>0</v>
      </c>
      <c r="H16" s="52" t="n">
        <v>0</v>
      </c>
      <c r="I16" s="52" t="n">
        <v>0</v>
      </c>
      <c r="J16" s="52" t="n">
        <v>0</v>
      </c>
      <c r="K16" s="52" t="n">
        <v>0</v>
      </c>
      <c r="L16" s="52" t="n">
        <v>0</v>
      </c>
      <c r="M16" s="52" t="n">
        <v>0</v>
      </c>
      <c r="N16" s="52" t="n">
        <v>0</v>
      </c>
    </row>
    <row r="17" customFormat="false" ht="15" hidden="false" customHeight="true" outlineLevel="0" collapsed="false">
      <c r="A17" s="51" t="s">
        <v>654</v>
      </c>
      <c r="B17" s="52" t="n">
        <v>0</v>
      </c>
      <c r="C17" s="52" t="n">
        <v>0</v>
      </c>
      <c r="D17" s="52" t="n">
        <v>0</v>
      </c>
      <c r="E17" s="52" t="n">
        <v>0</v>
      </c>
      <c r="F17" s="52" t="n">
        <v>0</v>
      </c>
      <c r="G17" s="52" t="n">
        <v>0</v>
      </c>
      <c r="H17" s="52" t="n">
        <v>0</v>
      </c>
      <c r="I17" s="52" t="n">
        <v>0</v>
      </c>
      <c r="J17" s="52" t="n">
        <v>0</v>
      </c>
      <c r="K17" s="52" t="n">
        <v>0</v>
      </c>
      <c r="L17" s="52" t="n">
        <v>0</v>
      </c>
      <c r="M17" s="52" t="n">
        <v>0</v>
      </c>
      <c r="N17" s="52" t="n">
        <v>0</v>
      </c>
    </row>
    <row r="18" customFormat="false" ht="15" hidden="false" customHeight="true" outlineLevel="0" collapsed="false">
      <c r="A18" s="51" t="s">
        <v>655</v>
      </c>
      <c r="B18" s="52" t="n">
        <v>0</v>
      </c>
      <c r="C18" s="52" t="n">
        <v>0</v>
      </c>
      <c r="D18" s="52" t="n">
        <v>0</v>
      </c>
      <c r="E18" s="52" t="n">
        <v>0</v>
      </c>
      <c r="F18" s="52" t="n">
        <v>0</v>
      </c>
      <c r="G18" s="52" t="n">
        <v>0</v>
      </c>
      <c r="H18" s="52" t="n">
        <v>0</v>
      </c>
      <c r="I18" s="52" t="n">
        <v>0</v>
      </c>
      <c r="J18" s="52" t="n">
        <v>0</v>
      </c>
      <c r="K18" s="52" t="n">
        <v>0</v>
      </c>
      <c r="L18" s="52" t="n">
        <v>0</v>
      </c>
      <c r="M18" s="52" t="n">
        <v>0</v>
      </c>
      <c r="N18" s="52" t="n">
        <v>0</v>
      </c>
    </row>
    <row r="19" customFormat="false" ht="15" hidden="false" customHeight="true" outlineLevel="0" collapsed="false">
      <c r="A19" s="51" t="s">
        <v>656</v>
      </c>
      <c r="B19" s="52" t="n">
        <v>0</v>
      </c>
      <c r="C19" s="52" t="n">
        <v>0</v>
      </c>
      <c r="D19" s="52" t="n">
        <v>0</v>
      </c>
      <c r="E19" s="52" t="n">
        <v>0</v>
      </c>
      <c r="F19" s="52" t="n">
        <v>0</v>
      </c>
      <c r="G19" s="52" t="n">
        <v>0</v>
      </c>
      <c r="H19" s="52" t="n">
        <v>0</v>
      </c>
      <c r="I19" s="52" t="n">
        <v>0</v>
      </c>
      <c r="J19" s="52" t="n">
        <v>0</v>
      </c>
      <c r="K19" s="52" t="n">
        <v>0</v>
      </c>
      <c r="L19" s="52" t="n">
        <v>0</v>
      </c>
      <c r="M19" s="52" t="n">
        <v>0</v>
      </c>
      <c r="N19" s="52" t="n">
        <v>0</v>
      </c>
    </row>
    <row r="20" customFormat="false" ht="15" hidden="false" customHeight="true" outlineLevel="0" collapsed="false">
      <c r="A20" s="51" t="s">
        <v>657</v>
      </c>
      <c r="B20" s="52" t="n">
        <v>0</v>
      </c>
      <c r="C20" s="52" t="n">
        <v>0</v>
      </c>
      <c r="D20" s="52" t="n">
        <v>0</v>
      </c>
      <c r="E20" s="52" t="n">
        <v>0</v>
      </c>
      <c r="F20" s="52" t="n">
        <v>0</v>
      </c>
      <c r="G20" s="52" t="n">
        <v>0</v>
      </c>
      <c r="H20" s="52" t="n">
        <v>0</v>
      </c>
      <c r="I20" s="52" t="n">
        <v>0</v>
      </c>
      <c r="J20" s="52" t="n">
        <v>0</v>
      </c>
      <c r="K20" s="52" t="n">
        <v>0</v>
      </c>
      <c r="L20" s="52" t="n">
        <v>0</v>
      </c>
      <c r="M20" s="52" t="n">
        <v>0</v>
      </c>
      <c r="N20" s="52" t="n">
        <v>0</v>
      </c>
    </row>
    <row r="21" customFormat="false" ht="15" hidden="false" customHeight="true" outlineLevel="0" collapsed="false">
      <c r="A21" s="51" t="s">
        <v>658</v>
      </c>
      <c r="B21" s="52" t="n">
        <v>0</v>
      </c>
      <c r="C21" s="52" t="n">
        <v>0</v>
      </c>
      <c r="D21" s="52" t="n">
        <v>0</v>
      </c>
      <c r="E21" s="52" t="n">
        <v>0</v>
      </c>
      <c r="F21" s="52" t="n">
        <v>0</v>
      </c>
      <c r="G21" s="52" t="n">
        <v>0</v>
      </c>
      <c r="H21" s="52" t="n">
        <v>0</v>
      </c>
      <c r="I21" s="52" t="n">
        <v>0</v>
      </c>
      <c r="J21" s="52" t="n">
        <v>0</v>
      </c>
      <c r="K21" s="52" t="n">
        <v>0</v>
      </c>
      <c r="L21" s="52" t="n">
        <v>0</v>
      </c>
      <c r="M21" s="52" t="n">
        <v>0</v>
      </c>
      <c r="N21" s="52" t="n">
        <v>0</v>
      </c>
    </row>
    <row r="22" customFormat="false" ht="15" hidden="false" customHeight="true" outlineLevel="0" collapsed="false">
      <c r="A22" s="51" t="s">
        <v>659</v>
      </c>
      <c r="B22" s="52" t="n">
        <v>0</v>
      </c>
      <c r="C22" s="52" t="n">
        <v>0</v>
      </c>
      <c r="D22" s="52" t="n">
        <v>0</v>
      </c>
      <c r="E22" s="52" t="n">
        <v>0</v>
      </c>
      <c r="F22" s="52" t="n">
        <v>0</v>
      </c>
      <c r="G22" s="52" t="n">
        <v>0</v>
      </c>
      <c r="H22" s="52" t="n">
        <v>0</v>
      </c>
      <c r="I22" s="52" t="n">
        <v>0</v>
      </c>
      <c r="J22" s="52" t="n">
        <v>0</v>
      </c>
      <c r="K22" s="52" t="n">
        <v>0</v>
      </c>
      <c r="L22" s="52" t="n">
        <v>0</v>
      </c>
      <c r="M22" s="52" t="n">
        <v>0</v>
      </c>
      <c r="N22" s="52" t="n">
        <v>0</v>
      </c>
    </row>
    <row r="23" customFormat="false" ht="15" hidden="false" customHeight="true" outlineLevel="0" collapsed="false">
      <c r="A23" s="51" t="s">
        <v>660</v>
      </c>
      <c r="B23" s="52" t="n">
        <v>0</v>
      </c>
      <c r="C23" s="52" t="n">
        <v>0</v>
      </c>
      <c r="D23" s="52" t="n">
        <v>0</v>
      </c>
      <c r="E23" s="52" t="n">
        <v>0</v>
      </c>
      <c r="F23" s="52" t="n">
        <v>0</v>
      </c>
      <c r="G23" s="52" t="n">
        <v>0</v>
      </c>
      <c r="H23" s="52" t="n">
        <v>0</v>
      </c>
      <c r="I23" s="52" t="n">
        <v>0</v>
      </c>
      <c r="J23" s="52" t="n">
        <v>0</v>
      </c>
      <c r="K23" s="52" t="n">
        <v>0</v>
      </c>
      <c r="L23" s="52" t="n">
        <v>0</v>
      </c>
      <c r="M23" s="52" t="n">
        <v>0</v>
      </c>
      <c r="N23" s="52" t="n">
        <v>0</v>
      </c>
    </row>
    <row r="24" customFormat="false" ht="15" hidden="false" customHeight="true" outlineLevel="0" collapsed="false">
      <c r="A24" s="51" t="s">
        <v>661</v>
      </c>
      <c r="B24" s="52" t="n">
        <v>0</v>
      </c>
      <c r="C24" s="52" t="n">
        <v>0</v>
      </c>
      <c r="D24" s="52" t="n">
        <v>0</v>
      </c>
      <c r="E24" s="52" t="n">
        <v>0</v>
      </c>
      <c r="F24" s="52" t="n">
        <v>0</v>
      </c>
      <c r="G24" s="52" t="n">
        <v>0</v>
      </c>
      <c r="H24" s="52" t="n">
        <v>0</v>
      </c>
      <c r="I24" s="52" t="n">
        <v>0</v>
      </c>
      <c r="J24" s="52" t="n">
        <v>0</v>
      </c>
      <c r="K24" s="52" t="n">
        <v>0</v>
      </c>
      <c r="L24" s="52" t="n">
        <v>0</v>
      </c>
      <c r="M24" s="52" t="n">
        <v>0</v>
      </c>
      <c r="N24" s="52" t="n">
        <v>0</v>
      </c>
    </row>
    <row r="25" customFormat="false" ht="15" hidden="false" customHeight="true" outlineLevel="0" collapsed="false">
      <c r="A25" s="50" t="s">
        <v>662</v>
      </c>
      <c r="B25" s="55" t="n">
        <f aca="false" t="array" ref="B25:B25">SUM(B16:B23-B24)</f>
        <v>0</v>
      </c>
      <c r="C25" s="55" t="n">
        <f aca="false" t="array" ref="C25:C25">SUM(C16:C23-C24)</f>
        <v>0</v>
      </c>
      <c r="D25" s="55" t="n">
        <f aca="false" t="array" ref="D25:D25">SUM(D16:D23-D24)</f>
        <v>0</v>
      </c>
      <c r="E25" s="55" t="n">
        <f aca="false" t="array" ref="E25:E25">SUM(E16:E23-E24)</f>
        <v>0</v>
      </c>
      <c r="F25" s="55" t="n">
        <f aca="false" t="array" ref="F25:F25">SUM(F16:F23-F24)</f>
        <v>0</v>
      </c>
      <c r="G25" s="55" t="n">
        <f aca="false" t="array" ref="G25:G25">SUM(G16:G23-G24)</f>
        <v>0</v>
      </c>
      <c r="H25" s="55" t="n">
        <f aca="false" t="array" ref="H25:H25">SUM(H16:H23-H24)</f>
        <v>0</v>
      </c>
      <c r="I25" s="55" t="n">
        <f aca="false" t="array" ref="I25:I25">SUM(I16:I23-I24)</f>
        <v>0</v>
      </c>
      <c r="J25" s="55" t="n">
        <f aca="false" t="array" ref="J25:J25">SUM(J16:J23-J24)</f>
        <v>0</v>
      </c>
      <c r="K25" s="55" t="n">
        <f aca="false" t="array" ref="K25:K25">SUM(K16:K23-K24)</f>
        <v>0</v>
      </c>
      <c r="L25" s="55" t="n">
        <f aca="false" t="array" ref="L25:L25">SUM(L16:L23-L24)</f>
        <v>0</v>
      </c>
      <c r="M25" s="55" t="n">
        <f aca="false" t="array" ref="M25:M25">SUM(M16:M23-M24)</f>
        <v>0</v>
      </c>
      <c r="N25" s="55" t="n">
        <f aca="false" t="array" ref="N25:N25">SUM(N16:N23-N24)</f>
        <v>0</v>
      </c>
    </row>
    <row r="26" customFormat="false" ht="15" hidden="false" customHeight="true" outlineLevel="0" collapsed="false">
      <c r="A26" s="50" t="s">
        <v>663</v>
      </c>
      <c r="B26" s="56" t="n">
        <f aca="false">B14-B25</f>
        <v>0</v>
      </c>
      <c r="C26" s="56" t="n">
        <f aca="false">C14-C25</f>
        <v>0</v>
      </c>
      <c r="D26" s="56" t="n">
        <f aca="false">D14-D25</f>
        <v>0</v>
      </c>
      <c r="E26" s="56" t="n">
        <f aca="false">E14-E25</f>
        <v>0</v>
      </c>
      <c r="F26" s="56" t="n">
        <f aca="false">F14-F25</f>
        <v>0</v>
      </c>
      <c r="G26" s="56" t="n">
        <f aca="false">G14-G25</f>
        <v>0</v>
      </c>
      <c r="H26" s="56" t="n">
        <f aca="false">H14-H25</f>
        <v>0</v>
      </c>
      <c r="I26" s="56" t="n">
        <f aca="false">I14-I25</f>
        <v>0</v>
      </c>
      <c r="J26" s="56" t="n">
        <f aca="false">J14-J25</f>
        <v>0</v>
      </c>
      <c r="K26" s="56" t="n">
        <f aca="false">K14-K25</f>
        <v>0</v>
      </c>
      <c r="L26" s="56" t="n">
        <f aca="false">L14-L25</f>
        <v>0</v>
      </c>
      <c r="M26" s="56" t="n">
        <f aca="false">M14-M25</f>
        <v>0</v>
      </c>
      <c r="N26" s="56" t="n">
        <f aca="false">N14-N25</f>
        <v>0</v>
      </c>
    </row>
    <row r="27" customFormat="false" ht="15" hidden="false" customHeight="true" outlineLevel="0" collapsed="false">
      <c r="A27" s="51" t="s">
        <v>405</v>
      </c>
      <c r="B27" s="57" t="n">
        <f aca="false">IFERROR(B26/B14,0)</f>
        <v>0</v>
      </c>
      <c r="C27" s="57" t="n">
        <f aca="false">IFERROR(C26/C14,0)</f>
        <v>0</v>
      </c>
      <c r="D27" s="57" t="n">
        <f aca="false">IFERROR(D26/D14,0)</f>
        <v>0</v>
      </c>
      <c r="E27" s="57" t="n">
        <f aca="false">IFERROR(E26/E14,0)</f>
        <v>0</v>
      </c>
      <c r="F27" s="57" t="n">
        <f aca="false">IFERROR(F26/F14,0)</f>
        <v>0</v>
      </c>
      <c r="G27" s="57" t="n">
        <f aca="false">IFERROR(G26/G14,0)</f>
        <v>0</v>
      </c>
      <c r="H27" s="57" t="n">
        <f aca="false">IFERROR(H26/H14,0)</f>
        <v>0</v>
      </c>
      <c r="I27" s="57" t="n">
        <f aca="false">IFERROR(I26/I14,0)</f>
        <v>0</v>
      </c>
      <c r="J27" s="57" t="n">
        <f aca="false">IFERROR(J26/J14,0)</f>
        <v>0</v>
      </c>
      <c r="K27" s="57" t="n">
        <f aca="false">IFERROR(K26/K14,0)</f>
        <v>0</v>
      </c>
      <c r="L27" s="57" t="n">
        <f aca="false">IFERROR(L26/L14,0)</f>
        <v>0</v>
      </c>
      <c r="M27" s="57" t="n">
        <f aca="false">IFERROR(M26/M14,0)</f>
        <v>0</v>
      </c>
      <c r="N27" s="57" t="n">
        <f aca="false">IFERROR(N26/N14,0)</f>
        <v>0</v>
      </c>
    </row>
    <row r="28" customFormat="false" ht="15" hidden="false" customHeight="true" outlineLevel="0" collapsed="false">
      <c r="A28" s="50" t="s">
        <v>664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</row>
    <row r="29" customFormat="false" ht="15" hidden="false" customHeight="true" outlineLevel="0" collapsed="false">
      <c r="A29" s="51" t="s">
        <v>665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</row>
    <row r="30" customFormat="false" ht="15" hidden="false" customHeight="true" outlineLevel="0" collapsed="false">
      <c r="A30" s="51" t="s">
        <v>666</v>
      </c>
      <c r="B30" s="52" t="n">
        <v>0</v>
      </c>
      <c r="C30" s="52" t="n">
        <v>0</v>
      </c>
      <c r="D30" s="52" t="n">
        <v>0</v>
      </c>
      <c r="E30" s="52" t="n">
        <v>0</v>
      </c>
      <c r="F30" s="52" t="n">
        <v>0</v>
      </c>
      <c r="G30" s="52" t="n">
        <v>0</v>
      </c>
      <c r="H30" s="52" t="n">
        <v>0</v>
      </c>
      <c r="I30" s="52" t="n">
        <v>0</v>
      </c>
      <c r="J30" s="52" t="n">
        <v>0</v>
      </c>
      <c r="K30" s="52" t="n">
        <v>0</v>
      </c>
      <c r="L30" s="52" t="n">
        <v>0</v>
      </c>
      <c r="M30" s="52" t="n">
        <v>0</v>
      </c>
      <c r="N30" s="52" t="n">
        <v>0</v>
      </c>
    </row>
    <row r="31" customFormat="false" ht="15" hidden="false" customHeight="true" outlineLevel="0" collapsed="false">
      <c r="A31" s="51" t="s">
        <v>667</v>
      </c>
      <c r="B31" s="52" t="n">
        <v>0</v>
      </c>
      <c r="C31" s="52" t="n">
        <v>0</v>
      </c>
      <c r="D31" s="52" t="n">
        <v>0</v>
      </c>
      <c r="E31" s="52" t="n">
        <v>0</v>
      </c>
      <c r="F31" s="52" t="n">
        <v>0</v>
      </c>
      <c r="G31" s="52" t="n">
        <v>0</v>
      </c>
      <c r="H31" s="52" t="n">
        <v>0</v>
      </c>
      <c r="I31" s="52" t="n">
        <v>0</v>
      </c>
      <c r="J31" s="52" t="n">
        <v>0</v>
      </c>
      <c r="K31" s="52" t="n">
        <v>0</v>
      </c>
      <c r="L31" s="52" t="n">
        <v>0</v>
      </c>
      <c r="M31" s="52" t="n">
        <v>0</v>
      </c>
      <c r="N31" s="52" t="n">
        <v>0</v>
      </c>
    </row>
    <row r="32" customFormat="false" ht="15" hidden="false" customHeight="true" outlineLevel="0" collapsed="false">
      <c r="A32" s="51" t="s">
        <v>668</v>
      </c>
      <c r="B32" s="52" t="n">
        <v>0</v>
      </c>
      <c r="C32" s="52" t="n">
        <v>0</v>
      </c>
      <c r="D32" s="52" t="n">
        <v>0</v>
      </c>
      <c r="E32" s="52" t="n">
        <v>0</v>
      </c>
      <c r="F32" s="52" t="n">
        <v>0</v>
      </c>
      <c r="G32" s="52" t="n">
        <v>0</v>
      </c>
      <c r="H32" s="52" t="n">
        <v>0</v>
      </c>
      <c r="I32" s="52" t="n">
        <v>0</v>
      </c>
      <c r="J32" s="52" t="n">
        <v>0</v>
      </c>
      <c r="K32" s="52" t="n">
        <v>0</v>
      </c>
      <c r="L32" s="52" t="n">
        <v>0</v>
      </c>
      <c r="M32" s="52" t="n">
        <v>0</v>
      </c>
      <c r="N32" s="52" t="n">
        <v>0</v>
      </c>
    </row>
    <row r="33" customFormat="false" ht="15" hidden="false" customHeight="true" outlineLevel="0" collapsed="false">
      <c r="A33" s="51" t="s">
        <v>669</v>
      </c>
      <c r="B33" s="52" t="n">
        <v>0</v>
      </c>
      <c r="C33" s="52" t="n">
        <v>0</v>
      </c>
      <c r="D33" s="52" t="n">
        <v>0</v>
      </c>
      <c r="E33" s="52" t="n">
        <v>0</v>
      </c>
      <c r="F33" s="52" t="n">
        <v>0</v>
      </c>
      <c r="G33" s="52" t="n">
        <v>0</v>
      </c>
      <c r="H33" s="52" t="n">
        <v>0</v>
      </c>
      <c r="I33" s="52" t="n">
        <v>0</v>
      </c>
      <c r="J33" s="52" t="n">
        <v>0</v>
      </c>
      <c r="K33" s="52" t="n">
        <v>0</v>
      </c>
      <c r="L33" s="52" t="n">
        <v>0</v>
      </c>
      <c r="M33" s="52" t="n">
        <v>0</v>
      </c>
      <c r="N33" s="52" t="n">
        <v>0</v>
      </c>
    </row>
    <row r="34" customFormat="false" ht="15" hidden="false" customHeight="true" outlineLevel="0" collapsed="false">
      <c r="A34" s="51" t="s">
        <v>670</v>
      </c>
      <c r="B34" s="52" t="n">
        <v>0</v>
      </c>
      <c r="C34" s="52" t="n">
        <v>0</v>
      </c>
      <c r="D34" s="52" t="n">
        <v>0</v>
      </c>
      <c r="E34" s="52" t="n">
        <v>0</v>
      </c>
      <c r="F34" s="52" t="n">
        <v>0</v>
      </c>
      <c r="G34" s="52" t="n">
        <v>0</v>
      </c>
      <c r="H34" s="52" t="n">
        <v>0</v>
      </c>
      <c r="I34" s="52" t="n">
        <v>0</v>
      </c>
      <c r="J34" s="52" t="n">
        <v>0</v>
      </c>
      <c r="K34" s="52" t="n">
        <v>0</v>
      </c>
      <c r="L34" s="52" t="n">
        <v>0</v>
      </c>
      <c r="M34" s="52" t="n">
        <v>0</v>
      </c>
      <c r="N34" s="52" t="n">
        <v>0</v>
      </c>
    </row>
    <row r="35" customFormat="false" ht="15" hidden="false" customHeight="true" outlineLevel="0" collapsed="false">
      <c r="A35" s="51" t="s">
        <v>671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</row>
    <row r="36" customFormat="false" ht="15" hidden="false" customHeight="true" outlineLevel="0" collapsed="false">
      <c r="A36" s="51" t="s">
        <v>672</v>
      </c>
      <c r="B36" s="52" t="n">
        <v>0</v>
      </c>
      <c r="C36" s="52" t="n">
        <v>0</v>
      </c>
      <c r="D36" s="52" t="n">
        <v>0</v>
      </c>
      <c r="E36" s="52" t="n">
        <v>0</v>
      </c>
      <c r="F36" s="52" t="n">
        <v>0</v>
      </c>
      <c r="G36" s="52" t="n">
        <v>0</v>
      </c>
      <c r="H36" s="52" t="n">
        <v>0</v>
      </c>
      <c r="I36" s="52" t="n">
        <v>0</v>
      </c>
      <c r="J36" s="52" t="n">
        <v>0</v>
      </c>
      <c r="K36" s="52" t="n">
        <v>0</v>
      </c>
      <c r="L36" s="52" t="n">
        <v>0</v>
      </c>
      <c r="M36" s="52" t="n">
        <v>0</v>
      </c>
      <c r="N36" s="52" t="n">
        <v>0</v>
      </c>
    </row>
    <row r="37" customFormat="false" ht="15" hidden="false" customHeight="true" outlineLevel="0" collapsed="false">
      <c r="A37" s="51" t="s">
        <v>673</v>
      </c>
      <c r="B37" s="52" t="n">
        <v>0</v>
      </c>
      <c r="C37" s="52" t="n">
        <v>0</v>
      </c>
      <c r="D37" s="52" t="n">
        <v>0</v>
      </c>
      <c r="E37" s="52" t="n">
        <v>0</v>
      </c>
      <c r="F37" s="52" t="n">
        <v>0</v>
      </c>
      <c r="G37" s="52" t="n">
        <v>0</v>
      </c>
      <c r="H37" s="52" t="n">
        <v>0</v>
      </c>
      <c r="I37" s="52" t="n">
        <v>0</v>
      </c>
      <c r="J37" s="52" t="n">
        <v>0</v>
      </c>
      <c r="K37" s="52" t="n">
        <v>0</v>
      </c>
      <c r="L37" s="52" t="n">
        <v>0</v>
      </c>
      <c r="M37" s="52" t="n">
        <v>0</v>
      </c>
      <c r="N37" s="52" t="n">
        <v>0</v>
      </c>
    </row>
    <row r="38" customFormat="false" ht="15" hidden="false" customHeight="true" outlineLevel="0" collapsed="false">
      <c r="A38" s="51" t="s">
        <v>674</v>
      </c>
      <c r="B38" s="52" t="n">
        <v>0</v>
      </c>
      <c r="C38" s="52" t="n">
        <v>0</v>
      </c>
      <c r="D38" s="52" t="n">
        <v>0</v>
      </c>
      <c r="E38" s="52" t="n">
        <v>0</v>
      </c>
      <c r="F38" s="52" t="n">
        <v>0</v>
      </c>
      <c r="G38" s="52" t="n">
        <v>0</v>
      </c>
      <c r="H38" s="52" t="n">
        <v>0</v>
      </c>
      <c r="I38" s="52" t="n">
        <v>0</v>
      </c>
      <c r="J38" s="52" t="n">
        <v>0</v>
      </c>
      <c r="K38" s="52" t="n">
        <v>0</v>
      </c>
      <c r="L38" s="52" t="n">
        <v>0</v>
      </c>
      <c r="M38" s="52" t="n">
        <v>0</v>
      </c>
      <c r="N38" s="52" t="n">
        <v>0</v>
      </c>
    </row>
    <row r="39" customFormat="false" ht="15" hidden="false" customHeight="true" outlineLevel="0" collapsed="false">
      <c r="A39" s="51" t="s">
        <v>675</v>
      </c>
      <c r="B39" s="52" t="n">
        <v>0</v>
      </c>
      <c r="C39" s="52" t="n">
        <v>0</v>
      </c>
      <c r="D39" s="52" t="n">
        <v>0</v>
      </c>
      <c r="E39" s="52" t="n">
        <v>0</v>
      </c>
      <c r="F39" s="52" t="n">
        <v>0</v>
      </c>
      <c r="G39" s="52" t="n">
        <v>0</v>
      </c>
      <c r="H39" s="52" t="n">
        <v>0</v>
      </c>
      <c r="I39" s="52" t="n">
        <v>0</v>
      </c>
      <c r="J39" s="52" t="n">
        <v>0</v>
      </c>
      <c r="K39" s="52" t="n">
        <v>0</v>
      </c>
      <c r="L39" s="52" t="n">
        <v>0</v>
      </c>
      <c r="M39" s="52" t="n">
        <v>0</v>
      </c>
      <c r="N39" s="52" t="n">
        <v>0</v>
      </c>
    </row>
    <row r="40" customFormat="false" ht="15" hidden="false" customHeight="true" outlineLevel="0" collapsed="false">
      <c r="A40" s="51" t="s">
        <v>676</v>
      </c>
      <c r="B40" s="52" t="n">
        <v>0</v>
      </c>
      <c r="C40" s="52" t="n">
        <v>0</v>
      </c>
      <c r="D40" s="52" t="n">
        <v>0</v>
      </c>
      <c r="E40" s="52" t="n">
        <v>0</v>
      </c>
      <c r="F40" s="52" t="n">
        <v>0</v>
      </c>
      <c r="G40" s="52" t="n">
        <v>0</v>
      </c>
      <c r="H40" s="52" t="n">
        <v>0</v>
      </c>
      <c r="I40" s="52" t="n">
        <v>0</v>
      </c>
      <c r="J40" s="52" t="n">
        <v>0</v>
      </c>
      <c r="K40" s="52" t="n">
        <v>0</v>
      </c>
      <c r="L40" s="52" t="n">
        <v>0</v>
      </c>
      <c r="M40" s="52" t="n">
        <v>0</v>
      </c>
      <c r="N40" s="52" t="n">
        <v>0</v>
      </c>
    </row>
    <row r="41" customFormat="false" ht="15" hidden="false" customHeight="true" outlineLevel="0" collapsed="false">
      <c r="A41" s="51" t="s">
        <v>677</v>
      </c>
      <c r="B41" s="52" t="n">
        <v>0</v>
      </c>
      <c r="C41" s="52" t="n">
        <v>0</v>
      </c>
      <c r="D41" s="52" t="n">
        <v>0</v>
      </c>
      <c r="E41" s="52" t="n">
        <v>0</v>
      </c>
      <c r="F41" s="52" t="n">
        <v>0</v>
      </c>
      <c r="G41" s="52" t="n">
        <v>0</v>
      </c>
      <c r="H41" s="52" t="n">
        <v>0</v>
      </c>
      <c r="I41" s="52" t="n">
        <v>0</v>
      </c>
      <c r="J41" s="52" t="n">
        <v>0</v>
      </c>
      <c r="K41" s="52" t="n">
        <v>0</v>
      </c>
      <c r="L41" s="52" t="n">
        <v>0</v>
      </c>
      <c r="M41" s="52" t="n">
        <v>0</v>
      </c>
      <c r="N41" s="52" t="n">
        <v>0</v>
      </c>
    </row>
    <row r="42" customFormat="false" ht="15" hidden="false" customHeight="true" outlineLevel="0" collapsed="false">
      <c r="A42" s="51" t="s">
        <v>678</v>
      </c>
      <c r="B42" s="52" t="n">
        <v>0</v>
      </c>
      <c r="C42" s="52" t="n">
        <v>0</v>
      </c>
      <c r="D42" s="52" t="n">
        <v>0</v>
      </c>
      <c r="E42" s="52" t="n">
        <v>0</v>
      </c>
      <c r="F42" s="52" t="n">
        <v>0</v>
      </c>
      <c r="G42" s="52" t="n">
        <v>0</v>
      </c>
      <c r="H42" s="52" t="n">
        <v>0</v>
      </c>
      <c r="I42" s="52" t="n">
        <v>0</v>
      </c>
      <c r="J42" s="52" t="n">
        <v>0</v>
      </c>
      <c r="K42" s="52" t="n">
        <v>0</v>
      </c>
      <c r="L42" s="52" t="n">
        <v>0</v>
      </c>
      <c r="M42" s="52" t="n">
        <v>0</v>
      </c>
      <c r="N42" s="52" t="n">
        <v>0</v>
      </c>
    </row>
    <row r="43" customFormat="false" ht="15" hidden="false" customHeight="true" outlineLevel="0" collapsed="false">
      <c r="A43" s="51" t="s">
        <v>679</v>
      </c>
      <c r="B43" s="52" t="n">
        <v>0</v>
      </c>
      <c r="C43" s="52" t="n">
        <v>0</v>
      </c>
      <c r="D43" s="52" t="n">
        <v>0</v>
      </c>
      <c r="E43" s="52" t="n">
        <v>0</v>
      </c>
      <c r="F43" s="52" t="n">
        <v>0</v>
      </c>
      <c r="G43" s="52" t="n">
        <v>0</v>
      </c>
      <c r="H43" s="52" t="n">
        <v>0</v>
      </c>
      <c r="I43" s="52" t="n">
        <v>0</v>
      </c>
      <c r="J43" s="52" t="n">
        <v>0</v>
      </c>
      <c r="K43" s="52" t="n">
        <v>0</v>
      </c>
      <c r="L43" s="52" t="n">
        <v>0</v>
      </c>
      <c r="M43" s="52" t="n">
        <v>0</v>
      </c>
      <c r="N43" s="52" t="n">
        <v>0</v>
      </c>
    </row>
    <row r="44" customFormat="false" ht="15" hidden="false" customHeight="true" outlineLevel="0" collapsed="false">
      <c r="A44" s="50" t="s">
        <v>680</v>
      </c>
      <c r="B44" s="55" t="n">
        <f aca="false">SUM(B29:B43)</f>
        <v>0</v>
      </c>
      <c r="C44" s="55" t="n">
        <f aca="false">SUM(C29:C43)</f>
        <v>0</v>
      </c>
      <c r="D44" s="55" t="n">
        <f aca="false">SUM(D29:D43)</f>
        <v>0</v>
      </c>
      <c r="E44" s="55" t="n">
        <f aca="false">SUM(E29:E43)</f>
        <v>0</v>
      </c>
      <c r="F44" s="55" t="n">
        <f aca="false">SUM(F29:F43)</f>
        <v>0</v>
      </c>
      <c r="G44" s="55" t="n">
        <f aca="false">SUM(G29:G43)</f>
        <v>0</v>
      </c>
      <c r="H44" s="55" t="n">
        <f aca="false">SUM(H29:H43)</f>
        <v>0</v>
      </c>
      <c r="I44" s="55" t="n">
        <f aca="false">SUM(I29:I43)</f>
        <v>0</v>
      </c>
      <c r="J44" s="55" t="n">
        <f aca="false">SUM(J29:J43)</f>
        <v>0</v>
      </c>
      <c r="K44" s="55" t="n">
        <f aca="false">SUM(K29:K43)</f>
        <v>0</v>
      </c>
      <c r="L44" s="55" t="n">
        <f aca="false">SUM(L29:L43)</f>
        <v>0</v>
      </c>
      <c r="M44" s="55" t="n">
        <f aca="false">SUM(M29:M43)</f>
        <v>0</v>
      </c>
      <c r="N44" s="55" t="n">
        <f aca="false">SUM(N29:N43)</f>
        <v>0</v>
      </c>
    </row>
    <row r="45" customFormat="false" ht="15" hidden="false" customHeight="true" outlineLevel="0" collapsed="false">
      <c r="A45" s="50" t="s">
        <v>681</v>
      </c>
      <c r="B45" s="56" t="n">
        <f aca="false">B26-B44</f>
        <v>0</v>
      </c>
      <c r="C45" s="56" t="n">
        <f aca="false">C26-C44</f>
        <v>0</v>
      </c>
      <c r="D45" s="56" t="n">
        <f aca="false">D26-D44</f>
        <v>0</v>
      </c>
      <c r="E45" s="56" t="n">
        <f aca="false">E26-E44</f>
        <v>0</v>
      </c>
      <c r="F45" s="56" t="n">
        <f aca="false">F26-F44</f>
        <v>0</v>
      </c>
      <c r="G45" s="56" t="n">
        <f aca="false">G26-G44</f>
        <v>0</v>
      </c>
      <c r="H45" s="56" t="n">
        <f aca="false">H26-H44</f>
        <v>0</v>
      </c>
      <c r="I45" s="56" t="n">
        <f aca="false">I26-I44</f>
        <v>0</v>
      </c>
      <c r="J45" s="56" t="n">
        <f aca="false">J26-J44</f>
        <v>0</v>
      </c>
      <c r="K45" s="56" t="n">
        <f aca="false">K26-K44</f>
        <v>0</v>
      </c>
      <c r="L45" s="56" t="n">
        <f aca="false">L26-L44</f>
        <v>0</v>
      </c>
      <c r="M45" s="56" t="n">
        <f aca="false">M26-M44</f>
        <v>0</v>
      </c>
      <c r="N45" s="56" t="n">
        <f aca="false">N26-N44</f>
        <v>0</v>
      </c>
    </row>
    <row r="46" customFormat="false" ht="15" hidden="false" customHeight="true" outlineLevel="0" collapsed="false">
      <c r="A46" s="51" t="s">
        <v>682</v>
      </c>
      <c r="B46" s="57" t="n">
        <f aca="false">IFERROR(B45/B14,0)</f>
        <v>0</v>
      </c>
      <c r="C46" s="57" t="n">
        <f aca="false">IFERROR(C45/C14,0)</f>
        <v>0</v>
      </c>
      <c r="D46" s="57" t="n">
        <f aca="false">IFERROR(D45/D14,0)</f>
        <v>0</v>
      </c>
      <c r="E46" s="57" t="n">
        <f aca="false">IFERROR(E45/E14,0)</f>
        <v>0</v>
      </c>
      <c r="F46" s="57" t="n">
        <f aca="false">IFERROR(F45/F14,0)</f>
        <v>0</v>
      </c>
      <c r="G46" s="57" t="n">
        <f aca="false">IFERROR(G45/G14,0)</f>
        <v>0</v>
      </c>
      <c r="H46" s="57" t="n">
        <f aca="false">IFERROR(H45/H14,0)</f>
        <v>0</v>
      </c>
      <c r="I46" s="57" t="n">
        <f aca="false">IFERROR(I45/I14,0)</f>
        <v>0</v>
      </c>
      <c r="J46" s="57" t="n">
        <f aca="false">IFERROR(J45/J14,0)</f>
        <v>0</v>
      </c>
      <c r="K46" s="57" t="n">
        <f aca="false">IFERROR(K45/K14,0)</f>
        <v>0</v>
      </c>
      <c r="L46" s="57" t="n">
        <f aca="false">IFERROR(L45/L14,0)</f>
        <v>0</v>
      </c>
      <c r="M46" s="57" t="n">
        <f aca="false">IFERROR(M45/M14,0)</f>
        <v>0</v>
      </c>
      <c r="N46" s="57" t="n">
        <f aca="false">IFERROR(N45/N14,0)</f>
        <v>0</v>
      </c>
    </row>
    <row r="47" customFormat="false" ht="15" hidden="false" customHeight="true" outlineLevel="0" collapsed="false">
      <c r="A47" s="50" t="s">
        <v>683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</row>
    <row r="48" customFormat="false" ht="15" hidden="false" customHeight="true" outlineLevel="0" collapsed="false">
      <c r="A48" s="51" t="s">
        <v>684</v>
      </c>
      <c r="B48" s="52" t="n">
        <v>0</v>
      </c>
      <c r="C48" s="52" t="n">
        <v>0</v>
      </c>
      <c r="D48" s="52" t="n">
        <v>0</v>
      </c>
      <c r="E48" s="52" t="n">
        <v>0</v>
      </c>
      <c r="F48" s="52" t="n">
        <v>0</v>
      </c>
      <c r="G48" s="52" t="n">
        <v>0</v>
      </c>
      <c r="H48" s="52" t="n">
        <v>0</v>
      </c>
      <c r="I48" s="52" t="n">
        <v>0</v>
      </c>
      <c r="J48" s="52" t="n">
        <v>0</v>
      </c>
      <c r="K48" s="52" t="n">
        <v>0</v>
      </c>
      <c r="L48" s="52" t="n">
        <v>0</v>
      </c>
      <c r="M48" s="52" t="n">
        <v>0</v>
      </c>
      <c r="N48" s="52" t="n">
        <v>0</v>
      </c>
    </row>
    <row r="49" customFormat="false" ht="15" hidden="false" customHeight="true" outlineLevel="0" collapsed="false">
      <c r="A49" s="51" t="s">
        <v>685</v>
      </c>
      <c r="B49" s="52" t="n">
        <v>0</v>
      </c>
      <c r="C49" s="52" t="n">
        <v>0</v>
      </c>
      <c r="D49" s="52" t="n">
        <v>0</v>
      </c>
      <c r="E49" s="52" t="n">
        <v>0</v>
      </c>
      <c r="F49" s="52" t="n">
        <v>0</v>
      </c>
      <c r="G49" s="52" t="n">
        <v>0</v>
      </c>
      <c r="H49" s="52" t="n">
        <v>0</v>
      </c>
      <c r="I49" s="52" t="n">
        <v>0</v>
      </c>
      <c r="J49" s="52" t="n">
        <v>0</v>
      </c>
      <c r="K49" s="52" t="n">
        <v>0</v>
      </c>
      <c r="L49" s="52" t="n">
        <v>0</v>
      </c>
      <c r="M49" s="52" t="n">
        <v>0</v>
      </c>
      <c r="N49" s="52" t="n">
        <v>0</v>
      </c>
    </row>
    <row r="50" customFormat="false" ht="15" hidden="false" customHeight="true" outlineLevel="0" collapsed="false">
      <c r="A50" s="51" t="s">
        <v>686</v>
      </c>
      <c r="B50" s="52" t="n">
        <v>0</v>
      </c>
      <c r="C50" s="52" t="n">
        <v>0</v>
      </c>
      <c r="D50" s="52" t="n">
        <v>0</v>
      </c>
      <c r="E50" s="52" t="n">
        <v>0</v>
      </c>
      <c r="F50" s="52" t="n">
        <v>0</v>
      </c>
      <c r="G50" s="52" t="n">
        <v>0</v>
      </c>
      <c r="H50" s="52" t="n">
        <v>0</v>
      </c>
      <c r="I50" s="52" t="n">
        <v>0</v>
      </c>
      <c r="J50" s="52" t="n">
        <v>0</v>
      </c>
      <c r="K50" s="52" t="n">
        <v>0</v>
      </c>
      <c r="L50" s="52" t="n">
        <v>0</v>
      </c>
      <c r="M50" s="52" t="n">
        <v>0</v>
      </c>
      <c r="N50" s="52" t="n">
        <v>0</v>
      </c>
    </row>
    <row r="51" customFormat="false" ht="15" hidden="false" customHeight="true" outlineLevel="0" collapsed="false">
      <c r="A51" s="51" t="s">
        <v>687</v>
      </c>
      <c r="B51" s="52" t="n">
        <v>0</v>
      </c>
      <c r="C51" s="52" t="n">
        <v>0</v>
      </c>
      <c r="D51" s="52" t="n">
        <v>0</v>
      </c>
      <c r="E51" s="52" t="n">
        <v>0</v>
      </c>
      <c r="F51" s="52" t="n">
        <v>0</v>
      </c>
      <c r="G51" s="52" t="n">
        <v>0</v>
      </c>
      <c r="H51" s="52" t="n">
        <v>0</v>
      </c>
      <c r="I51" s="52" t="n">
        <v>0</v>
      </c>
      <c r="J51" s="52" t="n">
        <v>0</v>
      </c>
      <c r="K51" s="52" t="n">
        <v>0</v>
      </c>
      <c r="L51" s="52" t="n">
        <v>0</v>
      </c>
      <c r="M51" s="52" t="n">
        <v>0</v>
      </c>
      <c r="N51" s="52" t="n">
        <v>0</v>
      </c>
    </row>
    <row r="52" customFormat="false" ht="15" hidden="false" customHeight="true" outlineLevel="0" collapsed="false">
      <c r="A52" s="51" t="s">
        <v>688</v>
      </c>
      <c r="B52" s="52" t="n">
        <v>0</v>
      </c>
      <c r="C52" s="52" t="n">
        <v>0</v>
      </c>
      <c r="D52" s="52" t="n">
        <v>0</v>
      </c>
      <c r="E52" s="52" t="n">
        <v>0</v>
      </c>
      <c r="F52" s="52" t="n">
        <v>0</v>
      </c>
      <c r="G52" s="52" t="n">
        <v>0</v>
      </c>
      <c r="H52" s="52" t="n">
        <v>0</v>
      </c>
      <c r="I52" s="52" t="n">
        <v>0</v>
      </c>
      <c r="J52" s="52" t="n">
        <v>0</v>
      </c>
      <c r="K52" s="52" t="n">
        <v>0</v>
      </c>
      <c r="L52" s="52" t="n">
        <v>0</v>
      </c>
      <c r="M52" s="52" t="n">
        <v>0</v>
      </c>
      <c r="N52" s="52" t="n">
        <v>0</v>
      </c>
    </row>
    <row r="53" customFormat="false" ht="15" hidden="false" customHeight="true" outlineLevel="0" collapsed="false">
      <c r="A53" s="51" t="s">
        <v>689</v>
      </c>
      <c r="B53" s="52" t="n">
        <v>0</v>
      </c>
      <c r="C53" s="52" t="n">
        <v>0</v>
      </c>
      <c r="D53" s="52" t="n">
        <v>0</v>
      </c>
      <c r="E53" s="52" t="n">
        <v>0</v>
      </c>
      <c r="F53" s="52" t="n">
        <v>0</v>
      </c>
      <c r="G53" s="52" t="n">
        <v>0</v>
      </c>
      <c r="H53" s="52" t="n">
        <v>0</v>
      </c>
      <c r="I53" s="52" t="n">
        <v>0</v>
      </c>
      <c r="J53" s="52" t="n">
        <v>0</v>
      </c>
      <c r="K53" s="52" t="n">
        <v>0</v>
      </c>
      <c r="L53" s="52" t="n">
        <v>0</v>
      </c>
      <c r="M53" s="52" t="n">
        <v>0</v>
      </c>
      <c r="N53" s="52" t="n">
        <v>0</v>
      </c>
    </row>
    <row r="54" customFormat="false" ht="15" hidden="false" customHeight="true" outlineLevel="0" collapsed="false">
      <c r="A54" s="50" t="s">
        <v>690</v>
      </c>
      <c r="B54" s="55" t="n">
        <f aca="false">SUM(B48:B50)-B51-B52-B53</f>
        <v>0</v>
      </c>
      <c r="C54" s="55" t="n">
        <f aca="false">SUM(C48:C50)-C51-C52-C53</f>
        <v>0</v>
      </c>
      <c r="D54" s="55" t="n">
        <f aca="false">SUM(D48:D50)-D51-D52-D53</f>
        <v>0</v>
      </c>
      <c r="E54" s="55" t="n">
        <f aca="false">SUM(E48:E50)-E51-E52-E53</f>
        <v>0</v>
      </c>
      <c r="F54" s="55" t="n">
        <f aca="false">SUM(F48:F50)-F51-F52-F53</f>
        <v>0</v>
      </c>
      <c r="G54" s="55" t="n">
        <f aca="false">SUM(G48:G50)-G51-G52-G53</f>
        <v>0</v>
      </c>
      <c r="H54" s="55" t="n">
        <f aca="false">SUM(H48:H50)-H51-H52-H53</f>
        <v>0</v>
      </c>
      <c r="I54" s="55" t="n">
        <f aca="false">SUM(I48:I50)-I51-I52-I53</f>
        <v>0</v>
      </c>
      <c r="J54" s="55" t="n">
        <f aca="false">SUM(J48:J50)-J51-J52-J53</f>
        <v>0</v>
      </c>
      <c r="K54" s="55" t="n">
        <f aca="false">SUM(K48:K50)-K51-K52-K53</f>
        <v>0</v>
      </c>
      <c r="L54" s="55" t="n">
        <f aca="false">SUM(L48:L50)-L51-L52-L53</f>
        <v>0</v>
      </c>
      <c r="M54" s="55" t="n">
        <f aca="false">SUM(M48:M50)-M51-M52-M53</f>
        <v>0</v>
      </c>
      <c r="N54" s="55" t="n">
        <f aca="false">SUM(N48:N50)-N51-N52-N53</f>
        <v>0</v>
      </c>
    </row>
    <row r="55" customFormat="false" ht="15" hidden="false" customHeight="true" outlineLevel="0" collapsed="false">
      <c r="A55" s="50" t="s">
        <v>691</v>
      </c>
      <c r="B55" s="56" t="n">
        <f aca="false">B45+B54</f>
        <v>0</v>
      </c>
      <c r="C55" s="56" t="n">
        <f aca="false">C45+C54</f>
        <v>0</v>
      </c>
      <c r="D55" s="56" t="n">
        <f aca="false">D45+D54</f>
        <v>0</v>
      </c>
      <c r="E55" s="56" t="n">
        <f aca="false">E45+E54</f>
        <v>0</v>
      </c>
      <c r="F55" s="56" t="n">
        <f aca="false">F45+F54</f>
        <v>0</v>
      </c>
      <c r="G55" s="56" t="n">
        <f aca="false">G45+G54</f>
        <v>0</v>
      </c>
      <c r="H55" s="56" t="n">
        <f aca="false">H45+H54</f>
        <v>0</v>
      </c>
      <c r="I55" s="56" t="n">
        <f aca="false">I45+I54</f>
        <v>0</v>
      </c>
      <c r="J55" s="56" t="n">
        <f aca="false">J45+J54</f>
        <v>0</v>
      </c>
      <c r="K55" s="56" t="n">
        <f aca="false">K45+K54</f>
        <v>0</v>
      </c>
      <c r="L55" s="56" t="n">
        <f aca="false">L45+L54</f>
        <v>0</v>
      </c>
      <c r="M55" s="56" t="n">
        <f aca="false">M45+M54</f>
        <v>0</v>
      </c>
      <c r="N55" s="60" t="n">
        <f aca="false">SUM(B55:M55)</f>
        <v>0</v>
      </c>
    </row>
    <row r="56" customFormat="false" ht="15" hidden="false" customHeight="true" outlineLevel="0" collapsed="false">
      <c r="A56" s="51" t="s">
        <v>695</v>
      </c>
      <c r="B56" s="54" t="n">
        <f aca="false">B55*0.25</f>
        <v>0</v>
      </c>
      <c r="C56" s="54" t="n">
        <f aca="false">C55*0.25</f>
        <v>0</v>
      </c>
      <c r="D56" s="54" t="n">
        <f aca="false">D55*0.25</f>
        <v>0</v>
      </c>
      <c r="E56" s="54" t="n">
        <f aca="false">E55*0.25</f>
        <v>0</v>
      </c>
      <c r="F56" s="54" t="n">
        <f aca="false">F55*0.25</f>
        <v>0</v>
      </c>
      <c r="G56" s="54" t="n">
        <f aca="false">G55*0.25</f>
        <v>0</v>
      </c>
      <c r="H56" s="54" t="n">
        <f aca="false">H55*0.25</f>
        <v>0</v>
      </c>
      <c r="I56" s="54" t="n">
        <f aca="false">I55*0.25</f>
        <v>0</v>
      </c>
      <c r="J56" s="54" t="n">
        <f aca="false">J55*0.25</f>
        <v>0</v>
      </c>
      <c r="K56" s="54" t="n">
        <f aca="false">K55*0.25</f>
        <v>0</v>
      </c>
      <c r="L56" s="54" t="n">
        <f aca="false">L55*0.25</f>
        <v>0</v>
      </c>
      <c r="M56" s="54" t="n">
        <f aca="false">M55*0.25</f>
        <v>0</v>
      </c>
      <c r="N56" s="54" t="n">
        <f aca="false">N55*0.25</f>
        <v>0</v>
      </c>
    </row>
    <row r="57" customFormat="false" ht="15" hidden="false" customHeight="true" outlineLevel="0" collapsed="false">
      <c r="A57" s="50" t="s">
        <v>403</v>
      </c>
      <c r="B57" s="56" t="n">
        <f aca="false">B55-B56</f>
        <v>0</v>
      </c>
      <c r="C57" s="56" t="n">
        <f aca="false">C55-C56</f>
        <v>0</v>
      </c>
      <c r="D57" s="56" t="n">
        <f aca="false">D55-D56</f>
        <v>0</v>
      </c>
      <c r="E57" s="56" t="n">
        <f aca="false">E55-E56</f>
        <v>0</v>
      </c>
      <c r="F57" s="56" t="n">
        <f aca="false">F55-F56</f>
        <v>0</v>
      </c>
      <c r="G57" s="56" t="n">
        <f aca="false">G55-G56</f>
        <v>0</v>
      </c>
      <c r="H57" s="56" t="n">
        <f aca="false">H55-H56</f>
        <v>0</v>
      </c>
      <c r="I57" s="56" t="n">
        <f aca="false">I55-I56</f>
        <v>0</v>
      </c>
      <c r="J57" s="56" t="n">
        <f aca="false">J55-J56</f>
        <v>0</v>
      </c>
      <c r="K57" s="56" t="n">
        <f aca="false">K55-K56</f>
        <v>0</v>
      </c>
      <c r="L57" s="56" t="n">
        <f aca="false">L55-L56</f>
        <v>0</v>
      </c>
      <c r="M57" s="56" t="n">
        <f aca="false">M55-M56</f>
        <v>0</v>
      </c>
      <c r="N57" s="56" t="n">
        <f aca="false">N55-N56</f>
        <v>0</v>
      </c>
    </row>
    <row r="58" customFormat="false" ht="15" hidden="false" customHeight="true" outlineLevel="0" collapsed="false">
      <c r="A58" s="51" t="s">
        <v>407</v>
      </c>
      <c r="B58" s="57" t="n">
        <f aca="false">IFERROR(B57/B14,0)</f>
        <v>0</v>
      </c>
      <c r="C58" s="57" t="n">
        <f aca="false">IFERROR(C57/C14,0)</f>
        <v>0</v>
      </c>
      <c r="D58" s="57" t="n">
        <f aca="false">IFERROR(D57/D14,0)</f>
        <v>0</v>
      </c>
      <c r="E58" s="57" t="n">
        <f aca="false">IFERROR(E57/E14,0)</f>
        <v>0</v>
      </c>
      <c r="F58" s="57" t="n">
        <f aca="false">IFERROR(F57/F14,0)</f>
        <v>0</v>
      </c>
      <c r="G58" s="57" t="n">
        <f aca="false">IFERROR(G57/G14,0)</f>
        <v>0</v>
      </c>
      <c r="H58" s="57" t="n">
        <f aca="false">IFERROR(H57/H14,0)</f>
        <v>0</v>
      </c>
      <c r="I58" s="57" t="n">
        <f aca="false">IFERROR(I57/I14,0)</f>
        <v>0</v>
      </c>
      <c r="J58" s="57" t="n">
        <f aca="false">IFERROR(J57/J14,0)</f>
        <v>0</v>
      </c>
      <c r="K58" s="57" t="n">
        <f aca="false">IFERROR(K57/K14,0)</f>
        <v>0</v>
      </c>
      <c r="L58" s="57" t="n">
        <f aca="false">IFERROR(L57/L14,0)</f>
        <v>0</v>
      </c>
      <c r="M58" s="57" t="n">
        <f aca="false">IFERROR(M57/M14,0)</f>
        <v>0</v>
      </c>
      <c r="N58" s="57" t="n">
        <f aca="false">IFERROR(N57/N14,0)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9B3C"/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</cols>
  <sheetData>
    <row r="1" customFormat="false" ht="17.25" hidden="false" customHeight="true" outlineLevel="0" collapsed="false">
      <c r="A1" s="45" t="s">
        <v>696</v>
      </c>
    </row>
    <row r="2" customFormat="false" ht="15" hidden="false" customHeight="true" outlineLevel="0" collapsed="false">
      <c r="A2" s="46" t="s">
        <v>628</v>
      </c>
    </row>
    <row r="3" customFormat="false" ht="15" hidden="false" customHeight="true" outlineLevel="0" collapsed="false">
      <c r="A3" s="47" t="s">
        <v>629</v>
      </c>
    </row>
    <row r="5" customFormat="false" ht="15" hidden="false" customHeight="true" outlineLevel="0" collapsed="false">
      <c r="A5" s="48" t="s">
        <v>78</v>
      </c>
      <c r="B5" s="49" t="s">
        <v>630</v>
      </c>
      <c r="C5" s="49" t="s">
        <v>631</v>
      </c>
      <c r="D5" s="49" t="s">
        <v>632</v>
      </c>
      <c r="E5" s="49" t="s">
        <v>633</v>
      </c>
      <c r="F5" s="49" t="s">
        <v>634</v>
      </c>
      <c r="G5" s="49" t="s">
        <v>635</v>
      </c>
      <c r="H5" s="49" t="s">
        <v>636</v>
      </c>
      <c r="I5" s="49" t="s">
        <v>637</v>
      </c>
      <c r="J5" s="49" t="s">
        <v>638</v>
      </c>
      <c r="K5" s="49" t="s">
        <v>639</v>
      </c>
      <c r="L5" s="49" t="s">
        <v>640</v>
      </c>
      <c r="M5" s="49" t="s">
        <v>641</v>
      </c>
      <c r="N5" s="49" t="s">
        <v>642</v>
      </c>
    </row>
    <row r="6" customFormat="false" ht="15" hidden="false" customHeight="true" outlineLevel="0" collapsed="false">
      <c r="A6" s="50" t="s">
        <v>697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customFormat="false" ht="15" hidden="false" customHeight="true" outlineLevel="0" collapsed="false">
      <c r="A7" s="51" t="s">
        <v>698</v>
      </c>
      <c r="B7" s="52" t="n">
        <v>2870000</v>
      </c>
      <c r="C7" s="52" t="n">
        <v>2870000</v>
      </c>
      <c r="D7" s="52" t="n">
        <v>2870000</v>
      </c>
      <c r="E7" s="52" t="n">
        <v>2870000</v>
      </c>
      <c r="F7" s="52" t="n">
        <v>2870000</v>
      </c>
      <c r="G7" s="52" t="n">
        <v>2870000</v>
      </c>
      <c r="H7" s="52" t="n">
        <v>2870000</v>
      </c>
      <c r="I7" s="52" t="n">
        <v>2870000</v>
      </c>
      <c r="J7" s="52" t="n">
        <v>2870000</v>
      </c>
      <c r="K7" s="52" t="n">
        <v>2870000</v>
      </c>
      <c r="L7" s="52" t="n">
        <v>2870000</v>
      </c>
      <c r="M7" s="52" t="n">
        <v>2870000</v>
      </c>
      <c r="N7" s="52" t="n">
        <f aca="false">SUM(B7:M7)</f>
        <v>34440000</v>
      </c>
    </row>
    <row r="8" customFormat="false" ht="15" hidden="false" customHeight="true" outlineLevel="0" collapsed="false">
      <c r="A8" s="51" t="s">
        <v>699</v>
      </c>
      <c r="B8" s="52" t="n">
        <v>270000</v>
      </c>
      <c r="C8" s="52" t="n">
        <v>270000</v>
      </c>
      <c r="D8" s="52" t="n">
        <v>270000</v>
      </c>
      <c r="E8" s="52" t="n">
        <v>270000</v>
      </c>
      <c r="F8" s="52" t="n">
        <v>270000</v>
      </c>
      <c r="G8" s="52" t="n">
        <v>270000</v>
      </c>
      <c r="H8" s="52" t="n">
        <v>270000</v>
      </c>
      <c r="I8" s="52" t="n">
        <v>270000</v>
      </c>
      <c r="J8" s="52" t="n">
        <v>270000</v>
      </c>
      <c r="K8" s="52" t="n">
        <v>270000</v>
      </c>
      <c r="L8" s="52" t="n">
        <v>270000</v>
      </c>
      <c r="M8" s="52" t="n">
        <v>270000</v>
      </c>
      <c r="N8" s="52" t="n">
        <f aca="false">SUM(B8:M8)</f>
        <v>3240000</v>
      </c>
    </row>
    <row r="9" customFormat="false" ht="15" hidden="false" customHeight="true" outlineLevel="0" collapsed="false">
      <c r="A9" s="51" t="s">
        <v>700</v>
      </c>
      <c r="B9" s="52" t="n">
        <v>0</v>
      </c>
      <c r="C9" s="52" t="n">
        <v>0</v>
      </c>
      <c r="D9" s="52" t="n">
        <v>0</v>
      </c>
      <c r="E9" s="52" t="n">
        <v>0</v>
      </c>
      <c r="F9" s="52" t="n">
        <v>0</v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f aca="false">SUM(B9:M9)</f>
        <v>0</v>
      </c>
    </row>
    <row r="10" customFormat="false" ht="15" hidden="false" customHeight="true" outlineLevel="0" collapsed="false">
      <c r="A10" s="51" t="s">
        <v>701</v>
      </c>
      <c r="B10" s="52" t="n">
        <v>0</v>
      </c>
      <c r="C10" s="52" t="n">
        <v>0</v>
      </c>
      <c r="D10" s="52" t="n">
        <v>0</v>
      </c>
      <c r="E10" s="52" t="n">
        <v>0</v>
      </c>
      <c r="F10" s="52" t="n">
        <v>0</v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f aca="false">SUM(B10:M10)</f>
        <v>0</v>
      </c>
    </row>
    <row r="11" customFormat="false" ht="15" hidden="false" customHeight="true" outlineLevel="0" collapsed="false">
      <c r="A11" s="51" t="s">
        <v>702</v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f aca="false">SUM(B11:M11)</f>
        <v>0</v>
      </c>
    </row>
    <row r="12" customFormat="false" ht="15" hidden="false" customHeight="true" outlineLevel="0" collapsed="false">
      <c r="A12" s="51" t="s">
        <v>703</v>
      </c>
      <c r="B12" s="52" t="n">
        <v>310000</v>
      </c>
      <c r="C12" s="52" t="n">
        <v>310000</v>
      </c>
      <c r="D12" s="52" t="n">
        <v>310000</v>
      </c>
      <c r="E12" s="52" t="n">
        <v>310000</v>
      </c>
      <c r="F12" s="52" t="n">
        <v>310000</v>
      </c>
      <c r="G12" s="52" t="n">
        <v>310000</v>
      </c>
      <c r="H12" s="52" t="n">
        <v>310000</v>
      </c>
      <c r="I12" s="52" t="n">
        <v>310000</v>
      </c>
      <c r="J12" s="52" t="n">
        <v>310000</v>
      </c>
      <c r="K12" s="52" t="n">
        <v>310000</v>
      </c>
      <c r="L12" s="52" t="n">
        <v>310000</v>
      </c>
      <c r="M12" s="52" t="n">
        <v>310000</v>
      </c>
      <c r="N12" s="53" t="n">
        <f aca="false">SUM(B12:M12)</f>
        <v>3720000</v>
      </c>
    </row>
    <row r="13" customFormat="false" ht="15" hidden="false" customHeight="true" outlineLevel="0" collapsed="false">
      <c r="A13" s="51" t="s">
        <v>648</v>
      </c>
      <c r="B13" s="54" t="n">
        <f aca="false">SUM(B7:B12)</f>
        <v>3450000</v>
      </c>
      <c r="C13" s="54" t="n">
        <f aca="false">SUM(C7:C12)</f>
        <v>3450000</v>
      </c>
      <c r="D13" s="54" t="n">
        <f aca="false">SUM(D7:D12)</f>
        <v>3450000</v>
      </c>
      <c r="E13" s="54" t="n">
        <f aca="false">SUM(E7:E12)</f>
        <v>3450000</v>
      </c>
      <c r="F13" s="54" t="n">
        <f aca="false">SUM(F7:F12)</f>
        <v>3450000</v>
      </c>
      <c r="G13" s="54" t="n">
        <f aca="false">SUM(G7:G12)</f>
        <v>3450000</v>
      </c>
      <c r="H13" s="54" t="n">
        <f aca="false">SUM(H7:H12)</f>
        <v>3450000</v>
      </c>
      <c r="I13" s="54" t="n">
        <f aca="false">SUM(I7:I12)</f>
        <v>3450000</v>
      </c>
      <c r="J13" s="54" t="n">
        <f aca="false">SUM(J7:J12)</f>
        <v>3450000</v>
      </c>
      <c r="K13" s="54" t="n">
        <f aca="false">SUM(K7:K12)</f>
        <v>3450000</v>
      </c>
      <c r="L13" s="54" t="n">
        <f aca="false">SUM(L7:L12)</f>
        <v>3450000</v>
      </c>
      <c r="M13" s="54" t="n">
        <f aca="false">SUM(M7:M12)</f>
        <v>3450000</v>
      </c>
      <c r="N13" s="54" t="n">
        <f aca="false">SUM(N7:N12)</f>
        <v>41400000</v>
      </c>
    </row>
    <row r="14" customFormat="false" ht="15" hidden="false" customHeight="true" outlineLevel="0" collapsed="false">
      <c r="A14" s="51" t="s">
        <v>704</v>
      </c>
      <c r="B14" s="52" t="n">
        <v>0</v>
      </c>
      <c r="C14" s="52" t="n">
        <v>0</v>
      </c>
      <c r="D14" s="52" t="n">
        <v>0</v>
      </c>
      <c r="E14" s="52" t="n">
        <v>0</v>
      </c>
      <c r="F14" s="52" t="n">
        <v>0</v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</row>
    <row r="15" customFormat="false" ht="15" hidden="false" customHeight="true" outlineLevel="0" collapsed="false">
      <c r="A15" s="51" t="s">
        <v>705</v>
      </c>
      <c r="B15" s="52" t="n">
        <v>0</v>
      </c>
      <c r="C15" s="52" t="n">
        <v>0</v>
      </c>
      <c r="D15" s="52" t="n">
        <v>0</v>
      </c>
      <c r="E15" s="52" t="n">
        <v>0</v>
      </c>
      <c r="F15" s="52" t="n">
        <v>0</v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3" t="n">
        <f aca="false">SUM(B15:M15)</f>
        <v>0</v>
      </c>
    </row>
    <row r="16" customFormat="false" ht="15" hidden="false" customHeight="true" outlineLevel="0" collapsed="false">
      <c r="A16" s="50" t="s">
        <v>651</v>
      </c>
      <c r="B16" s="55" t="n">
        <f aca="false">+B13-B14-B15</f>
        <v>3450000</v>
      </c>
      <c r="C16" s="55" t="n">
        <f aca="false">+C13-C14-C15</f>
        <v>3450000</v>
      </c>
      <c r="D16" s="55" t="n">
        <f aca="false">+D13-D14-D15</f>
        <v>3450000</v>
      </c>
      <c r="E16" s="55" t="n">
        <f aca="false">+E13-E14-E15</f>
        <v>3450000</v>
      </c>
      <c r="F16" s="55" t="n">
        <f aca="false">+F13-F14-F15</f>
        <v>3450000</v>
      </c>
      <c r="G16" s="55" t="n">
        <f aca="false">+G13-G14-G15</f>
        <v>3450000</v>
      </c>
      <c r="H16" s="55" t="n">
        <f aca="false">+H13-H14-H15</f>
        <v>3450000</v>
      </c>
      <c r="I16" s="55" t="n">
        <f aca="false">+I13-I14-I15</f>
        <v>3450000</v>
      </c>
      <c r="J16" s="55" t="n">
        <f aca="false">+J13-J14-J15</f>
        <v>3450000</v>
      </c>
      <c r="K16" s="55" t="n">
        <f aca="false">+K13-K14-K15</f>
        <v>3450000</v>
      </c>
      <c r="L16" s="55" t="n">
        <f aca="false">+L13-L14-L15</f>
        <v>3450000</v>
      </c>
      <c r="M16" s="55" t="n">
        <f aca="false">+M13-M14-M15</f>
        <v>3450000</v>
      </c>
      <c r="N16" s="55" t="n">
        <f aca="false">SUM(B16:M16)</f>
        <v>41400000</v>
      </c>
    </row>
    <row r="17" customFormat="false" ht="15" hidden="false" customHeight="true" outlineLevel="0" collapsed="false">
      <c r="A17" s="50" t="s">
        <v>706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</row>
    <row r="18" customFormat="false" ht="15" hidden="false" customHeight="true" outlineLevel="0" collapsed="false">
      <c r="A18" s="51" t="s">
        <v>707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</row>
    <row r="19" customFormat="false" ht="15" hidden="false" customHeight="true" outlineLevel="0" collapsed="false">
      <c r="A19" s="51" t="s">
        <v>708</v>
      </c>
      <c r="B19" s="52" t="n">
        <v>2200000</v>
      </c>
      <c r="C19" s="52" t="n">
        <v>2200000</v>
      </c>
      <c r="D19" s="52" t="n">
        <v>2200000</v>
      </c>
      <c r="E19" s="52" t="n">
        <v>2200000</v>
      </c>
      <c r="F19" s="52" t="n">
        <v>2200000</v>
      </c>
      <c r="G19" s="52" t="n">
        <v>2200000</v>
      </c>
      <c r="H19" s="52" t="n">
        <v>2200000</v>
      </c>
      <c r="I19" s="52" t="n">
        <v>2200000</v>
      </c>
      <c r="J19" s="52" t="n">
        <v>2200000</v>
      </c>
      <c r="K19" s="52" t="n">
        <v>2200000</v>
      </c>
      <c r="L19" s="52" t="n">
        <v>2200000</v>
      </c>
      <c r="M19" s="52" t="n">
        <v>2200000</v>
      </c>
      <c r="N19" s="52" t="n">
        <f aca="false">SUM(B19:M19)</f>
        <v>26400000</v>
      </c>
    </row>
    <row r="20" customFormat="false" ht="15" hidden="false" customHeight="true" outlineLevel="0" collapsed="false">
      <c r="A20" s="51" t="s">
        <v>709</v>
      </c>
      <c r="B20" s="52" t="n">
        <v>0</v>
      </c>
      <c r="C20" s="52" t="n">
        <v>0</v>
      </c>
      <c r="D20" s="52" t="n">
        <v>0</v>
      </c>
      <c r="E20" s="52" t="n">
        <v>0</v>
      </c>
      <c r="F20" s="52" t="n">
        <v>0</v>
      </c>
      <c r="G20" s="52" t="n">
        <v>0</v>
      </c>
      <c r="H20" s="52" t="n">
        <v>0</v>
      </c>
      <c r="I20" s="52" t="n">
        <v>0</v>
      </c>
      <c r="J20" s="52" t="n">
        <v>0</v>
      </c>
      <c r="K20" s="52" t="n">
        <v>0</v>
      </c>
      <c r="L20" s="52" t="n">
        <v>0</v>
      </c>
      <c r="M20" s="52" t="n">
        <v>0</v>
      </c>
      <c r="N20" s="52" t="n">
        <f aca="false">SUM(B20:M20)</f>
        <v>0</v>
      </c>
    </row>
    <row r="21" customFormat="false" ht="15" hidden="false" customHeight="true" outlineLevel="0" collapsed="false">
      <c r="A21" s="51" t="s">
        <v>710</v>
      </c>
      <c r="B21" s="52" t="n">
        <v>0</v>
      </c>
      <c r="C21" s="52" t="n">
        <v>0</v>
      </c>
      <c r="D21" s="52" t="n">
        <v>0</v>
      </c>
      <c r="E21" s="52" t="n">
        <v>0</v>
      </c>
      <c r="F21" s="52" t="n">
        <v>0</v>
      </c>
      <c r="G21" s="52" t="n">
        <v>0</v>
      </c>
      <c r="H21" s="52" t="n">
        <v>0</v>
      </c>
      <c r="I21" s="52" t="n">
        <v>0</v>
      </c>
      <c r="J21" s="52" t="n">
        <v>0</v>
      </c>
      <c r="K21" s="52" t="n">
        <v>0</v>
      </c>
      <c r="L21" s="52" t="n">
        <v>0</v>
      </c>
      <c r="M21" s="52" t="n">
        <v>0</v>
      </c>
      <c r="N21" s="52" t="n">
        <f aca="false">SUM(B21:M21)</f>
        <v>0</v>
      </c>
    </row>
    <row r="22" customFormat="false" ht="15" hidden="false" customHeight="true" outlineLevel="0" collapsed="false">
      <c r="A22" s="51" t="s">
        <v>711</v>
      </c>
      <c r="B22" s="52" t="n">
        <v>0</v>
      </c>
      <c r="C22" s="52" t="n">
        <v>0</v>
      </c>
      <c r="D22" s="52" t="n">
        <v>0</v>
      </c>
      <c r="E22" s="52" t="n">
        <v>0</v>
      </c>
      <c r="F22" s="52" t="n">
        <v>0</v>
      </c>
      <c r="G22" s="52" t="n">
        <v>0</v>
      </c>
      <c r="H22" s="52" t="n">
        <v>0</v>
      </c>
      <c r="I22" s="52" t="n">
        <v>0</v>
      </c>
      <c r="J22" s="52" t="n">
        <v>0</v>
      </c>
      <c r="K22" s="52" t="n">
        <v>0</v>
      </c>
      <c r="L22" s="52" t="n">
        <v>0</v>
      </c>
      <c r="M22" s="52" t="n">
        <v>0</v>
      </c>
      <c r="N22" s="52" t="n">
        <f aca="false">SUM(B22:M22)</f>
        <v>0</v>
      </c>
    </row>
    <row r="23" customFormat="false" ht="15" hidden="false" customHeight="true" outlineLevel="0" collapsed="false">
      <c r="A23" s="51" t="s">
        <v>712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</row>
    <row r="24" customFormat="false" ht="15" hidden="false" customHeight="true" outlineLevel="0" collapsed="false">
      <c r="A24" s="51" t="s">
        <v>713</v>
      </c>
      <c r="B24" s="52" t="n">
        <v>0</v>
      </c>
      <c r="C24" s="52" t="n">
        <v>0</v>
      </c>
      <c r="D24" s="52" t="n">
        <v>0</v>
      </c>
      <c r="E24" s="52" t="n">
        <v>0</v>
      </c>
      <c r="F24" s="52" t="n">
        <v>0</v>
      </c>
      <c r="G24" s="52" t="n">
        <v>0</v>
      </c>
      <c r="H24" s="52" t="n">
        <v>0</v>
      </c>
      <c r="I24" s="52" t="n">
        <v>0</v>
      </c>
      <c r="J24" s="52" t="n">
        <v>0</v>
      </c>
      <c r="K24" s="52" t="n">
        <v>0</v>
      </c>
      <c r="L24" s="52" t="n">
        <v>0</v>
      </c>
      <c r="M24" s="52" t="n">
        <v>0</v>
      </c>
      <c r="N24" s="52" t="n">
        <f aca="false">SUM(B24:M24)</f>
        <v>0</v>
      </c>
    </row>
    <row r="25" customFormat="false" ht="15" hidden="false" customHeight="true" outlineLevel="0" collapsed="false">
      <c r="A25" s="51" t="s">
        <v>714</v>
      </c>
      <c r="B25" s="52" t="n">
        <v>0</v>
      </c>
      <c r="C25" s="52" t="n">
        <v>0</v>
      </c>
      <c r="D25" s="52" t="n">
        <v>0</v>
      </c>
      <c r="E25" s="52" t="n">
        <v>0</v>
      </c>
      <c r="F25" s="52" t="n">
        <v>0</v>
      </c>
      <c r="G25" s="52" t="n">
        <v>0</v>
      </c>
      <c r="H25" s="52" t="n">
        <v>0</v>
      </c>
      <c r="I25" s="52" t="n">
        <v>0</v>
      </c>
      <c r="J25" s="52" t="n">
        <v>0</v>
      </c>
      <c r="K25" s="52" t="n">
        <v>0</v>
      </c>
      <c r="L25" s="52" t="n">
        <v>0</v>
      </c>
      <c r="M25" s="52" t="n">
        <v>0</v>
      </c>
      <c r="N25" s="52" t="n">
        <f aca="false">SUM(B25:M25)</f>
        <v>0</v>
      </c>
    </row>
    <row r="26" customFormat="false" ht="15" hidden="false" customHeight="true" outlineLevel="0" collapsed="false">
      <c r="A26" s="51" t="s">
        <v>715</v>
      </c>
      <c r="B26" s="52" t="n">
        <v>0</v>
      </c>
      <c r="C26" s="52" t="n">
        <v>0</v>
      </c>
      <c r="D26" s="52" t="n">
        <v>0</v>
      </c>
      <c r="E26" s="52" t="n">
        <v>0</v>
      </c>
      <c r="F26" s="52" t="n">
        <v>0</v>
      </c>
      <c r="G26" s="52" t="n">
        <v>0</v>
      </c>
      <c r="H26" s="52" t="n">
        <v>0</v>
      </c>
      <c r="I26" s="52" t="n">
        <v>0</v>
      </c>
      <c r="J26" s="52" t="n">
        <v>0</v>
      </c>
      <c r="K26" s="52" t="n">
        <v>0</v>
      </c>
      <c r="L26" s="52" t="n">
        <v>0</v>
      </c>
      <c r="M26" s="52" t="n">
        <v>0</v>
      </c>
      <c r="N26" s="52" t="n">
        <f aca="false">SUM(B26:M26)</f>
        <v>0</v>
      </c>
    </row>
    <row r="27" customFormat="false" ht="15" hidden="false" customHeight="true" outlineLevel="0" collapsed="false">
      <c r="A27" s="51" t="s">
        <v>716</v>
      </c>
      <c r="B27" s="52" t="n">
        <v>0</v>
      </c>
      <c r="C27" s="52" t="n">
        <v>0</v>
      </c>
      <c r="D27" s="52" t="n">
        <v>0</v>
      </c>
      <c r="E27" s="52" t="n">
        <v>0</v>
      </c>
      <c r="F27" s="52" t="n">
        <v>0</v>
      </c>
      <c r="G27" s="52" t="n">
        <v>0</v>
      </c>
      <c r="H27" s="52" t="n">
        <v>0</v>
      </c>
      <c r="I27" s="52" t="n">
        <v>0</v>
      </c>
      <c r="J27" s="52" t="n">
        <v>0</v>
      </c>
      <c r="K27" s="52" t="n">
        <v>0</v>
      </c>
      <c r="L27" s="52" t="n">
        <v>0</v>
      </c>
      <c r="M27" s="52" t="n">
        <v>0</v>
      </c>
      <c r="N27" s="52" t="n">
        <f aca="false">SUM(B27:M27)</f>
        <v>0</v>
      </c>
    </row>
    <row r="28" customFormat="false" ht="15" hidden="false" customHeight="true" outlineLevel="0" collapsed="false">
      <c r="A28" s="51" t="s">
        <v>717</v>
      </c>
      <c r="B28" s="52" t="n">
        <v>300000</v>
      </c>
      <c r="C28" s="52" t="n">
        <v>300000</v>
      </c>
      <c r="D28" s="52" t="n">
        <v>300000</v>
      </c>
      <c r="E28" s="52" t="n">
        <v>300000</v>
      </c>
      <c r="F28" s="52" t="n">
        <v>300000</v>
      </c>
      <c r="G28" s="52" t="n">
        <v>300000</v>
      </c>
      <c r="H28" s="52" t="n">
        <v>300000</v>
      </c>
      <c r="I28" s="52" t="n">
        <v>300000</v>
      </c>
      <c r="J28" s="52" t="n">
        <v>300000</v>
      </c>
      <c r="K28" s="52" t="n">
        <v>300000</v>
      </c>
      <c r="L28" s="52" t="n">
        <v>300000</v>
      </c>
      <c r="M28" s="52" t="n">
        <v>300000</v>
      </c>
      <c r="N28" s="52" t="n">
        <f aca="false">SUM(B28:M28)</f>
        <v>3600000</v>
      </c>
    </row>
    <row r="29" customFormat="false" ht="15" hidden="false" customHeight="true" outlineLevel="0" collapsed="false">
      <c r="A29" s="50" t="s">
        <v>718</v>
      </c>
      <c r="B29" s="55" t="n">
        <f aca="false">SUM(B19:B28)</f>
        <v>2500000</v>
      </c>
      <c r="C29" s="55" t="n">
        <f aca="false">SUM(C19:C28)</f>
        <v>2500000</v>
      </c>
      <c r="D29" s="55" t="n">
        <f aca="false">SUM(D19:D28)</f>
        <v>2500000</v>
      </c>
      <c r="E29" s="55" t="n">
        <f aca="false">SUM(E19:E28)</f>
        <v>2500000</v>
      </c>
      <c r="F29" s="55" t="n">
        <f aca="false">SUM(F19:F28)</f>
        <v>2500000</v>
      </c>
      <c r="G29" s="55" t="n">
        <f aca="false">SUM(G19:G28)</f>
        <v>2500000</v>
      </c>
      <c r="H29" s="55" t="n">
        <f aca="false">SUM(H19:H28)</f>
        <v>2500000</v>
      </c>
      <c r="I29" s="55" t="n">
        <f aca="false">SUM(I19:I28)</f>
        <v>2500000</v>
      </c>
      <c r="J29" s="55" t="n">
        <f aca="false">SUM(J19:J28)</f>
        <v>2500000</v>
      </c>
      <c r="K29" s="55" t="n">
        <f aca="false">SUM(K19:K28)</f>
        <v>2500000</v>
      </c>
      <c r="L29" s="55" t="n">
        <f aca="false">SUM(L19:L28)</f>
        <v>2500000</v>
      </c>
      <c r="M29" s="55" t="n">
        <f aca="false">SUM(M19:M28)</f>
        <v>2500000</v>
      </c>
      <c r="N29" s="60" t="n">
        <f aca="false">SUM(B29:M29)</f>
        <v>30000000</v>
      </c>
    </row>
    <row r="30" customFormat="false" ht="15" hidden="false" customHeight="true" outlineLevel="0" collapsed="false">
      <c r="A30" s="50" t="s">
        <v>663</v>
      </c>
      <c r="B30" s="56" t="n">
        <f aca="false">B16-B29</f>
        <v>950000</v>
      </c>
      <c r="C30" s="56" t="n">
        <f aca="false">C16-C29</f>
        <v>950000</v>
      </c>
      <c r="D30" s="56" t="n">
        <f aca="false">D16-D29</f>
        <v>950000</v>
      </c>
      <c r="E30" s="56" t="n">
        <f aca="false">E16-E29</f>
        <v>950000</v>
      </c>
      <c r="F30" s="56" t="n">
        <f aca="false">F16-F29</f>
        <v>950000</v>
      </c>
      <c r="G30" s="56" t="n">
        <f aca="false">G16-G29</f>
        <v>950000</v>
      </c>
      <c r="H30" s="56" t="n">
        <f aca="false">H16-H29</f>
        <v>950000</v>
      </c>
      <c r="I30" s="56" t="n">
        <f aca="false">I16-I29</f>
        <v>950000</v>
      </c>
      <c r="J30" s="56" t="n">
        <f aca="false">J16-J29</f>
        <v>950000</v>
      </c>
      <c r="K30" s="56" t="n">
        <f aca="false">K16-K29</f>
        <v>950000</v>
      </c>
      <c r="L30" s="56" t="n">
        <f aca="false">L16-L29</f>
        <v>950000</v>
      </c>
      <c r="M30" s="56" t="n">
        <f aca="false">M16-M29</f>
        <v>950000</v>
      </c>
      <c r="N30" s="60" t="n">
        <f aca="false">SUM(B30:M30)</f>
        <v>11400000</v>
      </c>
    </row>
    <row r="31" customFormat="false" ht="15" hidden="false" customHeight="true" outlineLevel="0" collapsed="false">
      <c r="A31" s="51" t="s">
        <v>405</v>
      </c>
      <c r="B31" s="57" t="n">
        <f aca="false">IFERROR(B30/B16,0)</f>
        <v>0.27536231884058</v>
      </c>
      <c r="C31" s="57" t="n">
        <f aca="false">IFERROR(C30/C16,0)</f>
        <v>0.27536231884058</v>
      </c>
      <c r="D31" s="57" t="n">
        <f aca="false">IFERROR(D30/D16,0)</f>
        <v>0.27536231884058</v>
      </c>
      <c r="E31" s="57" t="n">
        <f aca="false">IFERROR(E30/E16,0)</f>
        <v>0.27536231884058</v>
      </c>
      <c r="F31" s="57" t="n">
        <f aca="false">IFERROR(F30/F16,0)</f>
        <v>0.27536231884058</v>
      </c>
      <c r="G31" s="57" t="n">
        <f aca="false">IFERROR(G30/G16,0)</f>
        <v>0.27536231884058</v>
      </c>
      <c r="H31" s="57" t="n">
        <f aca="false">IFERROR(H30/H16,0)</f>
        <v>0.27536231884058</v>
      </c>
      <c r="I31" s="57" t="n">
        <f aca="false">IFERROR(I30/I16,0)</f>
        <v>0.27536231884058</v>
      </c>
      <c r="J31" s="57" t="n">
        <f aca="false">IFERROR(J30/J16,0)</f>
        <v>0.27536231884058</v>
      </c>
      <c r="K31" s="57" t="n">
        <f aca="false">IFERROR(K30/K16,0)</f>
        <v>0.27536231884058</v>
      </c>
      <c r="L31" s="57" t="n">
        <f aca="false">IFERROR(L30/L16,0)</f>
        <v>0.27536231884058</v>
      </c>
      <c r="M31" s="57" t="n">
        <f aca="false">IFERROR(M30/M16,0)</f>
        <v>0.27536231884058</v>
      </c>
      <c r="N31" s="57" t="n">
        <f aca="false">IFERROR(N30/N16,0)</f>
        <v>0.27536231884058</v>
      </c>
    </row>
    <row r="32" customFormat="false" ht="15" hidden="false" customHeight="true" outlineLevel="0" collapsed="false">
      <c r="A32" s="50" t="s">
        <v>664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</row>
    <row r="33" customFormat="false" ht="15" hidden="false" customHeight="true" outlineLevel="0" collapsed="false">
      <c r="A33" s="51" t="s">
        <v>719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</row>
    <row r="34" customFormat="false" ht="15" hidden="false" customHeight="true" outlineLevel="0" collapsed="false">
      <c r="A34" s="51" t="s">
        <v>720</v>
      </c>
      <c r="B34" s="52" t="n">
        <v>0</v>
      </c>
      <c r="C34" s="52" t="n">
        <v>0</v>
      </c>
      <c r="D34" s="52" t="n">
        <v>0</v>
      </c>
      <c r="E34" s="52" t="n">
        <v>0</v>
      </c>
      <c r="F34" s="52" t="n">
        <v>0</v>
      </c>
      <c r="G34" s="52" t="n">
        <v>0</v>
      </c>
      <c r="H34" s="52" t="n">
        <v>0</v>
      </c>
      <c r="I34" s="52" t="n">
        <v>0</v>
      </c>
      <c r="J34" s="52" t="n">
        <v>0</v>
      </c>
      <c r="K34" s="52" t="n">
        <v>0</v>
      </c>
      <c r="L34" s="52" t="n">
        <v>0</v>
      </c>
      <c r="M34" s="52" t="n">
        <v>0</v>
      </c>
      <c r="N34" s="52" t="n">
        <v>0</v>
      </c>
    </row>
    <row r="35" customFormat="false" ht="15" hidden="false" customHeight="true" outlineLevel="0" collapsed="false">
      <c r="A35" s="51" t="s">
        <v>721</v>
      </c>
      <c r="B35" s="52" t="n">
        <v>0</v>
      </c>
      <c r="C35" s="52" t="n">
        <v>0</v>
      </c>
      <c r="D35" s="52" t="n">
        <v>0</v>
      </c>
      <c r="E35" s="52" t="n">
        <v>0</v>
      </c>
      <c r="F35" s="52" t="n">
        <v>0</v>
      </c>
      <c r="G35" s="52" t="n">
        <v>0</v>
      </c>
      <c r="H35" s="52" t="n">
        <v>0</v>
      </c>
      <c r="I35" s="52" t="n">
        <v>0</v>
      </c>
      <c r="J35" s="52" t="n">
        <v>0</v>
      </c>
      <c r="K35" s="52" t="n">
        <v>0</v>
      </c>
      <c r="L35" s="52" t="n">
        <v>0</v>
      </c>
      <c r="M35" s="52" t="n">
        <v>0</v>
      </c>
      <c r="N35" s="52" t="n">
        <v>0</v>
      </c>
    </row>
    <row r="36" customFormat="false" ht="15" hidden="false" customHeight="true" outlineLevel="0" collapsed="false">
      <c r="A36" s="51" t="s">
        <v>722</v>
      </c>
      <c r="B36" s="52" t="n">
        <v>0</v>
      </c>
      <c r="C36" s="52" t="n">
        <v>0</v>
      </c>
      <c r="D36" s="52" t="n">
        <v>0</v>
      </c>
      <c r="E36" s="52" t="n">
        <v>0</v>
      </c>
      <c r="F36" s="52" t="n">
        <v>0</v>
      </c>
      <c r="G36" s="52" t="n">
        <v>0</v>
      </c>
      <c r="H36" s="52" t="n">
        <v>0</v>
      </c>
      <c r="I36" s="52" t="n">
        <v>0</v>
      </c>
      <c r="J36" s="52" t="n">
        <v>0</v>
      </c>
      <c r="K36" s="52" t="n">
        <v>0</v>
      </c>
      <c r="L36" s="52" t="n">
        <v>0</v>
      </c>
      <c r="M36" s="52" t="n">
        <v>0</v>
      </c>
      <c r="N36" s="52" t="n">
        <v>0</v>
      </c>
    </row>
    <row r="37" customFormat="false" ht="15" hidden="false" customHeight="true" outlineLevel="0" collapsed="false">
      <c r="A37" s="51" t="s">
        <v>723</v>
      </c>
      <c r="B37" s="52" t="n">
        <v>0</v>
      </c>
      <c r="C37" s="52" t="n">
        <v>0</v>
      </c>
      <c r="D37" s="52" t="n">
        <v>0</v>
      </c>
      <c r="E37" s="52" t="n">
        <v>0</v>
      </c>
      <c r="F37" s="52" t="n">
        <v>0</v>
      </c>
      <c r="G37" s="52" t="n">
        <v>0</v>
      </c>
      <c r="H37" s="52" t="n">
        <v>0</v>
      </c>
      <c r="I37" s="52" t="n">
        <v>0</v>
      </c>
      <c r="J37" s="52" t="n">
        <v>0</v>
      </c>
      <c r="K37" s="52" t="n">
        <v>0</v>
      </c>
      <c r="L37" s="52" t="n">
        <v>0</v>
      </c>
      <c r="M37" s="52" t="n">
        <v>0</v>
      </c>
      <c r="N37" s="52" t="n">
        <v>0</v>
      </c>
    </row>
    <row r="38" customFormat="false" ht="15" hidden="false" customHeight="true" outlineLevel="0" collapsed="false">
      <c r="A38" s="51" t="s">
        <v>724</v>
      </c>
      <c r="B38" s="52" t="n">
        <v>0</v>
      </c>
      <c r="C38" s="52" t="n">
        <v>0</v>
      </c>
      <c r="D38" s="52" t="n">
        <v>0</v>
      </c>
      <c r="E38" s="52" t="n">
        <v>0</v>
      </c>
      <c r="F38" s="52" t="n">
        <v>0</v>
      </c>
      <c r="G38" s="52" t="n">
        <v>0</v>
      </c>
      <c r="H38" s="52" t="n">
        <v>0</v>
      </c>
      <c r="I38" s="52" t="n">
        <v>0</v>
      </c>
      <c r="J38" s="52" t="n">
        <v>0</v>
      </c>
      <c r="K38" s="52" t="n">
        <v>0</v>
      </c>
      <c r="L38" s="52" t="n">
        <v>0</v>
      </c>
      <c r="M38" s="52" t="n">
        <v>0</v>
      </c>
      <c r="N38" s="52" t="n">
        <v>0</v>
      </c>
    </row>
    <row r="39" customFormat="false" ht="15" hidden="false" customHeight="true" outlineLevel="0" collapsed="false">
      <c r="A39" s="51" t="s">
        <v>671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</row>
    <row r="40" customFormat="false" ht="15" hidden="false" customHeight="true" outlineLevel="0" collapsed="false">
      <c r="A40" s="51" t="s">
        <v>725</v>
      </c>
      <c r="B40" s="52" t="n">
        <v>0</v>
      </c>
      <c r="C40" s="52" t="n">
        <v>0</v>
      </c>
      <c r="D40" s="52" t="n">
        <v>0</v>
      </c>
      <c r="E40" s="52" t="n">
        <v>0</v>
      </c>
      <c r="F40" s="52" t="n">
        <v>0</v>
      </c>
      <c r="G40" s="52" t="n">
        <v>0</v>
      </c>
      <c r="H40" s="52" t="n">
        <v>0</v>
      </c>
      <c r="I40" s="52" t="n">
        <v>0</v>
      </c>
      <c r="J40" s="52" t="n">
        <v>0</v>
      </c>
      <c r="K40" s="52" t="n">
        <v>0</v>
      </c>
      <c r="L40" s="52" t="n">
        <v>0</v>
      </c>
      <c r="M40" s="52" t="n">
        <v>0</v>
      </c>
      <c r="N40" s="52" t="n">
        <v>0</v>
      </c>
    </row>
    <row r="41" customFormat="false" ht="15" hidden="false" customHeight="true" outlineLevel="0" collapsed="false">
      <c r="A41" s="51" t="s">
        <v>673</v>
      </c>
      <c r="B41" s="52" t="n">
        <v>0</v>
      </c>
      <c r="C41" s="52" t="n">
        <v>0</v>
      </c>
      <c r="D41" s="52" t="n">
        <v>0</v>
      </c>
      <c r="E41" s="52" t="n">
        <v>0</v>
      </c>
      <c r="F41" s="52" t="n">
        <v>0</v>
      </c>
      <c r="G41" s="52" t="n">
        <v>0</v>
      </c>
      <c r="H41" s="52" t="n">
        <v>0</v>
      </c>
      <c r="I41" s="52" t="n">
        <v>0</v>
      </c>
      <c r="J41" s="52" t="n">
        <v>0</v>
      </c>
      <c r="K41" s="52" t="n">
        <v>0</v>
      </c>
      <c r="L41" s="52" t="n">
        <v>0</v>
      </c>
      <c r="M41" s="52" t="n">
        <v>0</v>
      </c>
      <c r="N41" s="52" t="n">
        <v>0</v>
      </c>
    </row>
    <row r="42" customFormat="false" ht="15" hidden="false" customHeight="true" outlineLevel="0" collapsed="false">
      <c r="A42" s="51" t="s">
        <v>674</v>
      </c>
      <c r="B42" s="52" t="n">
        <v>0</v>
      </c>
      <c r="C42" s="52" t="n">
        <v>0</v>
      </c>
      <c r="D42" s="52" t="n">
        <v>0</v>
      </c>
      <c r="E42" s="52" t="n">
        <v>0</v>
      </c>
      <c r="F42" s="52" t="n">
        <v>0</v>
      </c>
      <c r="G42" s="52" t="n">
        <v>0</v>
      </c>
      <c r="H42" s="52" t="n">
        <v>0</v>
      </c>
      <c r="I42" s="52" t="n">
        <v>0</v>
      </c>
      <c r="J42" s="52" t="n">
        <v>0</v>
      </c>
      <c r="K42" s="52" t="n">
        <v>0</v>
      </c>
      <c r="L42" s="52" t="n">
        <v>0</v>
      </c>
      <c r="M42" s="52" t="n">
        <v>0</v>
      </c>
      <c r="N42" s="52" t="n">
        <v>0</v>
      </c>
    </row>
    <row r="43" customFormat="false" ht="15" hidden="false" customHeight="true" outlineLevel="0" collapsed="false">
      <c r="A43" s="51" t="s">
        <v>675</v>
      </c>
      <c r="B43" s="52" t="n">
        <v>0</v>
      </c>
      <c r="C43" s="52" t="n">
        <v>0</v>
      </c>
      <c r="D43" s="52" t="n">
        <v>0</v>
      </c>
      <c r="E43" s="52" t="n">
        <v>0</v>
      </c>
      <c r="F43" s="52" t="n">
        <v>0</v>
      </c>
      <c r="G43" s="52" t="n">
        <v>0</v>
      </c>
      <c r="H43" s="52" t="n">
        <v>0</v>
      </c>
      <c r="I43" s="52" t="n">
        <v>0</v>
      </c>
      <c r="J43" s="52" t="n">
        <v>0</v>
      </c>
      <c r="K43" s="52" t="n">
        <v>0</v>
      </c>
      <c r="L43" s="52" t="n">
        <v>0</v>
      </c>
      <c r="M43" s="52" t="n">
        <v>0</v>
      </c>
      <c r="N43" s="52" t="n">
        <v>0</v>
      </c>
    </row>
    <row r="44" customFormat="false" ht="15" hidden="false" customHeight="true" outlineLevel="0" collapsed="false">
      <c r="A44" s="51" t="s">
        <v>676</v>
      </c>
      <c r="B44" s="52" t="n">
        <v>0</v>
      </c>
      <c r="C44" s="52" t="n">
        <v>0</v>
      </c>
      <c r="D44" s="52" t="n">
        <v>0</v>
      </c>
      <c r="E44" s="52" t="n">
        <v>0</v>
      </c>
      <c r="F44" s="52" t="n">
        <v>0</v>
      </c>
      <c r="G44" s="52" t="n">
        <v>0</v>
      </c>
      <c r="H44" s="52" t="n">
        <v>0</v>
      </c>
      <c r="I44" s="52" t="n">
        <v>0</v>
      </c>
      <c r="J44" s="52" t="n">
        <v>0</v>
      </c>
      <c r="K44" s="52" t="n">
        <v>0</v>
      </c>
      <c r="L44" s="52" t="n">
        <v>0</v>
      </c>
      <c r="M44" s="52" t="n">
        <v>0</v>
      </c>
      <c r="N44" s="52" t="n">
        <v>0</v>
      </c>
    </row>
    <row r="45" customFormat="false" ht="15" hidden="false" customHeight="true" outlineLevel="0" collapsed="false">
      <c r="A45" s="51" t="s">
        <v>726</v>
      </c>
      <c r="B45" s="52" t="n">
        <v>0</v>
      </c>
      <c r="C45" s="52" t="n">
        <v>0</v>
      </c>
      <c r="D45" s="52" t="n">
        <v>0</v>
      </c>
      <c r="E45" s="52" t="n">
        <v>0</v>
      </c>
      <c r="F45" s="52" t="n">
        <v>0</v>
      </c>
      <c r="G45" s="52" t="n">
        <v>0</v>
      </c>
      <c r="H45" s="52" t="n">
        <v>0</v>
      </c>
      <c r="I45" s="52" t="n">
        <v>0</v>
      </c>
      <c r="J45" s="52" t="n">
        <v>0</v>
      </c>
      <c r="K45" s="52" t="n">
        <v>0</v>
      </c>
      <c r="L45" s="52" t="n">
        <v>0</v>
      </c>
      <c r="M45" s="52" t="n">
        <v>0</v>
      </c>
      <c r="N45" s="52" t="n">
        <v>0</v>
      </c>
    </row>
    <row r="46" customFormat="false" ht="15" hidden="false" customHeight="true" outlineLevel="0" collapsed="false">
      <c r="A46" s="51" t="s">
        <v>727</v>
      </c>
      <c r="B46" s="52" t="n">
        <v>0</v>
      </c>
      <c r="C46" s="52" t="n">
        <v>0</v>
      </c>
      <c r="D46" s="52" t="n">
        <v>0</v>
      </c>
      <c r="E46" s="52" t="n">
        <v>0</v>
      </c>
      <c r="F46" s="52" t="n">
        <v>0</v>
      </c>
      <c r="G46" s="52" t="n">
        <v>0</v>
      </c>
      <c r="H46" s="52" t="n">
        <v>0</v>
      </c>
      <c r="I46" s="52" t="n">
        <v>0</v>
      </c>
      <c r="J46" s="52" t="n">
        <v>0</v>
      </c>
      <c r="K46" s="52" t="n">
        <v>0</v>
      </c>
      <c r="L46" s="52" t="n">
        <v>0</v>
      </c>
      <c r="M46" s="52" t="n">
        <v>0</v>
      </c>
      <c r="N46" s="52" t="n">
        <v>0</v>
      </c>
    </row>
    <row r="47" customFormat="false" ht="15" hidden="false" customHeight="true" outlineLevel="0" collapsed="false">
      <c r="A47" s="51" t="s">
        <v>728</v>
      </c>
      <c r="B47" s="52" t="n">
        <v>0</v>
      </c>
      <c r="C47" s="52" t="n">
        <v>0</v>
      </c>
      <c r="D47" s="52" t="n">
        <v>0</v>
      </c>
      <c r="E47" s="52" t="n">
        <v>0</v>
      </c>
      <c r="F47" s="52" t="n">
        <v>0</v>
      </c>
      <c r="G47" s="52" t="n">
        <v>0</v>
      </c>
      <c r="H47" s="52" t="n">
        <v>0</v>
      </c>
      <c r="I47" s="52" t="n">
        <v>0</v>
      </c>
      <c r="J47" s="52" t="n">
        <v>0</v>
      </c>
      <c r="K47" s="52" t="n">
        <v>0</v>
      </c>
      <c r="L47" s="52" t="n">
        <v>0</v>
      </c>
      <c r="M47" s="52" t="n">
        <v>0</v>
      </c>
      <c r="N47" s="52" t="n">
        <v>0</v>
      </c>
    </row>
    <row r="48" customFormat="false" ht="15" hidden="false" customHeight="true" outlineLevel="0" collapsed="false">
      <c r="A48" s="51" t="s">
        <v>729</v>
      </c>
      <c r="B48" s="52" t="n">
        <v>0</v>
      </c>
      <c r="C48" s="52" t="n">
        <v>0</v>
      </c>
      <c r="D48" s="52" t="n">
        <v>0</v>
      </c>
      <c r="E48" s="52" t="n">
        <v>0</v>
      </c>
      <c r="F48" s="52" t="n">
        <v>0</v>
      </c>
      <c r="G48" s="52" t="n">
        <v>0</v>
      </c>
      <c r="H48" s="52" t="n">
        <v>0</v>
      </c>
      <c r="I48" s="52" t="n">
        <v>0</v>
      </c>
      <c r="J48" s="52" t="n">
        <v>0</v>
      </c>
      <c r="K48" s="52" t="n">
        <v>0</v>
      </c>
      <c r="L48" s="52" t="n">
        <v>0</v>
      </c>
      <c r="M48" s="52" t="n">
        <v>0</v>
      </c>
      <c r="N48" s="52" t="n">
        <v>0</v>
      </c>
    </row>
    <row r="49" customFormat="false" ht="15" hidden="false" customHeight="true" outlineLevel="0" collapsed="false">
      <c r="A49" s="51" t="s">
        <v>679</v>
      </c>
      <c r="B49" s="52" t="n">
        <v>0</v>
      </c>
      <c r="C49" s="52" t="n">
        <v>0</v>
      </c>
      <c r="D49" s="52" t="n">
        <v>0</v>
      </c>
      <c r="E49" s="52" t="n">
        <v>0</v>
      </c>
      <c r="F49" s="52" t="n">
        <v>0</v>
      </c>
      <c r="G49" s="52" t="n">
        <v>0</v>
      </c>
      <c r="H49" s="52" t="n">
        <v>0</v>
      </c>
      <c r="I49" s="52" t="n">
        <v>0</v>
      </c>
      <c r="J49" s="52" t="n">
        <v>0</v>
      </c>
      <c r="K49" s="52" t="n">
        <v>0</v>
      </c>
      <c r="L49" s="52" t="n">
        <v>0</v>
      </c>
      <c r="M49" s="52" t="n">
        <v>0</v>
      </c>
      <c r="N49" s="52" t="n">
        <v>0</v>
      </c>
    </row>
    <row r="50" customFormat="false" ht="15" hidden="false" customHeight="true" outlineLevel="0" collapsed="false">
      <c r="A50" s="50" t="s">
        <v>680</v>
      </c>
      <c r="B50" s="55" t="n">
        <f aca="false">SUM(B33:B49)</f>
        <v>0</v>
      </c>
      <c r="C50" s="55" t="n">
        <f aca="false">SUM(C33:C49)</f>
        <v>0</v>
      </c>
      <c r="D50" s="55" t="n">
        <f aca="false">SUM(D33:D49)</f>
        <v>0</v>
      </c>
      <c r="E50" s="55" t="n">
        <f aca="false">SUM(E33:E49)</f>
        <v>0</v>
      </c>
      <c r="F50" s="55" t="n">
        <f aca="false">SUM(F33:F49)</f>
        <v>0</v>
      </c>
      <c r="G50" s="55" t="n">
        <f aca="false">SUM(G33:G49)</f>
        <v>0</v>
      </c>
      <c r="H50" s="55" t="n">
        <f aca="false">SUM(H33:H49)</f>
        <v>0</v>
      </c>
      <c r="I50" s="55" t="n">
        <f aca="false">SUM(I33:I49)</f>
        <v>0</v>
      </c>
      <c r="J50" s="55" t="n">
        <f aca="false">SUM(J33:J49)</f>
        <v>0</v>
      </c>
      <c r="K50" s="55" t="n">
        <f aca="false">SUM(K33:K49)</f>
        <v>0</v>
      </c>
      <c r="L50" s="55" t="n">
        <f aca="false">SUM(L33:L49)</f>
        <v>0</v>
      </c>
      <c r="M50" s="55" t="n">
        <f aca="false">SUM(M33:M49)</f>
        <v>0</v>
      </c>
      <c r="N50" s="55" t="n">
        <f aca="false">SUM(N33:N49)</f>
        <v>0</v>
      </c>
    </row>
    <row r="51" customFormat="false" ht="15" hidden="false" customHeight="true" outlineLevel="0" collapsed="false">
      <c r="A51" s="50" t="s">
        <v>681</v>
      </c>
      <c r="B51" s="56" t="n">
        <f aca="false">B30-B50</f>
        <v>950000</v>
      </c>
      <c r="C51" s="56" t="n">
        <f aca="false">C30-C50</f>
        <v>950000</v>
      </c>
      <c r="D51" s="56" t="n">
        <f aca="false">D30-D50</f>
        <v>950000</v>
      </c>
      <c r="E51" s="56" t="n">
        <f aca="false">E30-E50</f>
        <v>950000</v>
      </c>
      <c r="F51" s="56" t="n">
        <f aca="false">F30-F50</f>
        <v>950000</v>
      </c>
      <c r="G51" s="56" t="n">
        <f aca="false">G30-G50</f>
        <v>950000</v>
      </c>
      <c r="H51" s="56" t="n">
        <f aca="false">H30-H50</f>
        <v>950000</v>
      </c>
      <c r="I51" s="56" t="n">
        <f aca="false">I30-I50</f>
        <v>950000</v>
      </c>
      <c r="J51" s="56" t="n">
        <f aca="false">J30-J50</f>
        <v>950000</v>
      </c>
      <c r="K51" s="56" t="n">
        <f aca="false">K30-K50</f>
        <v>950000</v>
      </c>
      <c r="L51" s="56" t="n">
        <f aca="false">L30-L50</f>
        <v>950000</v>
      </c>
      <c r="M51" s="56" t="n">
        <f aca="false">M30-M50</f>
        <v>950000</v>
      </c>
      <c r="N51" s="60" t="n">
        <f aca="false">SUM(B51:M51)</f>
        <v>11400000</v>
      </c>
    </row>
    <row r="52" customFormat="false" ht="15" hidden="false" customHeight="true" outlineLevel="0" collapsed="false">
      <c r="A52" s="51" t="s">
        <v>682</v>
      </c>
      <c r="B52" s="57" t="n">
        <f aca="false">IFERROR(B51/B16,0)</f>
        <v>0.27536231884058</v>
      </c>
      <c r="C52" s="57" t="n">
        <f aca="false">IFERROR(C51/C16,0)</f>
        <v>0.27536231884058</v>
      </c>
      <c r="D52" s="57" t="n">
        <f aca="false">IFERROR(D51/D16,0)</f>
        <v>0.27536231884058</v>
      </c>
      <c r="E52" s="57" t="n">
        <f aca="false">IFERROR(E51/E16,0)</f>
        <v>0.27536231884058</v>
      </c>
      <c r="F52" s="57" t="n">
        <f aca="false">IFERROR(F51/F16,0)</f>
        <v>0.27536231884058</v>
      </c>
      <c r="G52" s="57" t="n">
        <f aca="false">IFERROR(G51/G16,0)</f>
        <v>0.27536231884058</v>
      </c>
      <c r="H52" s="57" t="n">
        <f aca="false">IFERROR(H51/H16,0)</f>
        <v>0.27536231884058</v>
      </c>
      <c r="I52" s="57" t="n">
        <f aca="false">IFERROR(I51/I16,0)</f>
        <v>0.27536231884058</v>
      </c>
      <c r="J52" s="57" t="n">
        <f aca="false">IFERROR(J51/J16,0)</f>
        <v>0.27536231884058</v>
      </c>
      <c r="K52" s="57" t="n">
        <f aca="false">IFERROR(K51/K16,0)</f>
        <v>0.27536231884058</v>
      </c>
      <c r="L52" s="57" t="n">
        <f aca="false">IFERROR(L51/L16,0)</f>
        <v>0.27536231884058</v>
      </c>
      <c r="M52" s="57" t="n">
        <f aca="false">IFERROR(M51/M16,0)</f>
        <v>0.27536231884058</v>
      </c>
      <c r="N52" s="57" t="n">
        <f aca="false">IFERROR(N51/N16,0)</f>
        <v>0.27536231884058</v>
      </c>
    </row>
    <row r="53" customFormat="false" ht="15" hidden="false" customHeight="true" outlineLevel="0" collapsed="false">
      <c r="A53" s="50" t="s">
        <v>683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</row>
    <row r="54" customFormat="false" ht="15" hidden="false" customHeight="true" outlineLevel="0" collapsed="false">
      <c r="A54" s="51" t="s">
        <v>684</v>
      </c>
      <c r="B54" s="52" t="n">
        <v>0</v>
      </c>
      <c r="C54" s="52" t="n">
        <v>0</v>
      </c>
      <c r="D54" s="52" t="n">
        <v>0</v>
      </c>
      <c r="E54" s="52" t="n">
        <v>0</v>
      </c>
      <c r="F54" s="52" t="n">
        <v>0</v>
      </c>
      <c r="G54" s="52" t="n">
        <v>0</v>
      </c>
      <c r="H54" s="52" t="n">
        <v>0</v>
      </c>
      <c r="I54" s="52" t="n">
        <v>0</v>
      </c>
      <c r="J54" s="52" t="n">
        <v>0</v>
      </c>
      <c r="K54" s="52" t="n">
        <v>0</v>
      </c>
      <c r="L54" s="52" t="n">
        <v>0</v>
      </c>
      <c r="M54" s="52" t="n">
        <v>0</v>
      </c>
      <c r="N54" s="52" t="n">
        <v>0</v>
      </c>
    </row>
    <row r="55" customFormat="false" ht="15" hidden="false" customHeight="true" outlineLevel="0" collapsed="false">
      <c r="A55" s="51" t="s">
        <v>730</v>
      </c>
      <c r="B55" s="52" t="n">
        <v>0</v>
      </c>
      <c r="C55" s="52" t="n">
        <v>0</v>
      </c>
      <c r="D55" s="52" t="n">
        <v>0</v>
      </c>
      <c r="E55" s="52" t="n">
        <v>0</v>
      </c>
      <c r="F55" s="52" t="n">
        <v>0</v>
      </c>
      <c r="G55" s="52" t="n">
        <v>0</v>
      </c>
      <c r="H55" s="52" t="n">
        <v>0</v>
      </c>
      <c r="I55" s="52" t="n">
        <v>0</v>
      </c>
      <c r="J55" s="52" t="n">
        <v>0</v>
      </c>
      <c r="K55" s="52" t="n">
        <v>0</v>
      </c>
      <c r="L55" s="52" t="n">
        <v>0</v>
      </c>
      <c r="M55" s="52" t="n">
        <v>0</v>
      </c>
      <c r="N55" s="52" t="n">
        <v>0</v>
      </c>
    </row>
    <row r="56" customFormat="false" ht="15" hidden="false" customHeight="true" outlineLevel="0" collapsed="false">
      <c r="A56" s="51" t="s">
        <v>685</v>
      </c>
      <c r="B56" s="52" t="n">
        <v>0</v>
      </c>
      <c r="C56" s="52" t="n">
        <v>0</v>
      </c>
      <c r="D56" s="52" t="n">
        <v>0</v>
      </c>
      <c r="E56" s="52" t="n">
        <v>0</v>
      </c>
      <c r="F56" s="52" t="n">
        <v>0</v>
      </c>
      <c r="G56" s="52" t="n">
        <v>0</v>
      </c>
      <c r="H56" s="52" t="n">
        <v>0</v>
      </c>
      <c r="I56" s="52" t="n">
        <v>0</v>
      </c>
      <c r="J56" s="52" t="n">
        <v>0</v>
      </c>
      <c r="K56" s="52" t="n">
        <v>0</v>
      </c>
      <c r="L56" s="52" t="n">
        <v>0</v>
      </c>
      <c r="M56" s="52" t="n">
        <v>0</v>
      </c>
      <c r="N56" s="52" t="n">
        <v>0</v>
      </c>
    </row>
    <row r="57" customFormat="false" ht="15" hidden="false" customHeight="true" outlineLevel="0" collapsed="false">
      <c r="A57" s="51" t="s">
        <v>687</v>
      </c>
      <c r="B57" s="52" t="n">
        <v>0</v>
      </c>
      <c r="C57" s="52" t="n">
        <v>0</v>
      </c>
      <c r="D57" s="52" t="n">
        <v>0</v>
      </c>
      <c r="E57" s="52" t="n">
        <v>0</v>
      </c>
      <c r="F57" s="52" t="n">
        <v>0</v>
      </c>
      <c r="G57" s="52" t="n">
        <v>0</v>
      </c>
      <c r="H57" s="52" t="n">
        <v>0</v>
      </c>
      <c r="I57" s="52" t="n">
        <v>0</v>
      </c>
      <c r="J57" s="52" t="n">
        <v>0</v>
      </c>
      <c r="K57" s="52" t="n">
        <v>0</v>
      </c>
      <c r="L57" s="52" t="n">
        <v>0</v>
      </c>
      <c r="M57" s="52" t="n">
        <v>0</v>
      </c>
      <c r="N57" s="52" t="n">
        <v>0</v>
      </c>
    </row>
    <row r="58" customFormat="false" ht="15" hidden="false" customHeight="true" outlineLevel="0" collapsed="false">
      <c r="A58" s="51" t="s">
        <v>731</v>
      </c>
      <c r="B58" s="52" t="n">
        <v>0</v>
      </c>
      <c r="C58" s="52" t="n">
        <v>0</v>
      </c>
      <c r="D58" s="52" t="n">
        <v>0</v>
      </c>
      <c r="E58" s="52" t="n">
        <v>0</v>
      </c>
      <c r="F58" s="52" t="n">
        <v>0</v>
      </c>
      <c r="G58" s="52" t="n">
        <v>0</v>
      </c>
      <c r="H58" s="52" t="n">
        <v>0</v>
      </c>
      <c r="I58" s="52" t="n">
        <v>0</v>
      </c>
      <c r="J58" s="52" t="n">
        <v>0</v>
      </c>
      <c r="K58" s="52" t="n">
        <v>0</v>
      </c>
      <c r="L58" s="52" t="n">
        <v>0</v>
      </c>
      <c r="M58" s="52" t="n">
        <v>0</v>
      </c>
      <c r="N58" s="52" t="n">
        <v>0</v>
      </c>
    </row>
    <row r="59" customFormat="false" ht="15" hidden="false" customHeight="true" outlineLevel="0" collapsed="false">
      <c r="A59" s="51" t="s">
        <v>689</v>
      </c>
      <c r="B59" s="52" t="n">
        <v>0</v>
      </c>
      <c r="C59" s="52" t="n">
        <v>0</v>
      </c>
      <c r="D59" s="52" t="n">
        <v>0</v>
      </c>
      <c r="E59" s="52" t="n">
        <v>0</v>
      </c>
      <c r="F59" s="52" t="n">
        <v>0</v>
      </c>
      <c r="G59" s="52" t="n">
        <v>0</v>
      </c>
      <c r="H59" s="52" t="n">
        <v>0</v>
      </c>
      <c r="I59" s="52" t="n">
        <v>0</v>
      </c>
      <c r="J59" s="52" t="n">
        <v>0</v>
      </c>
      <c r="K59" s="52" t="n">
        <v>0</v>
      </c>
      <c r="L59" s="52" t="n">
        <v>0</v>
      </c>
      <c r="M59" s="52" t="n">
        <v>0</v>
      </c>
      <c r="N59" s="52" t="n">
        <v>0</v>
      </c>
    </row>
    <row r="60" customFormat="false" ht="15" hidden="false" customHeight="true" outlineLevel="0" collapsed="false">
      <c r="A60" s="50" t="s">
        <v>690</v>
      </c>
      <c r="B60" s="55" t="n">
        <f aca="false">SUM(B54:B56)-B57-B58-B59</f>
        <v>0</v>
      </c>
      <c r="C60" s="55" t="n">
        <f aca="false">SUM(C54:C56)-C57-C58-C59</f>
        <v>0</v>
      </c>
      <c r="D60" s="55" t="n">
        <f aca="false">SUM(D54:D56)-D57-D58-D59</f>
        <v>0</v>
      </c>
      <c r="E60" s="55" t="n">
        <f aca="false">SUM(E54:E56)-E57-E58-E59</f>
        <v>0</v>
      </c>
      <c r="F60" s="55" t="n">
        <f aca="false">SUM(F54:F56)-F57-F58-F59</f>
        <v>0</v>
      </c>
      <c r="G60" s="55" t="n">
        <f aca="false">SUM(G54:G56)-G57-G58-G59</f>
        <v>0</v>
      </c>
      <c r="H60" s="55" t="n">
        <f aca="false">SUM(H54:H56)-H57-H58-H59</f>
        <v>0</v>
      </c>
      <c r="I60" s="55" t="n">
        <f aca="false">SUM(I54:I56)-I57-I58-I59</f>
        <v>0</v>
      </c>
      <c r="J60" s="55" t="n">
        <f aca="false">SUM(J54:J56)-J57-J58-J59</f>
        <v>0</v>
      </c>
      <c r="K60" s="55" t="n">
        <f aca="false">SUM(K54:K56)-K57-K58-K59</f>
        <v>0</v>
      </c>
      <c r="L60" s="55" t="n">
        <f aca="false">SUM(L54:L56)-L57-L58-L59</f>
        <v>0</v>
      </c>
      <c r="M60" s="55" t="n">
        <f aca="false">SUM(M54:M56)-M57-M58-M59</f>
        <v>0</v>
      </c>
      <c r="N60" s="55" t="n">
        <f aca="false">SUM(N54:N56)-N57-N58-N59</f>
        <v>0</v>
      </c>
    </row>
    <row r="61" customFormat="false" ht="15" hidden="false" customHeight="true" outlineLevel="0" collapsed="false">
      <c r="A61" s="50" t="s">
        <v>691</v>
      </c>
      <c r="B61" s="56" t="n">
        <f aca="false">B51+B60</f>
        <v>950000</v>
      </c>
      <c r="C61" s="56" t="n">
        <f aca="false">C51+C60</f>
        <v>950000</v>
      </c>
      <c r="D61" s="56" t="n">
        <f aca="false">D51+D60</f>
        <v>950000</v>
      </c>
      <c r="E61" s="56" t="n">
        <f aca="false">E51+E60</f>
        <v>950000</v>
      </c>
      <c r="F61" s="56" t="n">
        <f aca="false">F51+F60</f>
        <v>950000</v>
      </c>
      <c r="G61" s="56" t="n">
        <f aca="false">G51+G60</f>
        <v>950000</v>
      </c>
      <c r="H61" s="56" t="n">
        <f aca="false">H51+H60</f>
        <v>950000</v>
      </c>
      <c r="I61" s="56" t="n">
        <f aca="false">I51+I60</f>
        <v>950000</v>
      </c>
      <c r="J61" s="56" t="n">
        <f aca="false">J51+J60</f>
        <v>950000</v>
      </c>
      <c r="K61" s="56" t="n">
        <f aca="false">K51+K60</f>
        <v>950000</v>
      </c>
      <c r="L61" s="56" t="n">
        <f aca="false">L51+L60</f>
        <v>950000</v>
      </c>
      <c r="M61" s="56" t="n">
        <f aca="false">M51+M60</f>
        <v>950000</v>
      </c>
      <c r="N61" s="60" t="n">
        <f aca="false">SUM(B61:M61)</f>
        <v>11400000</v>
      </c>
    </row>
    <row r="62" customFormat="false" ht="15" hidden="false" customHeight="true" outlineLevel="0" collapsed="false">
      <c r="A62" s="51" t="s">
        <v>695</v>
      </c>
      <c r="B62" s="54" t="n">
        <f aca="false">B61*0.27</f>
        <v>256500</v>
      </c>
      <c r="C62" s="54" t="n">
        <f aca="false">C61*0.27</f>
        <v>256500</v>
      </c>
      <c r="D62" s="54" t="n">
        <f aca="false">D61*0.27</f>
        <v>256500</v>
      </c>
      <c r="E62" s="54" t="n">
        <f aca="false">E61*0.27</f>
        <v>256500</v>
      </c>
      <c r="F62" s="54" t="n">
        <f aca="false">F61*0.27</f>
        <v>256500</v>
      </c>
      <c r="G62" s="54" t="n">
        <f aca="false">G61*0.27</f>
        <v>256500</v>
      </c>
      <c r="H62" s="54" t="n">
        <f aca="false">H61*0.27</f>
        <v>256500</v>
      </c>
      <c r="I62" s="54" t="n">
        <f aca="false">I61*0.27</f>
        <v>256500</v>
      </c>
      <c r="J62" s="54" t="n">
        <f aca="false">J61*0.27</f>
        <v>256500</v>
      </c>
      <c r="K62" s="54" t="n">
        <f aca="false">K61*0.27</f>
        <v>256500</v>
      </c>
      <c r="L62" s="54" t="n">
        <f aca="false">L61*0.27</f>
        <v>256500</v>
      </c>
      <c r="M62" s="54" t="n">
        <f aca="false">M61*0.27</f>
        <v>256500</v>
      </c>
      <c r="N62" s="54" t="n">
        <f aca="false">N61*0.27</f>
        <v>3078000</v>
      </c>
    </row>
    <row r="63" customFormat="false" ht="15" hidden="false" customHeight="true" outlineLevel="0" collapsed="false">
      <c r="A63" s="50" t="s">
        <v>403</v>
      </c>
      <c r="B63" s="56" t="n">
        <f aca="false">B61-B62</f>
        <v>693500</v>
      </c>
      <c r="C63" s="56" t="n">
        <f aca="false">C61-C62</f>
        <v>693500</v>
      </c>
      <c r="D63" s="56" t="n">
        <f aca="false">D61-D62</f>
        <v>693500</v>
      </c>
      <c r="E63" s="56" t="n">
        <f aca="false">E61-E62</f>
        <v>693500</v>
      </c>
      <c r="F63" s="56" t="n">
        <f aca="false">F61-F62</f>
        <v>693500</v>
      </c>
      <c r="G63" s="56" t="n">
        <f aca="false">G61-G62</f>
        <v>693500</v>
      </c>
      <c r="H63" s="56" t="n">
        <f aca="false">H61-H62</f>
        <v>693500</v>
      </c>
      <c r="I63" s="56" t="n">
        <f aca="false">I61-I62</f>
        <v>693500</v>
      </c>
      <c r="J63" s="56" t="n">
        <f aca="false">J61-J62</f>
        <v>693500</v>
      </c>
      <c r="K63" s="56" t="n">
        <f aca="false">K61-K62</f>
        <v>693500</v>
      </c>
      <c r="L63" s="56" t="n">
        <f aca="false">L61-L62</f>
        <v>693500</v>
      </c>
      <c r="M63" s="56" t="n">
        <f aca="false">M61-M62</f>
        <v>693500</v>
      </c>
      <c r="N63" s="60" t="n">
        <f aca="false">SUM(B63:M63)</f>
        <v>8322000</v>
      </c>
    </row>
    <row r="64" customFormat="false" ht="15" hidden="false" customHeight="true" outlineLevel="0" collapsed="false">
      <c r="A64" s="51" t="s">
        <v>407</v>
      </c>
      <c r="B64" s="57" t="n">
        <f aca="false">IFERROR(B63/B16,0)</f>
        <v>0.201014492753623</v>
      </c>
      <c r="C64" s="57" t="n">
        <f aca="false">IFERROR(C63/C16,0)</f>
        <v>0.201014492753623</v>
      </c>
      <c r="D64" s="57" t="n">
        <f aca="false">IFERROR(D63/D16,0)</f>
        <v>0.201014492753623</v>
      </c>
      <c r="E64" s="57" t="n">
        <f aca="false">IFERROR(E63/E16,0)</f>
        <v>0.201014492753623</v>
      </c>
      <c r="F64" s="57" t="n">
        <f aca="false">IFERROR(F63/F16,0)</f>
        <v>0.201014492753623</v>
      </c>
      <c r="G64" s="57" t="n">
        <f aca="false">IFERROR(G63/G16,0)</f>
        <v>0.201014492753623</v>
      </c>
      <c r="H64" s="57" t="n">
        <f aca="false">IFERROR(H63/H16,0)</f>
        <v>0.201014492753623</v>
      </c>
      <c r="I64" s="57" t="n">
        <f aca="false">IFERROR(I63/I16,0)</f>
        <v>0.201014492753623</v>
      </c>
      <c r="J64" s="57" t="n">
        <f aca="false">IFERROR(J63/J16,0)</f>
        <v>0.201014492753623</v>
      </c>
      <c r="K64" s="57" t="n">
        <f aca="false">IFERROR(K63/K16,0)</f>
        <v>0.201014492753623</v>
      </c>
      <c r="L64" s="57" t="n">
        <f aca="false">IFERROR(L63/L16,0)</f>
        <v>0.201014492753623</v>
      </c>
      <c r="M64" s="57" t="n">
        <f aca="false">IFERROR(M63/M16,0)</f>
        <v>0.201014492753623</v>
      </c>
      <c r="N64" s="57" t="n">
        <f aca="false">IFERROR(N63/N16,0)</f>
        <v>0.201014492753623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9B3C"/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</cols>
  <sheetData>
    <row r="1" customFormat="false" ht="17.25" hidden="false" customHeight="true" outlineLevel="0" collapsed="false">
      <c r="A1" s="45" t="s">
        <v>696</v>
      </c>
    </row>
    <row r="2" customFormat="false" ht="15" hidden="false" customHeight="true" outlineLevel="0" collapsed="false">
      <c r="A2" s="46" t="s">
        <v>693</v>
      </c>
    </row>
    <row r="3" customFormat="false" ht="15" hidden="false" customHeight="true" outlineLevel="0" collapsed="false">
      <c r="A3" s="47" t="s">
        <v>629</v>
      </c>
    </row>
    <row r="5" customFormat="false" ht="15" hidden="false" customHeight="true" outlineLevel="0" collapsed="false">
      <c r="A5" s="48" t="s">
        <v>78</v>
      </c>
      <c r="B5" s="49" t="s">
        <v>630</v>
      </c>
      <c r="C5" s="49" t="s">
        <v>631</v>
      </c>
      <c r="D5" s="49" t="s">
        <v>632</v>
      </c>
      <c r="E5" s="49" t="s">
        <v>633</v>
      </c>
      <c r="F5" s="49" t="s">
        <v>634</v>
      </c>
      <c r="G5" s="49" t="s">
        <v>635</v>
      </c>
      <c r="H5" s="49" t="s">
        <v>636</v>
      </c>
      <c r="I5" s="49" t="s">
        <v>637</v>
      </c>
      <c r="J5" s="49" t="s">
        <v>638</v>
      </c>
      <c r="K5" s="49" t="s">
        <v>639</v>
      </c>
      <c r="L5" s="49" t="s">
        <v>640</v>
      </c>
      <c r="M5" s="49" t="s">
        <v>641</v>
      </c>
      <c r="N5" s="49" t="s">
        <v>642</v>
      </c>
    </row>
    <row r="6" customFormat="false" ht="15" hidden="false" customHeight="true" outlineLevel="0" collapsed="false">
      <c r="A6" s="50" t="s">
        <v>697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customFormat="false" ht="15" hidden="false" customHeight="true" outlineLevel="0" collapsed="false">
      <c r="A7" s="51" t="s">
        <v>698</v>
      </c>
      <c r="B7" s="52" t="n">
        <v>1300000</v>
      </c>
      <c r="C7" s="52" t="n">
        <v>1300000</v>
      </c>
      <c r="D7" s="52" t="n">
        <v>1300000</v>
      </c>
      <c r="E7" s="52" t="n">
        <v>1300000</v>
      </c>
      <c r="F7" s="52" t="n">
        <v>1300000</v>
      </c>
      <c r="G7" s="52" t="n">
        <v>1300000</v>
      </c>
      <c r="H7" s="52" t="n">
        <v>1300000</v>
      </c>
      <c r="I7" s="52" t="n">
        <v>1300000</v>
      </c>
      <c r="J7" s="52" t="n">
        <v>1300000</v>
      </c>
      <c r="K7" s="52" t="n">
        <v>1300000</v>
      </c>
      <c r="L7" s="52" t="n">
        <v>1300000</v>
      </c>
      <c r="M7" s="52" t="n">
        <v>1300000</v>
      </c>
      <c r="N7" s="52" t="n">
        <f aca="false">SUM(B7:M7)</f>
        <v>15600000</v>
      </c>
    </row>
    <row r="8" customFormat="false" ht="15" hidden="false" customHeight="true" outlineLevel="0" collapsed="false">
      <c r="A8" s="51" t="s">
        <v>699</v>
      </c>
      <c r="B8" s="52" t="n">
        <v>0</v>
      </c>
      <c r="C8" s="52" t="n">
        <v>0</v>
      </c>
      <c r="D8" s="52" t="n">
        <v>0</v>
      </c>
      <c r="E8" s="52" t="n">
        <v>0</v>
      </c>
      <c r="F8" s="52" t="n">
        <v>0</v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f aca="false">SUM(B8:M8)</f>
        <v>0</v>
      </c>
    </row>
    <row r="9" customFormat="false" ht="15" hidden="false" customHeight="true" outlineLevel="0" collapsed="false">
      <c r="A9" s="51" t="s">
        <v>700</v>
      </c>
      <c r="B9" s="52" t="n">
        <v>570000</v>
      </c>
      <c r="C9" s="52" t="n">
        <v>570000</v>
      </c>
      <c r="D9" s="52" t="n">
        <v>570000</v>
      </c>
      <c r="E9" s="52" t="n">
        <v>570000</v>
      </c>
      <c r="F9" s="52" t="n">
        <v>570000</v>
      </c>
      <c r="G9" s="52" t="n">
        <v>570000</v>
      </c>
      <c r="H9" s="52" t="n">
        <v>570000</v>
      </c>
      <c r="I9" s="52" t="n">
        <v>570000</v>
      </c>
      <c r="J9" s="52" t="n">
        <v>570000</v>
      </c>
      <c r="K9" s="52" t="n">
        <v>570000</v>
      </c>
      <c r="L9" s="52" t="n">
        <v>570000</v>
      </c>
      <c r="M9" s="52" t="n">
        <v>570000</v>
      </c>
      <c r="N9" s="52" t="n">
        <f aca="false">SUM(B9:M9)</f>
        <v>6840000</v>
      </c>
    </row>
    <row r="10" customFormat="false" ht="15" hidden="false" customHeight="true" outlineLevel="0" collapsed="false">
      <c r="A10" s="51" t="s">
        <v>701</v>
      </c>
      <c r="B10" s="52" t="n">
        <v>0</v>
      </c>
      <c r="C10" s="52" t="n">
        <v>0</v>
      </c>
      <c r="D10" s="52" t="n">
        <v>0</v>
      </c>
      <c r="E10" s="52" t="n">
        <v>0</v>
      </c>
      <c r="F10" s="52" t="n">
        <v>0</v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f aca="false">SUM(B10:M10)</f>
        <v>0</v>
      </c>
    </row>
    <row r="11" customFormat="false" ht="15" hidden="false" customHeight="true" outlineLevel="0" collapsed="false">
      <c r="A11" s="51" t="s">
        <v>702</v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f aca="false">SUM(B11:M11)</f>
        <v>0</v>
      </c>
    </row>
    <row r="12" customFormat="false" ht="15" hidden="false" customHeight="true" outlineLevel="0" collapsed="false">
      <c r="A12" s="51" t="s">
        <v>703</v>
      </c>
      <c r="B12" s="52" t="n">
        <v>0</v>
      </c>
      <c r="C12" s="52" t="n">
        <v>0</v>
      </c>
      <c r="D12" s="52" t="n">
        <v>0</v>
      </c>
      <c r="E12" s="52" t="n">
        <v>0</v>
      </c>
      <c r="F12" s="52" t="n">
        <v>0</v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f aca="false">SUM(B12:M12)</f>
        <v>0</v>
      </c>
    </row>
    <row r="13" customFormat="false" ht="15" hidden="false" customHeight="true" outlineLevel="0" collapsed="false">
      <c r="A13" s="51" t="s">
        <v>648</v>
      </c>
      <c r="B13" s="54" t="n">
        <f aca="false">SUM(B7:B12)</f>
        <v>1870000</v>
      </c>
      <c r="C13" s="54" t="n">
        <f aca="false">SUM(C7:C12)</f>
        <v>1870000</v>
      </c>
      <c r="D13" s="54" t="n">
        <f aca="false">SUM(D7:D12)</f>
        <v>1870000</v>
      </c>
      <c r="E13" s="54" t="n">
        <f aca="false">SUM(E7:E12)</f>
        <v>1870000</v>
      </c>
      <c r="F13" s="54" t="n">
        <f aca="false">SUM(F7:F12)</f>
        <v>1870000</v>
      </c>
      <c r="G13" s="54" t="n">
        <f aca="false">SUM(G7:G12)</f>
        <v>1870000</v>
      </c>
      <c r="H13" s="54" t="n">
        <f aca="false">SUM(H7:H12)</f>
        <v>1870000</v>
      </c>
      <c r="I13" s="54" t="n">
        <f aca="false">SUM(I7:I12)</f>
        <v>1870000</v>
      </c>
      <c r="J13" s="54" t="n">
        <f aca="false">SUM(J7:J12)</f>
        <v>1870000</v>
      </c>
      <c r="K13" s="54" t="n">
        <f aca="false">SUM(K7:K12)</f>
        <v>1870000</v>
      </c>
      <c r="L13" s="54" t="n">
        <f aca="false">SUM(L7:L12)</f>
        <v>1870000</v>
      </c>
      <c r="M13" s="54" t="n">
        <f aca="false">SUM(M7:M12)</f>
        <v>1870000</v>
      </c>
      <c r="N13" s="54" t="n">
        <f aca="false">SUM(N7:N12)</f>
        <v>22440000</v>
      </c>
    </row>
    <row r="14" customFormat="false" ht="15" hidden="false" customHeight="true" outlineLevel="0" collapsed="false">
      <c r="A14" s="51" t="s">
        <v>704</v>
      </c>
      <c r="B14" s="52" t="n">
        <v>0</v>
      </c>
      <c r="C14" s="52" t="n">
        <v>0</v>
      </c>
      <c r="D14" s="52" t="n">
        <v>0</v>
      </c>
      <c r="E14" s="52" t="n">
        <v>0</v>
      </c>
      <c r="F14" s="52" t="n">
        <v>0</v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</row>
    <row r="15" customFormat="false" ht="15" hidden="false" customHeight="true" outlineLevel="0" collapsed="false">
      <c r="A15" s="51" t="s">
        <v>705</v>
      </c>
      <c r="B15" s="52" t="n">
        <v>0</v>
      </c>
      <c r="C15" s="52" t="n">
        <v>0</v>
      </c>
      <c r="D15" s="52" t="n">
        <v>0</v>
      </c>
      <c r="E15" s="52" t="n">
        <v>0</v>
      </c>
      <c r="F15" s="52" t="n">
        <v>0</v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3" t="n">
        <f aca="false">SUM(B15:M15)</f>
        <v>0</v>
      </c>
    </row>
    <row r="16" customFormat="false" ht="15" hidden="false" customHeight="true" outlineLevel="0" collapsed="false">
      <c r="A16" s="50" t="s">
        <v>651</v>
      </c>
      <c r="B16" s="55" t="n">
        <f aca="false">+B13-B14-B15</f>
        <v>1870000</v>
      </c>
      <c r="C16" s="55" t="n">
        <f aca="false">+C13-C14-C15</f>
        <v>1870000</v>
      </c>
      <c r="D16" s="55" t="n">
        <f aca="false">+D13-D14-D15</f>
        <v>1870000</v>
      </c>
      <c r="E16" s="55" t="n">
        <f aca="false">+E13-E14-E15</f>
        <v>1870000</v>
      </c>
      <c r="F16" s="55" t="n">
        <f aca="false">+F13-F14-F15</f>
        <v>1870000</v>
      </c>
      <c r="G16" s="55" t="n">
        <f aca="false">+G13-G14-G15</f>
        <v>1870000</v>
      </c>
      <c r="H16" s="55" t="n">
        <f aca="false">+H13-H14-H15</f>
        <v>1870000</v>
      </c>
      <c r="I16" s="55" t="n">
        <f aca="false">+I13-I14-I15</f>
        <v>1870000</v>
      </c>
      <c r="J16" s="55" t="n">
        <f aca="false">+J13-J14-J15</f>
        <v>1870000</v>
      </c>
      <c r="K16" s="55" t="n">
        <f aca="false">+K13-K14-K15</f>
        <v>1870000</v>
      </c>
      <c r="L16" s="55" t="n">
        <f aca="false">+L13-L14-L15</f>
        <v>1870000</v>
      </c>
      <c r="M16" s="55" t="n">
        <f aca="false">+M13-M14-M15</f>
        <v>1870000</v>
      </c>
      <c r="N16" s="55" t="n">
        <f aca="false">SUM(B16:M16)</f>
        <v>22440000</v>
      </c>
    </row>
    <row r="17" customFormat="false" ht="15" hidden="false" customHeight="true" outlineLevel="0" collapsed="false">
      <c r="A17" s="50" t="s">
        <v>706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</row>
    <row r="18" customFormat="false" ht="15" hidden="false" customHeight="true" outlineLevel="0" collapsed="false">
      <c r="A18" s="51" t="s">
        <v>707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</row>
    <row r="19" customFormat="false" ht="15" hidden="false" customHeight="true" outlineLevel="0" collapsed="false">
      <c r="A19" s="51" t="s">
        <v>708</v>
      </c>
      <c r="B19" s="52" t="n">
        <v>1400000</v>
      </c>
      <c r="C19" s="52" t="n">
        <v>1400000</v>
      </c>
      <c r="D19" s="52" t="n">
        <v>1400000</v>
      </c>
      <c r="E19" s="52" t="n">
        <v>1400000</v>
      </c>
      <c r="F19" s="52" t="n">
        <v>1400000</v>
      </c>
      <c r="G19" s="52" t="n">
        <v>1400000</v>
      </c>
      <c r="H19" s="52" t="n">
        <v>1400000</v>
      </c>
      <c r="I19" s="52" t="n">
        <v>1400000</v>
      </c>
      <c r="J19" s="52" t="n">
        <v>1400000</v>
      </c>
      <c r="K19" s="52" t="n">
        <v>1400000</v>
      </c>
      <c r="L19" s="52" t="n">
        <v>1400000</v>
      </c>
      <c r="M19" s="52" t="n">
        <v>1400000</v>
      </c>
      <c r="N19" s="52" t="n">
        <f aca="false">SUM(B19:M19)</f>
        <v>16800000</v>
      </c>
    </row>
    <row r="20" customFormat="false" ht="15" hidden="false" customHeight="true" outlineLevel="0" collapsed="false">
      <c r="A20" s="51" t="s">
        <v>709</v>
      </c>
      <c r="B20" s="52" t="n">
        <v>0</v>
      </c>
      <c r="C20" s="52" t="n">
        <v>0</v>
      </c>
      <c r="D20" s="52" t="n">
        <v>0</v>
      </c>
      <c r="E20" s="52" t="n">
        <v>0</v>
      </c>
      <c r="F20" s="52" t="n">
        <v>0</v>
      </c>
      <c r="G20" s="52" t="n">
        <v>0</v>
      </c>
      <c r="H20" s="52" t="n">
        <v>0</v>
      </c>
      <c r="I20" s="52" t="n">
        <v>0</v>
      </c>
      <c r="J20" s="52" t="n">
        <v>0</v>
      </c>
      <c r="K20" s="52" t="n">
        <v>0</v>
      </c>
      <c r="L20" s="52" t="n">
        <v>0</v>
      </c>
      <c r="M20" s="52" t="n">
        <v>0</v>
      </c>
      <c r="N20" s="52" t="n">
        <f aca="false">SUM(B20:M20)</f>
        <v>0</v>
      </c>
    </row>
    <row r="21" customFormat="false" ht="15" hidden="false" customHeight="true" outlineLevel="0" collapsed="false">
      <c r="A21" s="51" t="s">
        <v>710</v>
      </c>
      <c r="B21" s="52" t="n">
        <v>0</v>
      </c>
      <c r="C21" s="52" t="n">
        <v>0</v>
      </c>
      <c r="D21" s="52" t="n">
        <v>0</v>
      </c>
      <c r="E21" s="52" t="n">
        <v>0</v>
      </c>
      <c r="F21" s="52" t="n">
        <v>0</v>
      </c>
      <c r="G21" s="52" t="n">
        <v>0</v>
      </c>
      <c r="H21" s="52" t="n">
        <v>0</v>
      </c>
      <c r="I21" s="52" t="n">
        <v>0</v>
      </c>
      <c r="J21" s="52" t="n">
        <v>0</v>
      </c>
      <c r="K21" s="52" t="n">
        <v>0</v>
      </c>
      <c r="L21" s="52" t="n">
        <v>0</v>
      </c>
      <c r="M21" s="52" t="n">
        <v>0</v>
      </c>
      <c r="N21" s="52" t="n">
        <f aca="false">SUM(B21:M21)</f>
        <v>0</v>
      </c>
    </row>
    <row r="22" customFormat="false" ht="15" hidden="false" customHeight="true" outlineLevel="0" collapsed="false">
      <c r="A22" s="51" t="s">
        <v>711</v>
      </c>
      <c r="B22" s="52" t="n">
        <v>0</v>
      </c>
      <c r="C22" s="52" t="n">
        <v>0</v>
      </c>
      <c r="D22" s="52" t="n">
        <v>0</v>
      </c>
      <c r="E22" s="52" t="n">
        <v>0</v>
      </c>
      <c r="F22" s="52" t="n">
        <v>0</v>
      </c>
      <c r="G22" s="52" t="n">
        <v>0</v>
      </c>
      <c r="H22" s="52" t="n">
        <v>0</v>
      </c>
      <c r="I22" s="52" t="n">
        <v>0</v>
      </c>
      <c r="J22" s="52" t="n">
        <v>0</v>
      </c>
      <c r="K22" s="52" t="n">
        <v>0</v>
      </c>
      <c r="L22" s="52" t="n">
        <v>0</v>
      </c>
      <c r="M22" s="52" t="n">
        <v>0</v>
      </c>
      <c r="N22" s="52" t="n">
        <f aca="false">SUM(B22:M22)</f>
        <v>0</v>
      </c>
    </row>
    <row r="23" customFormat="false" ht="15" hidden="false" customHeight="true" outlineLevel="0" collapsed="false">
      <c r="A23" s="51" t="s">
        <v>712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</row>
    <row r="24" customFormat="false" ht="15" hidden="false" customHeight="true" outlineLevel="0" collapsed="false">
      <c r="A24" s="51" t="s">
        <v>713</v>
      </c>
      <c r="B24" s="52" t="n">
        <v>0</v>
      </c>
      <c r="C24" s="52" t="n">
        <v>0</v>
      </c>
      <c r="D24" s="52" t="n">
        <v>0</v>
      </c>
      <c r="E24" s="52" t="n">
        <v>0</v>
      </c>
      <c r="F24" s="52" t="n">
        <v>0</v>
      </c>
      <c r="G24" s="52" t="n">
        <v>0</v>
      </c>
      <c r="H24" s="52" t="n">
        <v>0</v>
      </c>
      <c r="I24" s="52" t="n">
        <v>0</v>
      </c>
      <c r="J24" s="52" t="n">
        <v>0</v>
      </c>
      <c r="K24" s="52" t="n">
        <v>0</v>
      </c>
      <c r="L24" s="52" t="n">
        <v>0</v>
      </c>
      <c r="M24" s="52" t="n">
        <v>0</v>
      </c>
      <c r="N24" s="52" t="n">
        <f aca="false">SUM(B24:M24)</f>
        <v>0</v>
      </c>
    </row>
    <row r="25" customFormat="false" ht="15" hidden="false" customHeight="true" outlineLevel="0" collapsed="false">
      <c r="A25" s="51" t="s">
        <v>714</v>
      </c>
      <c r="B25" s="52" t="n">
        <v>0</v>
      </c>
      <c r="C25" s="52" t="n">
        <v>0</v>
      </c>
      <c r="D25" s="52" t="n">
        <v>0</v>
      </c>
      <c r="E25" s="52" t="n">
        <v>0</v>
      </c>
      <c r="F25" s="52" t="n">
        <v>0</v>
      </c>
      <c r="G25" s="52" t="n">
        <v>0</v>
      </c>
      <c r="H25" s="52" t="n">
        <v>0</v>
      </c>
      <c r="I25" s="52" t="n">
        <v>0</v>
      </c>
      <c r="J25" s="52" t="n">
        <v>0</v>
      </c>
      <c r="K25" s="52" t="n">
        <v>0</v>
      </c>
      <c r="L25" s="52" t="n">
        <v>0</v>
      </c>
      <c r="M25" s="52" t="n">
        <v>0</v>
      </c>
      <c r="N25" s="52" t="n">
        <f aca="false">SUM(B25:M25)</f>
        <v>0</v>
      </c>
    </row>
    <row r="26" customFormat="false" ht="15" hidden="false" customHeight="true" outlineLevel="0" collapsed="false">
      <c r="A26" s="51" t="s">
        <v>715</v>
      </c>
      <c r="B26" s="52" t="n">
        <v>0</v>
      </c>
      <c r="C26" s="52" t="n">
        <v>0</v>
      </c>
      <c r="D26" s="52" t="n">
        <v>0</v>
      </c>
      <c r="E26" s="52" t="n">
        <v>0</v>
      </c>
      <c r="F26" s="52" t="n">
        <v>0</v>
      </c>
      <c r="G26" s="52" t="n">
        <v>0</v>
      </c>
      <c r="H26" s="52" t="n">
        <v>0</v>
      </c>
      <c r="I26" s="52" t="n">
        <v>0</v>
      </c>
      <c r="J26" s="52" t="n">
        <v>0</v>
      </c>
      <c r="K26" s="52" t="n">
        <v>0</v>
      </c>
      <c r="L26" s="52" t="n">
        <v>0</v>
      </c>
      <c r="M26" s="52" t="n">
        <v>0</v>
      </c>
      <c r="N26" s="52" t="n">
        <f aca="false">SUM(B26:M26)</f>
        <v>0</v>
      </c>
    </row>
    <row r="27" customFormat="false" ht="15" hidden="false" customHeight="true" outlineLevel="0" collapsed="false">
      <c r="A27" s="51" t="s">
        <v>716</v>
      </c>
      <c r="B27" s="52" t="n">
        <v>300000</v>
      </c>
      <c r="C27" s="52" t="n">
        <v>300000</v>
      </c>
      <c r="D27" s="52" t="n">
        <v>300000</v>
      </c>
      <c r="E27" s="52" t="n">
        <v>300000</v>
      </c>
      <c r="F27" s="52" t="n">
        <v>300000</v>
      </c>
      <c r="G27" s="52" t="n">
        <v>300000</v>
      </c>
      <c r="H27" s="52" t="n">
        <v>300000</v>
      </c>
      <c r="I27" s="52" t="n">
        <v>300000</v>
      </c>
      <c r="J27" s="52" t="n">
        <v>300000</v>
      </c>
      <c r="K27" s="52" t="n">
        <v>300000</v>
      </c>
      <c r="L27" s="52" t="n">
        <v>300000</v>
      </c>
      <c r="M27" s="52" t="n">
        <v>300000</v>
      </c>
      <c r="N27" s="52" t="n">
        <f aca="false">SUM(B27:M27)</f>
        <v>3600000</v>
      </c>
    </row>
    <row r="28" customFormat="false" ht="15" hidden="false" customHeight="true" outlineLevel="0" collapsed="false">
      <c r="A28" s="51" t="s">
        <v>717</v>
      </c>
      <c r="B28" s="52" t="n">
        <v>0</v>
      </c>
      <c r="C28" s="52" t="n">
        <v>0</v>
      </c>
      <c r="D28" s="52" t="n">
        <v>0</v>
      </c>
      <c r="E28" s="52" t="n">
        <v>0</v>
      </c>
      <c r="F28" s="52" t="n">
        <v>0</v>
      </c>
      <c r="G28" s="52" t="n">
        <v>0</v>
      </c>
      <c r="H28" s="52" t="n">
        <v>0</v>
      </c>
      <c r="I28" s="52" t="n">
        <v>0</v>
      </c>
      <c r="J28" s="52" t="n">
        <v>0</v>
      </c>
      <c r="K28" s="52" t="n">
        <v>0</v>
      </c>
      <c r="L28" s="52" t="n">
        <v>0</v>
      </c>
      <c r="M28" s="52" t="n">
        <v>0</v>
      </c>
      <c r="N28" s="52" t="n">
        <f aca="false">SUM(B28:M28)</f>
        <v>0</v>
      </c>
    </row>
    <row r="29" customFormat="false" ht="15" hidden="false" customHeight="true" outlineLevel="0" collapsed="false">
      <c r="A29" s="50" t="s">
        <v>718</v>
      </c>
      <c r="B29" s="55" t="n">
        <f aca="false">SUM(B19:B28)</f>
        <v>1700000</v>
      </c>
      <c r="C29" s="55" t="n">
        <f aca="false">SUM(C19:C28)</f>
        <v>1700000</v>
      </c>
      <c r="D29" s="55" t="n">
        <f aca="false">SUM(D19:D28)</f>
        <v>1700000</v>
      </c>
      <c r="E29" s="55" t="n">
        <f aca="false">SUM(E19:E28)</f>
        <v>1700000</v>
      </c>
      <c r="F29" s="55" t="n">
        <f aca="false">SUM(F19:F28)</f>
        <v>1700000</v>
      </c>
      <c r="G29" s="55" t="n">
        <f aca="false">SUM(G19:G28)</f>
        <v>1700000</v>
      </c>
      <c r="H29" s="55" t="n">
        <f aca="false">SUM(H19:H28)</f>
        <v>1700000</v>
      </c>
      <c r="I29" s="55" t="n">
        <f aca="false">SUM(I19:I28)</f>
        <v>1700000</v>
      </c>
      <c r="J29" s="55" t="n">
        <f aca="false">SUM(J19:J28)</f>
        <v>1700000</v>
      </c>
      <c r="K29" s="55" t="n">
        <f aca="false">SUM(K19:K28)</f>
        <v>1700000</v>
      </c>
      <c r="L29" s="55" t="n">
        <f aca="false">SUM(L19:L28)</f>
        <v>1700000</v>
      </c>
      <c r="M29" s="55" t="n">
        <f aca="false">SUM(M19:M28)</f>
        <v>1700000</v>
      </c>
      <c r="N29" s="60" t="n">
        <f aca="false">SUM(B29:M29)</f>
        <v>20400000</v>
      </c>
    </row>
    <row r="30" customFormat="false" ht="15" hidden="false" customHeight="true" outlineLevel="0" collapsed="false">
      <c r="A30" s="50" t="s">
        <v>663</v>
      </c>
      <c r="B30" s="56" t="n">
        <f aca="false">B16-B29</f>
        <v>170000</v>
      </c>
      <c r="C30" s="56" t="n">
        <f aca="false">C16-C29</f>
        <v>170000</v>
      </c>
      <c r="D30" s="56" t="n">
        <f aca="false">D16-D29</f>
        <v>170000</v>
      </c>
      <c r="E30" s="56" t="n">
        <f aca="false">E16-E29</f>
        <v>170000</v>
      </c>
      <c r="F30" s="56" t="n">
        <f aca="false">F16-F29</f>
        <v>170000</v>
      </c>
      <c r="G30" s="56" t="n">
        <f aca="false">G16-G29</f>
        <v>170000</v>
      </c>
      <c r="H30" s="56" t="n">
        <f aca="false">H16-H29</f>
        <v>170000</v>
      </c>
      <c r="I30" s="56" t="n">
        <f aca="false">I16-I29</f>
        <v>170000</v>
      </c>
      <c r="J30" s="56" t="n">
        <f aca="false">J16-J29</f>
        <v>170000</v>
      </c>
      <c r="K30" s="56" t="n">
        <f aca="false">K16-K29</f>
        <v>170000</v>
      </c>
      <c r="L30" s="56" t="n">
        <f aca="false">L16-L29</f>
        <v>170000</v>
      </c>
      <c r="M30" s="56" t="n">
        <f aca="false">M16-M29</f>
        <v>170000</v>
      </c>
      <c r="N30" s="60" t="n">
        <f aca="false">SUM(B30:M30)</f>
        <v>2040000</v>
      </c>
    </row>
    <row r="31" customFormat="false" ht="15" hidden="false" customHeight="true" outlineLevel="0" collapsed="false">
      <c r="A31" s="51" t="s">
        <v>405</v>
      </c>
      <c r="B31" s="61" t="n">
        <f aca="false">IFERROR(B30/B16,0)</f>
        <v>0.0909090909090909</v>
      </c>
      <c r="C31" s="61" t="n">
        <f aca="false">IFERROR(C30/C16,0)</f>
        <v>0.0909090909090909</v>
      </c>
      <c r="D31" s="61" t="n">
        <f aca="false">IFERROR(D30/D16,0)</f>
        <v>0.0909090909090909</v>
      </c>
      <c r="E31" s="61" t="n">
        <f aca="false">IFERROR(E30/E16,0)</f>
        <v>0.0909090909090909</v>
      </c>
      <c r="F31" s="61" t="n">
        <f aca="false">IFERROR(F30/F16,0)</f>
        <v>0.0909090909090909</v>
      </c>
      <c r="G31" s="61" t="n">
        <f aca="false">IFERROR(G30/G16,0)</f>
        <v>0.0909090909090909</v>
      </c>
      <c r="H31" s="61" t="n">
        <f aca="false">IFERROR(H30/H16,0)</f>
        <v>0.0909090909090909</v>
      </c>
      <c r="I31" s="61" t="n">
        <f aca="false">IFERROR(I30/I16,0)</f>
        <v>0.0909090909090909</v>
      </c>
      <c r="J31" s="61" t="n">
        <f aca="false">IFERROR(J30/J16,0)</f>
        <v>0.0909090909090909</v>
      </c>
      <c r="K31" s="61" t="n">
        <f aca="false">IFERROR(K30/K16,0)</f>
        <v>0.0909090909090909</v>
      </c>
      <c r="L31" s="61" t="n">
        <f aca="false">IFERROR(L30/L16,0)</f>
        <v>0.0909090909090909</v>
      </c>
      <c r="M31" s="61" t="n">
        <f aca="false">IFERROR(M30/M16,0)</f>
        <v>0.0909090909090909</v>
      </c>
      <c r="N31" s="61" t="n">
        <f aca="false">IFERROR(N30/N16,0)</f>
        <v>0.0909090909090909</v>
      </c>
    </row>
    <row r="32" customFormat="false" ht="15" hidden="false" customHeight="true" outlineLevel="0" collapsed="false">
      <c r="A32" s="50" t="s">
        <v>664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</row>
    <row r="33" customFormat="false" ht="15" hidden="false" customHeight="true" outlineLevel="0" collapsed="false">
      <c r="A33" s="51" t="s">
        <v>719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</row>
    <row r="34" customFormat="false" ht="15" hidden="false" customHeight="true" outlineLevel="0" collapsed="false">
      <c r="A34" s="51" t="s">
        <v>720</v>
      </c>
      <c r="B34" s="52" t="n">
        <v>0</v>
      </c>
      <c r="C34" s="52" t="n">
        <v>0</v>
      </c>
      <c r="D34" s="52" t="n">
        <v>0</v>
      </c>
      <c r="E34" s="52" t="n">
        <v>0</v>
      </c>
      <c r="F34" s="52" t="n">
        <v>0</v>
      </c>
      <c r="G34" s="52" t="n">
        <v>0</v>
      </c>
      <c r="H34" s="52" t="n">
        <v>0</v>
      </c>
      <c r="I34" s="52" t="n">
        <v>0</v>
      </c>
      <c r="J34" s="52" t="n">
        <v>0</v>
      </c>
      <c r="K34" s="52" t="n">
        <v>0</v>
      </c>
      <c r="L34" s="52" t="n">
        <v>0</v>
      </c>
      <c r="M34" s="52" t="n">
        <v>0</v>
      </c>
      <c r="N34" s="52" t="n">
        <v>0</v>
      </c>
    </row>
    <row r="35" customFormat="false" ht="15" hidden="false" customHeight="true" outlineLevel="0" collapsed="false">
      <c r="A35" s="51" t="s">
        <v>721</v>
      </c>
      <c r="B35" s="52" t="n">
        <v>0</v>
      </c>
      <c r="C35" s="52" t="n">
        <v>0</v>
      </c>
      <c r="D35" s="52" t="n">
        <v>0</v>
      </c>
      <c r="E35" s="52" t="n">
        <v>0</v>
      </c>
      <c r="F35" s="52" t="n">
        <v>0</v>
      </c>
      <c r="G35" s="52" t="n">
        <v>0</v>
      </c>
      <c r="H35" s="52" t="n">
        <v>0</v>
      </c>
      <c r="I35" s="52" t="n">
        <v>0</v>
      </c>
      <c r="J35" s="52" t="n">
        <v>0</v>
      </c>
      <c r="K35" s="52" t="n">
        <v>0</v>
      </c>
      <c r="L35" s="52" t="n">
        <v>0</v>
      </c>
      <c r="M35" s="52" t="n">
        <v>0</v>
      </c>
      <c r="N35" s="52" t="n">
        <v>0</v>
      </c>
    </row>
    <row r="36" customFormat="false" ht="15" hidden="false" customHeight="true" outlineLevel="0" collapsed="false">
      <c r="A36" s="51" t="s">
        <v>722</v>
      </c>
      <c r="B36" s="52" t="n">
        <v>0</v>
      </c>
      <c r="C36" s="52" t="n">
        <v>0</v>
      </c>
      <c r="D36" s="52" t="n">
        <v>0</v>
      </c>
      <c r="E36" s="52" t="n">
        <v>0</v>
      </c>
      <c r="F36" s="52" t="n">
        <v>0</v>
      </c>
      <c r="G36" s="52" t="n">
        <v>0</v>
      </c>
      <c r="H36" s="52" t="n">
        <v>0</v>
      </c>
      <c r="I36" s="52" t="n">
        <v>0</v>
      </c>
      <c r="J36" s="52" t="n">
        <v>0</v>
      </c>
      <c r="K36" s="52" t="n">
        <v>0</v>
      </c>
      <c r="L36" s="52" t="n">
        <v>0</v>
      </c>
      <c r="M36" s="52" t="n">
        <v>0</v>
      </c>
      <c r="N36" s="52" t="n">
        <v>0</v>
      </c>
    </row>
    <row r="37" customFormat="false" ht="15" hidden="false" customHeight="true" outlineLevel="0" collapsed="false">
      <c r="A37" s="51" t="s">
        <v>723</v>
      </c>
      <c r="B37" s="52" t="n">
        <v>0</v>
      </c>
      <c r="C37" s="52" t="n">
        <v>0</v>
      </c>
      <c r="D37" s="52" t="n">
        <v>0</v>
      </c>
      <c r="E37" s="52" t="n">
        <v>0</v>
      </c>
      <c r="F37" s="52" t="n">
        <v>0</v>
      </c>
      <c r="G37" s="52" t="n">
        <v>0</v>
      </c>
      <c r="H37" s="52" t="n">
        <v>0</v>
      </c>
      <c r="I37" s="52" t="n">
        <v>0</v>
      </c>
      <c r="J37" s="52" t="n">
        <v>0</v>
      </c>
      <c r="K37" s="52" t="n">
        <v>0</v>
      </c>
      <c r="L37" s="52" t="n">
        <v>0</v>
      </c>
      <c r="M37" s="52" t="n">
        <v>0</v>
      </c>
      <c r="N37" s="52" t="n">
        <v>0</v>
      </c>
    </row>
    <row r="38" customFormat="false" ht="15" hidden="false" customHeight="true" outlineLevel="0" collapsed="false">
      <c r="A38" s="51" t="s">
        <v>724</v>
      </c>
      <c r="B38" s="52" t="n">
        <v>0</v>
      </c>
      <c r="C38" s="52" t="n">
        <v>0</v>
      </c>
      <c r="D38" s="52" t="n">
        <v>0</v>
      </c>
      <c r="E38" s="52" t="n">
        <v>0</v>
      </c>
      <c r="F38" s="52" t="n">
        <v>0</v>
      </c>
      <c r="G38" s="52" t="n">
        <v>0</v>
      </c>
      <c r="H38" s="52" t="n">
        <v>0</v>
      </c>
      <c r="I38" s="52" t="n">
        <v>0</v>
      </c>
      <c r="J38" s="52" t="n">
        <v>0</v>
      </c>
      <c r="K38" s="52" t="n">
        <v>0</v>
      </c>
      <c r="L38" s="52" t="n">
        <v>0</v>
      </c>
      <c r="M38" s="52" t="n">
        <v>0</v>
      </c>
      <c r="N38" s="52" t="n">
        <v>0</v>
      </c>
    </row>
    <row r="39" customFormat="false" ht="15" hidden="false" customHeight="true" outlineLevel="0" collapsed="false">
      <c r="A39" s="51" t="s">
        <v>671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</row>
    <row r="40" customFormat="false" ht="15" hidden="false" customHeight="true" outlineLevel="0" collapsed="false">
      <c r="A40" s="51" t="s">
        <v>725</v>
      </c>
      <c r="B40" s="52" t="n">
        <v>0</v>
      </c>
      <c r="C40" s="52" t="n">
        <v>0</v>
      </c>
      <c r="D40" s="52" t="n">
        <v>0</v>
      </c>
      <c r="E40" s="52" t="n">
        <v>0</v>
      </c>
      <c r="F40" s="52" t="n">
        <v>0</v>
      </c>
      <c r="G40" s="52" t="n">
        <v>0</v>
      </c>
      <c r="H40" s="52" t="n">
        <v>0</v>
      </c>
      <c r="I40" s="52" t="n">
        <v>0</v>
      </c>
      <c r="J40" s="52" t="n">
        <v>0</v>
      </c>
      <c r="K40" s="52" t="n">
        <v>0</v>
      </c>
      <c r="L40" s="52" t="n">
        <v>0</v>
      </c>
      <c r="M40" s="52" t="n">
        <v>0</v>
      </c>
      <c r="N40" s="52" t="n">
        <v>0</v>
      </c>
    </row>
    <row r="41" customFormat="false" ht="15" hidden="false" customHeight="true" outlineLevel="0" collapsed="false">
      <c r="A41" s="51" t="s">
        <v>673</v>
      </c>
      <c r="B41" s="52" t="n">
        <v>0</v>
      </c>
      <c r="C41" s="52" t="n">
        <v>0</v>
      </c>
      <c r="D41" s="52" t="n">
        <v>0</v>
      </c>
      <c r="E41" s="52" t="n">
        <v>0</v>
      </c>
      <c r="F41" s="52" t="n">
        <v>0</v>
      </c>
      <c r="G41" s="52" t="n">
        <v>0</v>
      </c>
      <c r="H41" s="52" t="n">
        <v>0</v>
      </c>
      <c r="I41" s="52" t="n">
        <v>0</v>
      </c>
      <c r="J41" s="52" t="n">
        <v>0</v>
      </c>
      <c r="K41" s="52" t="n">
        <v>0</v>
      </c>
      <c r="L41" s="52" t="n">
        <v>0</v>
      </c>
      <c r="M41" s="52" t="n">
        <v>0</v>
      </c>
      <c r="N41" s="52" t="n">
        <v>0</v>
      </c>
    </row>
    <row r="42" customFormat="false" ht="15" hidden="false" customHeight="true" outlineLevel="0" collapsed="false">
      <c r="A42" s="51" t="s">
        <v>674</v>
      </c>
      <c r="B42" s="52" t="n">
        <v>0</v>
      </c>
      <c r="C42" s="52" t="n">
        <v>0</v>
      </c>
      <c r="D42" s="52" t="n">
        <v>0</v>
      </c>
      <c r="E42" s="52" t="n">
        <v>0</v>
      </c>
      <c r="F42" s="52" t="n">
        <v>0</v>
      </c>
      <c r="G42" s="52" t="n">
        <v>0</v>
      </c>
      <c r="H42" s="52" t="n">
        <v>0</v>
      </c>
      <c r="I42" s="52" t="n">
        <v>0</v>
      </c>
      <c r="J42" s="52" t="n">
        <v>0</v>
      </c>
      <c r="K42" s="52" t="n">
        <v>0</v>
      </c>
      <c r="L42" s="52" t="n">
        <v>0</v>
      </c>
      <c r="M42" s="52" t="n">
        <v>0</v>
      </c>
      <c r="N42" s="52" t="n">
        <v>0</v>
      </c>
    </row>
    <row r="43" customFormat="false" ht="15" hidden="false" customHeight="true" outlineLevel="0" collapsed="false">
      <c r="A43" s="51" t="s">
        <v>675</v>
      </c>
      <c r="B43" s="52" t="n">
        <v>0</v>
      </c>
      <c r="C43" s="52" t="n">
        <v>0</v>
      </c>
      <c r="D43" s="52" t="n">
        <v>0</v>
      </c>
      <c r="E43" s="52" t="n">
        <v>0</v>
      </c>
      <c r="F43" s="52" t="n">
        <v>0</v>
      </c>
      <c r="G43" s="52" t="n">
        <v>0</v>
      </c>
      <c r="H43" s="52" t="n">
        <v>0</v>
      </c>
      <c r="I43" s="52" t="n">
        <v>0</v>
      </c>
      <c r="J43" s="52" t="n">
        <v>0</v>
      </c>
      <c r="K43" s="52" t="n">
        <v>0</v>
      </c>
      <c r="L43" s="52" t="n">
        <v>0</v>
      </c>
      <c r="M43" s="52" t="n">
        <v>0</v>
      </c>
      <c r="N43" s="52" t="n">
        <v>0</v>
      </c>
    </row>
    <row r="44" customFormat="false" ht="15" hidden="false" customHeight="true" outlineLevel="0" collapsed="false">
      <c r="A44" s="51" t="s">
        <v>676</v>
      </c>
      <c r="B44" s="52" t="n">
        <v>0</v>
      </c>
      <c r="C44" s="52" t="n">
        <v>0</v>
      </c>
      <c r="D44" s="52" t="n">
        <v>0</v>
      </c>
      <c r="E44" s="52" t="n">
        <v>0</v>
      </c>
      <c r="F44" s="52" t="n">
        <v>0</v>
      </c>
      <c r="G44" s="52" t="n">
        <v>0</v>
      </c>
      <c r="H44" s="52" t="n">
        <v>0</v>
      </c>
      <c r="I44" s="52" t="n">
        <v>0</v>
      </c>
      <c r="J44" s="52" t="n">
        <v>0</v>
      </c>
      <c r="K44" s="52" t="n">
        <v>0</v>
      </c>
      <c r="L44" s="52" t="n">
        <v>0</v>
      </c>
      <c r="M44" s="52" t="n">
        <v>0</v>
      </c>
      <c r="N44" s="52" t="n">
        <v>0</v>
      </c>
    </row>
    <row r="45" customFormat="false" ht="15" hidden="false" customHeight="true" outlineLevel="0" collapsed="false">
      <c r="A45" s="51" t="s">
        <v>726</v>
      </c>
      <c r="B45" s="52" t="n">
        <v>0</v>
      </c>
      <c r="C45" s="52" t="n">
        <v>0</v>
      </c>
      <c r="D45" s="52" t="n">
        <v>0</v>
      </c>
      <c r="E45" s="52" t="n">
        <v>0</v>
      </c>
      <c r="F45" s="52" t="n">
        <v>0</v>
      </c>
      <c r="G45" s="52" t="n">
        <v>0</v>
      </c>
      <c r="H45" s="52" t="n">
        <v>0</v>
      </c>
      <c r="I45" s="52" t="n">
        <v>0</v>
      </c>
      <c r="J45" s="52" t="n">
        <v>0</v>
      </c>
      <c r="K45" s="52" t="n">
        <v>0</v>
      </c>
      <c r="L45" s="52" t="n">
        <v>0</v>
      </c>
      <c r="M45" s="52" t="n">
        <v>0</v>
      </c>
      <c r="N45" s="52" t="n">
        <v>0</v>
      </c>
    </row>
    <row r="46" customFormat="false" ht="15" hidden="false" customHeight="true" outlineLevel="0" collapsed="false">
      <c r="A46" s="51" t="s">
        <v>727</v>
      </c>
      <c r="B46" s="52" t="n">
        <v>0</v>
      </c>
      <c r="C46" s="52" t="n">
        <v>0</v>
      </c>
      <c r="D46" s="52" t="n">
        <v>0</v>
      </c>
      <c r="E46" s="52" t="n">
        <v>0</v>
      </c>
      <c r="F46" s="52" t="n">
        <v>0</v>
      </c>
      <c r="G46" s="52" t="n">
        <v>0</v>
      </c>
      <c r="H46" s="52" t="n">
        <v>0</v>
      </c>
      <c r="I46" s="52" t="n">
        <v>0</v>
      </c>
      <c r="J46" s="52" t="n">
        <v>0</v>
      </c>
      <c r="K46" s="52" t="n">
        <v>0</v>
      </c>
      <c r="L46" s="52" t="n">
        <v>0</v>
      </c>
      <c r="M46" s="52" t="n">
        <v>0</v>
      </c>
      <c r="N46" s="52" t="n">
        <v>0</v>
      </c>
    </row>
    <row r="47" customFormat="false" ht="15" hidden="false" customHeight="true" outlineLevel="0" collapsed="false">
      <c r="A47" s="51" t="s">
        <v>728</v>
      </c>
      <c r="B47" s="52" t="n">
        <v>0</v>
      </c>
      <c r="C47" s="52" t="n">
        <v>0</v>
      </c>
      <c r="D47" s="52" t="n">
        <v>0</v>
      </c>
      <c r="E47" s="52" t="n">
        <v>0</v>
      </c>
      <c r="F47" s="52" t="n">
        <v>0</v>
      </c>
      <c r="G47" s="52" t="n">
        <v>0</v>
      </c>
      <c r="H47" s="52" t="n">
        <v>0</v>
      </c>
      <c r="I47" s="52" t="n">
        <v>0</v>
      </c>
      <c r="J47" s="52" t="n">
        <v>0</v>
      </c>
      <c r="K47" s="52" t="n">
        <v>0</v>
      </c>
      <c r="L47" s="52" t="n">
        <v>0</v>
      </c>
      <c r="M47" s="52" t="n">
        <v>0</v>
      </c>
      <c r="N47" s="52" t="n">
        <v>0</v>
      </c>
    </row>
    <row r="48" customFormat="false" ht="15" hidden="false" customHeight="true" outlineLevel="0" collapsed="false">
      <c r="A48" s="51" t="s">
        <v>729</v>
      </c>
      <c r="B48" s="52" t="n">
        <v>0</v>
      </c>
      <c r="C48" s="52" t="n">
        <v>0</v>
      </c>
      <c r="D48" s="52" t="n">
        <v>0</v>
      </c>
      <c r="E48" s="52" t="n">
        <v>0</v>
      </c>
      <c r="F48" s="52" t="n">
        <v>0</v>
      </c>
      <c r="G48" s="52" t="n">
        <v>0</v>
      </c>
      <c r="H48" s="52" t="n">
        <v>0</v>
      </c>
      <c r="I48" s="52" t="n">
        <v>0</v>
      </c>
      <c r="J48" s="52" t="n">
        <v>0</v>
      </c>
      <c r="K48" s="52" t="n">
        <v>0</v>
      </c>
      <c r="L48" s="52" t="n">
        <v>0</v>
      </c>
      <c r="M48" s="52" t="n">
        <v>0</v>
      </c>
      <c r="N48" s="52" t="n">
        <v>0</v>
      </c>
    </row>
    <row r="49" customFormat="false" ht="15" hidden="false" customHeight="true" outlineLevel="0" collapsed="false">
      <c r="A49" s="51" t="s">
        <v>679</v>
      </c>
      <c r="B49" s="52" t="n">
        <v>0</v>
      </c>
      <c r="C49" s="52" t="n">
        <v>0</v>
      </c>
      <c r="D49" s="52" t="n">
        <v>0</v>
      </c>
      <c r="E49" s="52" t="n">
        <v>0</v>
      </c>
      <c r="F49" s="52" t="n">
        <v>0</v>
      </c>
      <c r="G49" s="52" t="n">
        <v>0</v>
      </c>
      <c r="H49" s="52" t="n">
        <v>0</v>
      </c>
      <c r="I49" s="52" t="n">
        <v>0</v>
      </c>
      <c r="J49" s="52" t="n">
        <v>0</v>
      </c>
      <c r="K49" s="52" t="n">
        <v>0</v>
      </c>
      <c r="L49" s="52" t="n">
        <v>0</v>
      </c>
      <c r="M49" s="52" t="n">
        <v>0</v>
      </c>
      <c r="N49" s="52" t="n">
        <v>0</v>
      </c>
    </row>
    <row r="50" customFormat="false" ht="15" hidden="false" customHeight="true" outlineLevel="0" collapsed="false">
      <c r="A50" s="50" t="s">
        <v>680</v>
      </c>
      <c r="B50" s="55" t="n">
        <f aca="false">SUM(B33:B49)</f>
        <v>0</v>
      </c>
      <c r="C50" s="55" t="n">
        <f aca="false">SUM(C33:C49)</f>
        <v>0</v>
      </c>
      <c r="D50" s="55" t="n">
        <f aca="false">SUM(D33:D49)</f>
        <v>0</v>
      </c>
      <c r="E50" s="55" t="n">
        <f aca="false">SUM(E33:E49)</f>
        <v>0</v>
      </c>
      <c r="F50" s="55" t="n">
        <f aca="false">SUM(F33:F49)</f>
        <v>0</v>
      </c>
      <c r="G50" s="55" t="n">
        <f aca="false">SUM(G33:G49)</f>
        <v>0</v>
      </c>
      <c r="H50" s="55" t="n">
        <f aca="false">SUM(H33:H49)</f>
        <v>0</v>
      </c>
      <c r="I50" s="55" t="n">
        <f aca="false">SUM(I33:I49)</f>
        <v>0</v>
      </c>
      <c r="J50" s="55" t="n">
        <f aca="false">SUM(J33:J49)</f>
        <v>0</v>
      </c>
      <c r="K50" s="55" t="n">
        <f aca="false">SUM(K33:K49)</f>
        <v>0</v>
      </c>
      <c r="L50" s="55" t="n">
        <f aca="false">SUM(L33:L49)</f>
        <v>0</v>
      </c>
      <c r="M50" s="55" t="n">
        <f aca="false">SUM(M33:M49)</f>
        <v>0</v>
      </c>
      <c r="N50" s="55" t="n">
        <f aca="false">SUM(N33:N49)</f>
        <v>0</v>
      </c>
    </row>
    <row r="51" customFormat="false" ht="15" hidden="false" customHeight="true" outlineLevel="0" collapsed="false">
      <c r="A51" s="50" t="s">
        <v>681</v>
      </c>
      <c r="B51" s="56" t="n">
        <f aca="false">B30-B50</f>
        <v>170000</v>
      </c>
      <c r="C51" s="56" t="n">
        <f aca="false">C30-C50</f>
        <v>170000</v>
      </c>
      <c r="D51" s="56" t="n">
        <f aca="false">D30-D50</f>
        <v>170000</v>
      </c>
      <c r="E51" s="56" t="n">
        <f aca="false">E30-E50</f>
        <v>170000</v>
      </c>
      <c r="F51" s="56" t="n">
        <f aca="false">F30-F50</f>
        <v>170000</v>
      </c>
      <c r="G51" s="56" t="n">
        <f aca="false">G30-G50</f>
        <v>170000</v>
      </c>
      <c r="H51" s="56" t="n">
        <f aca="false">H30-H50</f>
        <v>170000</v>
      </c>
      <c r="I51" s="56" t="n">
        <f aca="false">I30-I50</f>
        <v>170000</v>
      </c>
      <c r="J51" s="56" t="n">
        <f aca="false">J30-J50</f>
        <v>170000</v>
      </c>
      <c r="K51" s="56" t="n">
        <f aca="false">K30-K50</f>
        <v>170000</v>
      </c>
      <c r="L51" s="56" t="n">
        <f aca="false">L30-L50</f>
        <v>170000</v>
      </c>
      <c r="M51" s="56" t="n">
        <f aca="false">M30-M50</f>
        <v>170000</v>
      </c>
      <c r="N51" s="60" t="n">
        <f aca="false">SUM(B51:M51)</f>
        <v>2040000</v>
      </c>
    </row>
    <row r="52" customFormat="false" ht="15" hidden="false" customHeight="true" outlineLevel="0" collapsed="false">
      <c r="A52" s="51" t="s">
        <v>682</v>
      </c>
      <c r="B52" s="61" t="n">
        <f aca="false">IFERROR(B51/B16,0)</f>
        <v>0.0909090909090909</v>
      </c>
      <c r="C52" s="61" t="n">
        <f aca="false">IFERROR(C51/C16,0)</f>
        <v>0.0909090909090909</v>
      </c>
      <c r="D52" s="61" t="n">
        <f aca="false">IFERROR(D51/D16,0)</f>
        <v>0.0909090909090909</v>
      </c>
      <c r="E52" s="61" t="n">
        <f aca="false">IFERROR(E51/E16,0)</f>
        <v>0.0909090909090909</v>
      </c>
      <c r="F52" s="61" t="n">
        <f aca="false">IFERROR(F51/F16,0)</f>
        <v>0.0909090909090909</v>
      </c>
      <c r="G52" s="61" t="n">
        <f aca="false">IFERROR(G51/G16,0)</f>
        <v>0.0909090909090909</v>
      </c>
      <c r="H52" s="61" t="n">
        <f aca="false">IFERROR(H51/H16,0)</f>
        <v>0.0909090909090909</v>
      </c>
      <c r="I52" s="61" t="n">
        <f aca="false">IFERROR(I51/I16,0)</f>
        <v>0.0909090909090909</v>
      </c>
      <c r="J52" s="61" t="n">
        <f aca="false">IFERROR(J51/J16,0)</f>
        <v>0.0909090909090909</v>
      </c>
      <c r="K52" s="61" t="n">
        <f aca="false">IFERROR(K51/K16,0)</f>
        <v>0.0909090909090909</v>
      </c>
      <c r="L52" s="61" t="n">
        <f aca="false">IFERROR(L51/L16,0)</f>
        <v>0.0909090909090909</v>
      </c>
      <c r="M52" s="61" t="n">
        <f aca="false">IFERROR(M51/M16,0)</f>
        <v>0.0909090909090909</v>
      </c>
      <c r="N52" s="61" t="n">
        <f aca="false">IFERROR(N51/N16,0)</f>
        <v>0.0909090909090909</v>
      </c>
    </row>
    <row r="53" customFormat="false" ht="15" hidden="false" customHeight="true" outlineLevel="0" collapsed="false">
      <c r="A53" s="50" t="s">
        <v>683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</row>
    <row r="54" customFormat="false" ht="15" hidden="false" customHeight="true" outlineLevel="0" collapsed="false">
      <c r="A54" s="51" t="s">
        <v>684</v>
      </c>
      <c r="B54" s="52" t="n">
        <v>0</v>
      </c>
      <c r="C54" s="52" t="n">
        <v>0</v>
      </c>
      <c r="D54" s="52" t="n">
        <v>0</v>
      </c>
      <c r="E54" s="52" t="n">
        <v>0</v>
      </c>
      <c r="F54" s="52" t="n">
        <v>0</v>
      </c>
      <c r="G54" s="52" t="n">
        <v>0</v>
      </c>
      <c r="H54" s="52" t="n">
        <v>0</v>
      </c>
      <c r="I54" s="52" t="n">
        <v>0</v>
      </c>
      <c r="J54" s="52" t="n">
        <v>0</v>
      </c>
      <c r="K54" s="52" t="n">
        <v>0</v>
      </c>
      <c r="L54" s="52" t="n">
        <v>0</v>
      </c>
      <c r="M54" s="52" t="n">
        <v>0</v>
      </c>
      <c r="N54" s="52" t="n">
        <v>0</v>
      </c>
    </row>
    <row r="55" customFormat="false" ht="15" hidden="false" customHeight="true" outlineLevel="0" collapsed="false">
      <c r="A55" s="51" t="s">
        <v>730</v>
      </c>
      <c r="B55" s="52" t="n">
        <v>0</v>
      </c>
      <c r="C55" s="52" t="n">
        <v>0</v>
      </c>
      <c r="D55" s="52" t="n">
        <v>0</v>
      </c>
      <c r="E55" s="52" t="n">
        <v>0</v>
      </c>
      <c r="F55" s="52" t="n">
        <v>0</v>
      </c>
      <c r="G55" s="52" t="n">
        <v>0</v>
      </c>
      <c r="H55" s="52" t="n">
        <v>0</v>
      </c>
      <c r="I55" s="52" t="n">
        <v>0</v>
      </c>
      <c r="J55" s="52" t="n">
        <v>0</v>
      </c>
      <c r="K55" s="52" t="n">
        <v>0</v>
      </c>
      <c r="L55" s="52" t="n">
        <v>0</v>
      </c>
      <c r="M55" s="52" t="n">
        <v>0</v>
      </c>
      <c r="N55" s="52" t="n">
        <v>0</v>
      </c>
    </row>
    <row r="56" customFormat="false" ht="15" hidden="false" customHeight="true" outlineLevel="0" collapsed="false">
      <c r="A56" s="51" t="s">
        <v>685</v>
      </c>
      <c r="B56" s="52" t="n">
        <v>0</v>
      </c>
      <c r="C56" s="52" t="n">
        <v>0</v>
      </c>
      <c r="D56" s="52" t="n">
        <v>0</v>
      </c>
      <c r="E56" s="52" t="n">
        <v>0</v>
      </c>
      <c r="F56" s="52" t="n">
        <v>0</v>
      </c>
      <c r="G56" s="52" t="n">
        <v>0</v>
      </c>
      <c r="H56" s="52" t="n">
        <v>0</v>
      </c>
      <c r="I56" s="52" t="n">
        <v>0</v>
      </c>
      <c r="J56" s="52" t="n">
        <v>0</v>
      </c>
      <c r="K56" s="52" t="n">
        <v>0</v>
      </c>
      <c r="L56" s="52" t="n">
        <v>0</v>
      </c>
      <c r="M56" s="52" t="n">
        <v>0</v>
      </c>
      <c r="N56" s="52" t="n">
        <v>0</v>
      </c>
    </row>
    <row r="57" customFormat="false" ht="15" hidden="false" customHeight="true" outlineLevel="0" collapsed="false">
      <c r="A57" s="51" t="s">
        <v>687</v>
      </c>
      <c r="B57" s="52" t="n">
        <v>0</v>
      </c>
      <c r="C57" s="52" t="n">
        <v>0</v>
      </c>
      <c r="D57" s="52" t="n">
        <v>0</v>
      </c>
      <c r="E57" s="52" t="n">
        <v>0</v>
      </c>
      <c r="F57" s="52" t="n">
        <v>0</v>
      </c>
      <c r="G57" s="52" t="n">
        <v>0</v>
      </c>
      <c r="H57" s="52" t="n">
        <v>0</v>
      </c>
      <c r="I57" s="52" t="n">
        <v>0</v>
      </c>
      <c r="J57" s="52" t="n">
        <v>0</v>
      </c>
      <c r="K57" s="52" t="n">
        <v>0</v>
      </c>
      <c r="L57" s="52" t="n">
        <v>0</v>
      </c>
      <c r="M57" s="52" t="n">
        <v>0</v>
      </c>
      <c r="N57" s="52" t="n">
        <v>0</v>
      </c>
    </row>
    <row r="58" customFormat="false" ht="15" hidden="false" customHeight="true" outlineLevel="0" collapsed="false">
      <c r="A58" s="51" t="s">
        <v>731</v>
      </c>
      <c r="B58" s="52" t="n">
        <v>0</v>
      </c>
      <c r="C58" s="52" t="n">
        <v>0</v>
      </c>
      <c r="D58" s="52" t="n">
        <v>0</v>
      </c>
      <c r="E58" s="52" t="n">
        <v>0</v>
      </c>
      <c r="F58" s="52" t="n">
        <v>0</v>
      </c>
      <c r="G58" s="52" t="n">
        <v>0</v>
      </c>
      <c r="H58" s="52" t="n">
        <v>0</v>
      </c>
      <c r="I58" s="52" t="n">
        <v>0</v>
      </c>
      <c r="J58" s="52" t="n">
        <v>0</v>
      </c>
      <c r="K58" s="52" t="n">
        <v>0</v>
      </c>
      <c r="L58" s="52" t="n">
        <v>0</v>
      </c>
      <c r="M58" s="52" t="n">
        <v>0</v>
      </c>
      <c r="N58" s="52" t="n">
        <v>0</v>
      </c>
    </row>
    <row r="59" customFormat="false" ht="15" hidden="false" customHeight="true" outlineLevel="0" collapsed="false">
      <c r="A59" s="51" t="s">
        <v>689</v>
      </c>
      <c r="B59" s="52" t="n">
        <v>0</v>
      </c>
      <c r="C59" s="52" t="n">
        <v>0</v>
      </c>
      <c r="D59" s="52" t="n">
        <v>0</v>
      </c>
      <c r="E59" s="52" t="n">
        <v>0</v>
      </c>
      <c r="F59" s="52" t="n">
        <v>0</v>
      </c>
      <c r="G59" s="52" t="n">
        <v>0</v>
      </c>
      <c r="H59" s="52" t="n">
        <v>0</v>
      </c>
      <c r="I59" s="52" t="n">
        <v>0</v>
      </c>
      <c r="J59" s="52" t="n">
        <v>0</v>
      </c>
      <c r="K59" s="52" t="n">
        <v>0</v>
      </c>
      <c r="L59" s="52" t="n">
        <v>0</v>
      </c>
      <c r="M59" s="52" t="n">
        <v>0</v>
      </c>
      <c r="N59" s="52" t="n">
        <v>0</v>
      </c>
    </row>
    <row r="60" customFormat="false" ht="15" hidden="false" customHeight="true" outlineLevel="0" collapsed="false">
      <c r="A60" s="50" t="s">
        <v>690</v>
      </c>
      <c r="B60" s="55" t="n">
        <f aca="false">SUM(B54:B56)-B57-B58-B59</f>
        <v>0</v>
      </c>
      <c r="C60" s="55" t="n">
        <f aca="false">SUM(C54:C56)-C57-C58-C59</f>
        <v>0</v>
      </c>
      <c r="D60" s="55" t="n">
        <f aca="false">SUM(D54:D56)-D57-D58-D59</f>
        <v>0</v>
      </c>
      <c r="E60" s="55" t="n">
        <f aca="false">SUM(E54:E56)-E57-E58-E59</f>
        <v>0</v>
      </c>
      <c r="F60" s="55" t="n">
        <f aca="false">SUM(F54:F56)-F57-F58-F59</f>
        <v>0</v>
      </c>
      <c r="G60" s="55" t="n">
        <f aca="false">SUM(G54:G56)-G57-G58-G59</f>
        <v>0</v>
      </c>
      <c r="H60" s="55" t="n">
        <f aca="false">SUM(H54:H56)-H57-H58-H59</f>
        <v>0</v>
      </c>
      <c r="I60" s="55" t="n">
        <f aca="false">SUM(I54:I56)-I57-I58-I59</f>
        <v>0</v>
      </c>
      <c r="J60" s="55" t="n">
        <f aca="false">SUM(J54:J56)-J57-J58-J59</f>
        <v>0</v>
      </c>
      <c r="K60" s="55" t="n">
        <f aca="false">SUM(K54:K56)-K57-K58-K59</f>
        <v>0</v>
      </c>
      <c r="L60" s="55" t="n">
        <f aca="false">SUM(L54:L56)-L57-L58-L59</f>
        <v>0</v>
      </c>
      <c r="M60" s="55" t="n">
        <f aca="false">SUM(M54:M56)-M57-M58-M59</f>
        <v>0</v>
      </c>
      <c r="N60" s="55" t="n">
        <f aca="false">SUM(N54:N56)-N57-N58-N59</f>
        <v>0</v>
      </c>
    </row>
    <row r="61" customFormat="false" ht="15" hidden="false" customHeight="true" outlineLevel="0" collapsed="false">
      <c r="A61" s="50" t="s">
        <v>691</v>
      </c>
      <c r="B61" s="56" t="n">
        <f aca="false">B51+B60</f>
        <v>170000</v>
      </c>
      <c r="C61" s="56" t="n">
        <f aca="false">C51+C60</f>
        <v>170000</v>
      </c>
      <c r="D61" s="56" t="n">
        <f aca="false">D51+D60</f>
        <v>170000</v>
      </c>
      <c r="E61" s="56" t="n">
        <f aca="false">E51+E60</f>
        <v>170000</v>
      </c>
      <c r="F61" s="56" t="n">
        <f aca="false">F51+F60</f>
        <v>170000</v>
      </c>
      <c r="G61" s="56" t="n">
        <f aca="false">G51+G60</f>
        <v>170000</v>
      </c>
      <c r="H61" s="56" t="n">
        <f aca="false">H51+H60</f>
        <v>170000</v>
      </c>
      <c r="I61" s="56" t="n">
        <f aca="false">I51+I60</f>
        <v>170000</v>
      </c>
      <c r="J61" s="56" t="n">
        <f aca="false">J51+J60</f>
        <v>170000</v>
      </c>
      <c r="K61" s="56" t="n">
        <f aca="false">K51+K60</f>
        <v>170000</v>
      </c>
      <c r="L61" s="56" t="n">
        <f aca="false">L51+L60</f>
        <v>170000</v>
      </c>
      <c r="M61" s="56" t="n">
        <f aca="false">M51+M60</f>
        <v>170000</v>
      </c>
      <c r="N61" s="60" t="n">
        <f aca="false">SUM(B61:M61)</f>
        <v>2040000</v>
      </c>
    </row>
    <row r="62" customFormat="false" ht="15" hidden="false" customHeight="true" outlineLevel="0" collapsed="false">
      <c r="A62" s="51" t="s">
        <v>692</v>
      </c>
      <c r="B62" s="54" t="n">
        <f aca="false">B61*0.27</f>
        <v>45900</v>
      </c>
      <c r="C62" s="54" t="n">
        <f aca="false">C61*0.27</f>
        <v>45900</v>
      </c>
      <c r="D62" s="54" t="n">
        <f aca="false">D61*0.27</f>
        <v>45900</v>
      </c>
      <c r="E62" s="54" t="n">
        <f aca="false">E61*0.27</f>
        <v>45900</v>
      </c>
      <c r="F62" s="54" t="n">
        <f aca="false">F61*0.27</f>
        <v>45900</v>
      </c>
      <c r="G62" s="54" t="n">
        <f aca="false">G61*0.27</f>
        <v>45900</v>
      </c>
      <c r="H62" s="54" t="n">
        <f aca="false">H61*0.27</f>
        <v>45900</v>
      </c>
      <c r="I62" s="54" t="n">
        <f aca="false">I61*0.27</f>
        <v>45900</v>
      </c>
      <c r="J62" s="54" t="n">
        <f aca="false">J61*0.27</f>
        <v>45900</v>
      </c>
      <c r="K62" s="54" t="n">
        <f aca="false">K61*0.27</f>
        <v>45900</v>
      </c>
      <c r="L62" s="54" t="n">
        <f aca="false">L61*0.27</f>
        <v>45900</v>
      </c>
      <c r="M62" s="54" t="n">
        <f aca="false">M61*0.27</f>
        <v>45900</v>
      </c>
      <c r="N62" s="54" t="n">
        <f aca="false">N61*0.27</f>
        <v>550800</v>
      </c>
    </row>
    <row r="63" customFormat="false" ht="15" hidden="false" customHeight="true" outlineLevel="0" collapsed="false">
      <c r="A63" s="50" t="s">
        <v>403</v>
      </c>
      <c r="B63" s="56" t="n">
        <f aca="false">B61-B62</f>
        <v>124100</v>
      </c>
      <c r="C63" s="56" t="n">
        <f aca="false">C61-C62</f>
        <v>124100</v>
      </c>
      <c r="D63" s="56" t="n">
        <f aca="false">D61-D62</f>
        <v>124100</v>
      </c>
      <c r="E63" s="56" t="n">
        <f aca="false">E61-E62</f>
        <v>124100</v>
      </c>
      <c r="F63" s="56" t="n">
        <f aca="false">F61-F62</f>
        <v>124100</v>
      </c>
      <c r="G63" s="56" t="n">
        <f aca="false">G61-G62</f>
        <v>124100</v>
      </c>
      <c r="H63" s="56" t="n">
        <f aca="false">H61-H62</f>
        <v>124100</v>
      </c>
      <c r="I63" s="56" t="n">
        <f aca="false">I61-I62</f>
        <v>124100</v>
      </c>
      <c r="J63" s="56" t="n">
        <f aca="false">J61-J62</f>
        <v>124100</v>
      </c>
      <c r="K63" s="56" t="n">
        <f aca="false">K61-K62</f>
        <v>124100</v>
      </c>
      <c r="L63" s="56" t="n">
        <f aca="false">L61-L62</f>
        <v>124100</v>
      </c>
      <c r="M63" s="56" t="n">
        <f aca="false">M61-M62</f>
        <v>124100</v>
      </c>
      <c r="N63" s="60" t="n">
        <f aca="false">SUM(B63:M63)</f>
        <v>1489200</v>
      </c>
    </row>
    <row r="64" customFormat="false" ht="15" hidden="false" customHeight="true" outlineLevel="0" collapsed="false">
      <c r="A64" s="51" t="s">
        <v>407</v>
      </c>
      <c r="B64" s="61" t="n">
        <f aca="false">B63/B16</f>
        <v>0.0663636363636364</v>
      </c>
      <c r="C64" s="61" t="n">
        <f aca="false">C63/C16</f>
        <v>0.0663636363636364</v>
      </c>
      <c r="D64" s="61" t="n">
        <f aca="false">D63/D16</f>
        <v>0.0663636363636364</v>
      </c>
      <c r="E64" s="61" t="n">
        <f aca="false">E63/E16</f>
        <v>0.0663636363636364</v>
      </c>
      <c r="F64" s="61" t="n">
        <f aca="false">F63/F16</f>
        <v>0.0663636363636364</v>
      </c>
      <c r="G64" s="61" t="n">
        <f aca="false">G63/G16</f>
        <v>0.0663636363636364</v>
      </c>
      <c r="H64" s="61" t="n">
        <f aca="false">H63/H16</f>
        <v>0.0663636363636364</v>
      </c>
      <c r="I64" s="61" t="n">
        <f aca="false">I63/I16</f>
        <v>0.0663636363636364</v>
      </c>
      <c r="J64" s="61" t="n">
        <f aca="false">J63/J16</f>
        <v>0.0663636363636364</v>
      </c>
      <c r="K64" s="61" t="n">
        <f aca="false">K63/K16</f>
        <v>0.0663636363636364</v>
      </c>
      <c r="L64" s="61" t="n">
        <f aca="false">L63/L16</f>
        <v>0.0663636363636364</v>
      </c>
      <c r="M64" s="61" t="n">
        <f aca="false">M63/M16</f>
        <v>0.0663636363636364</v>
      </c>
      <c r="N64" s="61" t="n">
        <f aca="false">N63/N16</f>
        <v>0.0663636363636364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9B3C"/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</cols>
  <sheetData>
    <row r="1" customFormat="false" ht="17.25" hidden="false" customHeight="true" outlineLevel="0" collapsed="false">
      <c r="A1" s="45" t="s">
        <v>696</v>
      </c>
    </row>
    <row r="2" customFormat="false" ht="15" hidden="false" customHeight="true" outlineLevel="0" collapsed="false">
      <c r="A2" s="46" t="s">
        <v>694</v>
      </c>
    </row>
    <row r="3" customFormat="false" ht="15" hidden="false" customHeight="true" outlineLevel="0" collapsed="false">
      <c r="A3" s="47" t="s">
        <v>629</v>
      </c>
    </row>
    <row r="5" customFormat="false" ht="15" hidden="false" customHeight="true" outlineLevel="0" collapsed="false">
      <c r="A5" s="48" t="s">
        <v>78</v>
      </c>
      <c r="B5" s="49" t="s">
        <v>630</v>
      </c>
      <c r="C5" s="49" t="s">
        <v>631</v>
      </c>
      <c r="D5" s="49" t="s">
        <v>632</v>
      </c>
      <c r="E5" s="49" t="s">
        <v>633</v>
      </c>
      <c r="F5" s="49" t="s">
        <v>634</v>
      </c>
      <c r="G5" s="49" t="s">
        <v>635</v>
      </c>
      <c r="H5" s="49" t="s">
        <v>636</v>
      </c>
      <c r="I5" s="49" t="s">
        <v>637</v>
      </c>
      <c r="J5" s="49" t="s">
        <v>638</v>
      </c>
      <c r="K5" s="49" t="s">
        <v>639</v>
      </c>
      <c r="L5" s="49" t="s">
        <v>640</v>
      </c>
      <c r="M5" s="49" t="s">
        <v>641</v>
      </c>
      <c r="N5" s="49" t="s">
        <v>642</v>
      </c>
    </row>
    <row r="6" customFormat="false" ht="15" hidden="false" customHeight="true" outlineLevel="0" collapsed="false">
      <c r="A6" s="50" t="s">
        <v>697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customFormat="false" ht="15" hidden="false" customHeight="true" outlineLevel="0" collapsed="false">
      <c r="A7" s="51" t="s">
        <v>698</v>
      </c>
      <c r="B7" s="52" t="n">
        <v>2500000</v>
      </c>
      <c r="C7" s="52" t="n">
        <v>2500000</v>
      </c>
      <c r="D7" s="52" t="n">
        <v>2500000</v>
      </c>
      <c r="E7" s="52" t="n">
        <v>2500000</v>
      </c>
      <c r="F7" s="52" t="n">
        <v>2500000</v>
      </c>
      <c r="G7" s="52" t="n">
        <v>2500000</v>
      </c>
      <c r="H7" s="52" t="n">
        <v>2500000</v>
      </c>
      <c r="I7" s="52" t="n">
        <v>2500000</v>
      </c>
      <c r="J7" s="52" t="n">
        <v>2500000</v>
      </c>
      <c r="K7" s="52" t="n">
        <v>2500000</v>
      </c>
      <c r="L7" s="52" t="n">
        <v>2500000</v>
      </c>
      <c r="M7" s="52" t="n">
        <v>2500000</v>
      </c>
      <c r="N7" s="52" t="n">
        <f aca="false">SUM(B7:M7)</f>
        <v>30000000</v>
      </c>
    </row>
    <row r="8" customFormat="false" ht="15" hidden="false" customHeight="true" outlineLevel="0" collapsed="false">
      <c r="A8" s="51" t="s">
        <v>699</v>
      </c>
      <c r="B8" s="52" t="n">
        <v>0</v>
      </c>
      <c r="C8" s="52" t="n">
        <v>0</v>
      </c>
      <c r="D8" s="52" t="n">
        <v>0</v>
      </c>
      <c r="E8" s="52" t="n">
        <v>0</v>
      </c>
      <c r="F8" s="52" t="n">
        <v>0</v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f aca="false">SUM(B8:M8)</f>
        <v>0</v>
      </c>
    </row>
    <row r="9" customFormat="false" ht="15" hidden="false" customHeight="true" outlineLevel="0" collapsed="false">
      <c r="A9" s="51" t="s">
        <v>700</v>
      </c>
      <c r="B9" s="52" t="n">
        <v>0</v>
      </c>
      <c r="C9" s="52" t="n">
        <v>0</v>
      </c>
      <c r="D9" s="52" t="n">
        <v>0</v>
      </c>
      <c r="E9" s="52" t="n">
        <v>0</v>
      </c>
      <c r="F9" s="52" t="n">
        <v>0</v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f aca="false">SUM(B9:M9)</f>
        <v>0</v>
      </c>
    </row>
    <row r="10" customFormat="false" ht="15" hidden="false" customHeight="true" outlineLevel="0" collapsed="false">
      <c r="A10" s="51" t="s">
        <v>701</v>
      </c>
      <c r="B10" s="52" t="n">
        <v>0</v>
      </c>
      <c r="C10" s="52" t="n">
        <v>0</v>
      </c>
      <c r="D10" s="52" t="n">
        <v>0</v>
      </c>
      <c r="E10" s="52" t="n">
        <v>0</v>
      </c>
      <c r="F10" s="52" t="n">
        <v>0</v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f aca="false">SUM(B10:M10)</f>
        <v>0</v>
      </c>
    </row>
    <row r="11" customFormat="false" ht="15" hidden="false" customHeight="true" outlineLevel="0" collapsed="false">
      <c r="A11" s="51" t="s">
        <v>702</v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f aca="false">SUM(B11:M11)</f>
        <v>0</v>
      </c>
    </row>
    <row r="12" customFormat="false" ht="15" hidden="false" customHeight="true" outlineLevel="0" collapsed="false">
      <c r="A12" s="51" t="s">
        <v>703</v>
      </c>
      <c r="B12" s="52" t="n">
        <v>470000</v>
      </c>
      <c r="C12" s="52" t="n">
        <v>0</v>
      </c>
      <c r="D12" s="52" t="n">
        <v>470000</v>
      </c>
      <c r="E12" s="52" t="n">
        <v>470000</v>
      </c>
      <c r="F12" s="52" t="n">
        <v>470000</v>
      </c>
      <c r="G12" s="52" t="n">
        <v>470000</v>
      </c>
      <c r="H12" s="52" t="n">
        <v>470000</v>
      </c>
      <c r="I12" s="52" t="n">
        <v>0</v>
      </c>
      <c r="J12" s="52" t="n">
        <v>470000</v>
      </c>
      <c r="K12" s="52" t="n">
        <v>470000</v>
      </c>
      <c r="L12" s="52" t="n">
        <v>470000</v>
      </c>
      <c r="M12" s="52" t="n">
        <v>470000</v>
      </c>
      <c r="N12" s="53" t="n">
        <f aca="false">SUM(B12:M12)</f>
        <v>4700000</v>
      </c>
    </row>
    <row r="13" customFormat="false" ht="15" hidden="false" customHeight="true" outlineLevel="0" collapsed="false">
      <c r="A13" s="51" t="s">
        <v>648</v>
      </c>
      <c r="B13" s="54" t="n">
        <f aca="false">SUM(B7:B12)</f>
        <v>2970000</v>
      </c>
      <c r="C13" s="54" t="n">
        <f aca="false">SUM(C7:C12)</f>
        <v>2500000</v>
      </c>
      <c r="D13" s="54" t="n">
        <f aca="false">SUM(D7:D12)</f>
        <v>2970000</v>
      </c>
      <c r="E13" s="54" t="n">
        <f aca="false">SUM(E7:E12)</f>
        <v>2970000</v>
      </c>
      <c r="F13" s="54" t="n">
        <f aca="false">SUM(F7:F12)</f>
        <v>2970000</v>
      </c>
      <c r="G13" s="54" t="n">
        <f aca="false">SUM(G7:G12)</f>
        <v>2970000</v>
      </c>
      <c r="H13" s="54" t="n">
        <f aca="false">SUM(H7:H12)</f>
        <v>2970000</v>
      </c>
      <c r="I13" s="54" t="n">
        <f aca="false">SUM(I7:I12)</f>
        <v>2500000</v>
      </c>
      <c r="J13" s="54" t="n">
        <f aca="false">SUM(J7:J12)</f>
        <v>2970000</v>
      </c>
      <c r="K13" s="54" t="n">
        <f aca="false">SUM(K7:K12)</f>
        <v>2970000</v>
      </c>
      <c r="L13" s="54" t="n">
        <f aca="false">SUM(L7:L12)</f>
        <v>2970000</v>
      </c>
      <c r="M13" s="54" t="n">
        <f aca="false">SUM(M7:M12)</f>
        <v>2970000</v>
      </c>
      <c r="N13" s="54" t="n">
        <f aca="false">SUM(N7:N12)</f>
        <v>34700000</v>
      </c>
    </row>
    <row r="14" customFormat="false" ht="15" hidden="false" customHeight="true" outlineLevel="0" collapsed="false">
      <c r="A14" s="51" t="s">
        <v>704</v>
      </c>
      <c r="B14" s="52" t="n">
        <v>0</v>
      </c>
      <c r="C14" s="52" t="n">
        <v>0</v>
      </c>
      <c r="D14" s="52" t="n">
        <v>0</v>
      </c>
      <c r="E14" s="52" t="n">
        <v>0</v>
      </c>
      <c r="F14" s="52" t="n">
        <v>0</v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</row>
    <row r="15" customFormat="false" ht="15" hidden="false" customHeight="true" outlineLevel="0" collapsed="false">
      <c r="A15" s="51" t="s">
        <v>705</v>
      </c>
      <c r="B15" s="52" t="n">
        <v>0</v>
      </c>
      <c r="C15" s="52" t="n">
        <v>0</v>
      </c>
      <c r="D15" s="52" t="n">
        <v>0</v>
      </c>
      <c r="E15" s="52" t="n">
        <v>0</v>
      </c>
      <c r="F15" s="52" t="n">
        <v>0</v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3" t="n">
        <f aca="false">SUM(B15:M15)</f>
        <v>0</v>
      </c>
    </row>
    <row r="16" customFormat="false" ht="15" hidden="false" customHeight="true" outlineLevel="0" collapsed="false">
      <c r="A16" s="50" t="s">
        <v>651</v>
      </c>
      <c r="B16" s="55" t="n">
        <f aca="false">+B13-B14-B15</f>
        <v>2970000</v>
      </c>
      <c r="C16" s="55" t="n">
        <f aca="false">+C13-C14-C15</f>
        <v>2500000</v>
      </c>
      <c r="D16" s="55" t="n">
        <f aca="false">+D13-D14-D15</f>
        <v>2970000</v>
      </c>
      <c r="E16" s="55" t="n">
        <f aca="false">+E13-E14-E15</f>
        <v>2970000</v>
      </c>
      <c r="F16" s="55" t="n">
        <f aca="false">+F13-F14-F15</f>
        <v>2970000</v>
      </c>
      <c r="G16" s="55" t="n">
        <f aca="false">+G13-G14-G15</f>
        <v>2970000</v>
      </c>
      <c r="H16" s="55" t="n">
        <f aca="false">+H13-H14-H15</f>
        <v>2970000</v>
      </c>
      <c r="I16" s="55" t="n">
        <f aca="false">+I13-I14-I15</f>
        <v>2500000</v>
      </c>
      <c r="J16" s="55" t="n">
        <f aca="false">+J13-J14-J15</f>
        <v>2970000</v>
      </c>
      <c r="K16" s="55" t="n">
        <f aca="false">+K13-K14-K15</f>
        <v>2970000</v>
      </c>
      <c r="L16" s="55" t="n">
        <f aca="false">+L13-L14-L15</f>
        <v>2970000</v>
      </c>
      <c r="M16" s="55" t="n">
        <f aca="false">+M13-M14-M15</f>
        <v>2970000</v>
      </c>
      <c r="N16" s="55" t="n">
        <f aca="false">SUM(B16:M16)</f>
        <v>34700000</v>
      </c>
    </row>
    <row r="17" customFormat="false" ht="15" hidden="false" customHeight="true" outlineLevel="0" collapsed="false">
      <c r="A17" s="50" t="s">
        <v>706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</row>
    <row r="18" customFormat="false" ht="15" hidden="false" customHeight="true" outlineLevel="0" collapsed="false">
      <c r="A18" s="51" t="s">
        <v>707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</row>
    <row r="19" customFormat="false" ht="15" hidden="false" customHeight="true" outlineLevel="0" collapsed="false">
      <c r="A19" s="51" t="s">
        <v>708</v>
      </c>
      <c r="B19" s="52" t="n">
        <v>0</v>
      </c>
      <c r="C19" s="52" t="n">
        <v>0</v>
      </c>
      <c r="D19" s="52" t="n">
        <v>0</v>
      </c>
      <c r="E19" s="52" t="n">
        <v>0</v>
      </c>
      <c r="F19" s="52" t="n">
        <v>0</v>
      </c>
      <c r="G19" s="52" t="n">
        <v>0</v>
      </c>
      <c r="H19" s="52" t="n">
        <v>0</v>
      </c>
      <c r="I19" s="52" t="n">
        <v>0</v>
      </c>
      <c r="J19" s="52" t="n">
        <v>0</v>
      </c>
      <c r="K19" s="52" t="n">
        <v>0</v>
      </c>
      <c r="L19" s="52" t="n">
        <v>0</v>
      </c>
      <c r="M19" s="52" t="n">
        <v>0</v>
      </c>
      <c r="N19" s="52" t="n">
        <f aca="false">SUM(B19:M19)</f>
        <v>0</v>
      </c>
    </row>
    <row r="20" customFormat="false" ht="15" hidden="false" customHeight="true" outlineLevel="0" collapsed="false">
      <c r="A20" s="51" t="s">
        <v>709</v>
      </c>
      <c r="B20" s="52" t="n">
        <v>2100000</v>
      </c>
      <c r="C20" s="52" t="n">
        <v>2100000</v>
      </c>
      <c r="D20" s="52" t="n">
        <v>2100000</v>
      </c>
      <c r="E20" s="52" t="n">
        <v>2100000</v>
      </c>
      <c r="F20" s="52" t="n">
        <v>2100000</v>
      </c>
      <c r="G20" s="52" t="n">
        <v>2100000</v>
      </c>
      <c r="H20" s="52" t="n">
        <v>2100000</v>
      </c>
      <c r="I20" s="52" t="n">
        <v>2100000</v>
      </c>
      <c r="J20" s="52" t="n">
        <v>2100000</v>
      </c>
      <c r="K20" s="52" t="n">
        <v>2100000</v>
      </c>
      <c r="L20" s="52" t="n">
        <v>2100000</v>
      </c>
      <c r="M20" s="52" t="n">
        <v>2100000</v>
      </c>
      <c r="N20" s="52" t="n">
        <f aca="false">SUM(B20:M20)</f>
        <v>25200000</v>
      </c>
    </row>
    <row r="21" customFormat="false" ht="15" hidden="false" customHeight="true" outlineLevel="0" collapsed="false">
      <c r="A21" s="51" t="s">
        <v>710</v>
      </c>
      <c r="B21" s="52" t="n">
        <v>0</v>
      </c>
      <c r="C21" s="52" t="n">
        <v>0</v>
      </c>
      <c r="D21" s="52" t="n">
        <v>0</v>
      </c>
      <c r="E21" s="52" t="n">
        <v>0</v>
      </c>
      <c r="F21" s="52" t="n">
        <v>0</v>
      </c>
      <c r="G21" s="52" t="n">
        <v>0</v>
      </c>
      <c r="H21" s="52" t="n">
        <v>0</v>
      </c>
      <c r="I21" s="52" t="n">
        <v>0</v>
      </c>
      <c r="J21" s="52" t="n">
        <v>0</v>
      </c>
      <c r="K21" s="52" t="n">
        <v>0</v>
      </c>
      <c r="L21" s="52" t="n">
        <v>0</v>
      </c>
      <c r="M21" s="52" t="n">
        <v>0</v>
      </c>
      <c r="N21" s="52" t="n">
        <f aca="false">SUM(B21:M21)</f>
        <v>0</v>
      </c>
    </row>
    <row r="22" customFormat="false" ht="15" hidden="false" customHeight="true" outlineLevel="0" collapsed="false">
      <c r="A22" s="51" t="s">
        <v>711</v>
      </c>
      <c r="B22" s="52" t="n">
        <v>0</v>
      </c>
      <c r="C22" s="52" t="n">
        <v>0</v>
      </c>
      <c r="D22" s="52" t="n">
        <v>0</v>
      </c>
      <c r="E22" s="52" t="n">
        <v>0</v>
      </c>
      <c r="F22" s="52" t="n">
        <v>0</v>
      </c>
      <c r="G22" s="52" t="n">
        <v>0</v>
      </c>
      <c r="H22" s="52" t="n">
        <v>0</v>
      </c>
      <c r="I22" s="52" t="n">
        <v>0</v>
      </c>
      <c r="J22" s="52" t="n">
        <v>0</v>
      </c>
      <c r="K22" s="52" t="n">
        <v>0</v>
      </c>
      <c r="L22" s="52" t="n">
        <v>0</v>
      </c>
      <c r="M22" s="52" t="n">
        <v>0</v>
      </c>
      <c r="N22" s="52" t="n">
        <f aca="false">SUM(B22:M22)</f>
        <v>0</v>
      </c>
    </row>
    <row r="23" customFormat="false" ht="15" hidden="false" customHeight="true" outlineLevel="0" collapsed="false">
      <c r="A23" s="51" t="s">
        <v>712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</row>
    <row r="24" customFormat="false" ht="15" hidden="false" customHeight="true" outlineLevel="0" collapsed="false">
      <c r="A24" s="51" t="s">
        <v>713</v>
      </c>
      <c r="B24" s="52" t="n">
        <v>0</v>
      </c>
      <c r="C24" s="52" t="n">
        <v>0</v>
      </c>
      <c r="D24" s="52" t="n">
        <v>0</v>
      </c>
      <c r="E24" s="52" t="n">
        <v>0</v>
      </c>
      <c r="F24" s="52" t="n">
        <v>0</v>
      </c>
      <c r="G24" s="52" t="n">
        <v>0</v>
      </c>
      <c r="H24" s="52" t="n">
        <v>0</v>
      </c>
      <c r="I24" s="52" t="n">
        <v>0</v>
      </c>
      <c r="J24" s="52" t="n">
        <v>0</v>
      </c>
      <c r="K24" s="52" t="n">
        <v>0</v>
      </c>
      <c r="L24" s="52" t="n">
        <v>0</v>
      </c>
      <c r="M24" s="52" t="n">
        <v>0</v>
      </c>
      <c r="N24" s="52" t="n">
        <f aca="false">SUM(B24:M24)</f>
        <v>0</v>
      </c>
    </row>
    <row r="25" customFormat="false" ht="15" hidden="false" customHeight="true" outlineLevel="0" collapsed="false">
      <c r="A25" s="51" t="s">
        <v>714</v>
      </c>
      <c r="B25" s="52" t="n">
        <v>0</v>
      </c>
      <c r="C25" s="52" t="n">
        <v>0</v>
      </c>
      <c r="D25" s="52" t="n">
        <v>0</v>
      </c>
      <c r="E25" s="52" t="n">
        <v>0</v>
      </c>
      <c r="F25" s="52" t="n">
        <v>0</v>
      </c>
      <c r="G25" s="52" t="n">
        <v>0</v>
      </c>
      <c r="H25" s="52" t="n">
        <v>0</v>
      </c>
      <c r="I25" s="52" t="n">
        <v>0</v>
      </c>
      <c r="J25" s="52" t="n">
        <v>0</v>
      </c>
      <c r="K25" s="52" t="n">
        <v>0</v>
      </c>
      <c r="L25" s="52" t="n">
        <v>0</v>
      </c>
      <c r="M25" s="52" t="n">
        <v>0</v>
      </c>
      <c r="N25" s="52" t="n">
        <f aca="false">SUM(B25:M25)</f>
        <v>0</v>
      </c>
    </row>
    <row r="26" customFormat="false" ht="15" hidden="false" customHeight="true" outlineLevel="0" collapsed="false">
      <c r="A26" s="51" t="s">
        <v>715</v>
      </c>
      <c r="B26" s="52" t="n">
        <v>0</v>
      </c>
      <c r="C26" s="52" t="n">
        <v>0</v>
      </c>
      <c r="D26" s="52" t="n">
        <v>0</v>
      </c>
      <c r="E26" s="52" t="n">
        <v>0</v>
      </c>
      <c r="F26" s="52" t="n">
        <v>0</v>
      </c>
      <c r="G26" s="52" t="n">
        <v>0</v>
      </c>
      <c r="H26" s="52" t="n">
        <v>0</v>
      </c>
      <c r="I26" s="52" t="n">
        <v>0</v>
      </c>
      <c r="J26" s="52" t="n">
        <v>0</v>
      </c>
      <c r="K26" s="52" t="n">
        <v>0</v>
      </c>
      <c r="L26" s="52" t="n">
        <v>0</v>
      </c>
      <c r="M26" s="52" t="n">
        <v>0</v>
      </c>
      <c r="N26" s="52" t="n">
        <f aca="false">SUM(B26:M26)</f>
        <v>0</v>
      </c>
    </row>
    <row r="27" customFormat="false" ht="15" hidden="false" customHeight="true" outlineLevel="0" collapsed="false">
      <c r="A27" s="51" t="s">
        <v>716</v>
      </c>
      <c r="B27" s="52" t="n">
        <v>0</v>
      </c>
      <c r="C27" s="52" t="n">
        <v>0</v>
      </c>
      <c r="D27" s="52" t="n">
        <v>0</v>
      </c>
      <c r="E27" s="52" t="n">
        <v>0</v>
      </c>
      <c r="F27" s="52" t="n">
        <v>0</v>
      </c>
      <c r="G27" s="52" t="n">
        <v>0</v>
      </c>
      <c r="H27" s="52" t="n">
        <v>0</v>
      </c>
      <c r="I27" s="52" t="n">
        <v>0</v>
      </c>
      <c r="J27" s="52" t="n">
        <v>0</v>
      </c>
      <c r="K27" s="52" t="n">
        <v>0</v>
      </c>
      <c r="L27" s="52" t="n">
        <v>0</v>
      </c>
      <c r="M27" s="52" t="n">
        <v>0</v>
      </c>
      <c r="N27" s="52" t="n">
        <f aca="false">SUM(B27:M27)</f>
        <v>0</v>
      </c>
    </row>
    <row r="28" customFormat="false" ht="15" hidden="false" customHeight="true" outlineLevel="0" collapsed="false">
      <c r="A28" s="51" t="s">
        <v>717</v>
      </c>
      <c r="B28" s="52" t="n">
        <v>200000</v>
      </c>
      <c r="C28" s="52" t="n">
        <v>200000</v>
      </c>
      <c r="D28" s="52" t="n">
        <v>200000</v>
      </c>
      <c r="E28" s="52" t="n">
        <v>200000</v>
      </c>
      <c r="F28" s="52" t="n">
        <v>200000</v>
      </c>
      <c r="G28" s="52" t="n">
        <v>200000</v>
      </c>
      <c r="H28" s="52" t="n">
        <v>200000</v>
      </c>
      <c r="I28" s="52" t="n">
        <v>200000</v>
      </c>
      <c r="J28" s="52" t="n">
        <v>200000</v>
      </c>
      <c r="K28" s="52" t="n">
        <v>200000</v>
      </c>
      <c r="L28" s="52" t="n">
        <v>200000</v>
      </c>
      <c r="M28" s="52" t="n">
        <v>200000</v>
      </c>
      <c r="N28" s="52" t="n">
        <f aca="false">SUM(B28:M28)</f>
        <v>2400000</v>
      </c>
    </row>
    <row r="29" customFormat="false" ht="15" hidden="false" customHeight="true" outlineLevel="0" collapsed="false">
      <c r="A29" s="50" t="s">
        <v>718</v>
      </c>
      <c r="B29" s="55" t="n">
        <f aca="false">SUM(B19:B28)</f>
        <v>2300000</v>
      </c>
      <c r="C29" s="55" t="n">
        <f aca="false">SUM(C19:C28)</f>
        <v>2300000</v>
      </c>
      <c r="D29" s="55" t="n">
        <f aca="false">SUM(D19:D28)</f>
        <v>2300000</v>
      </c>
      <c r="E29" s="55" t="n">
        <f aca="false">SUM(E19:E28)</f>
        <v>2300000</v>
      </c>
      <c r="F29" s="55" t="n">
        <f aca="false">SUM(F19:F28)</f>
        <v>2300000</v>
      </c>
      <c r="G29" s="55" t="n">
        <f aca="false">SUM(G19:G28)</f>
        <v>2300000</v>
      </c>
      <c r="H29" s="55" t="n">
        <f aca="false">SUM(H19:H28)</f>
        <v>2300000</v>
      </c>
      <c r="I29" s="55" t="n">
        <f aca="false">SUM(I19:I28)</f>
        <v>2300000</v>
      </c>
      <c r="J29" s="55" t="n">
        <f aca="false">SUM(J19:J28)</f>
        <v>2300000</v>
      </c>
      <c r="K29" s="55" t="n">
        <f aca="false">SUM(K19:K28)</f>
        <v>2300000</v>
      </c>
      <c r="L29" s="55" t="n">
        <f aca="false">SUM(L19:L28)</f>
        <v>2300000</v>
      </c>
      <c r="M29" s="55" t="n">
        <f aca="false">SUM(M19:M28)</f>
        <v>2300000</v>
      </c>
      <c r="N29" s="60" t="n">
        <f aca="false">SUM(B29:M29)</f>
        <v>27600000</v>
      </c>
    </row>
    <row r="30" customFormat="false" ht="15" hidden="false" customHeight="true" outlineLevel="0" collapsed="false">
      <c r="A30" s="50" t="s">
        <v>663</v>
      </c>
      <c r="B30" s="56" t="n">
        <f aca="false">B16-B29</f>
        <v>670000</v>
      </c>
      <c r="C30" s="56" t="n">
        <f aca="false">C16-C29</f>
        <v>200000</v>
      </c>
      <c r="D30" s="56" t="n">
        <f aca="false">D16-D29</f>
        <v>670000</v>
      </c>
      <c r="E30" s="56" t="n">
        <f aca="false">E16-E29</f>
        <v>670000</v>
      </c>
      <c r="F30" s="56" t="n">
        <f aca="false">F16-F29</f>
        <v>670000</v>
      </c>
      <c r="G30" s="56" t="n">
        <f aca="false">G16-G29</f>
        <v>670000</v>
      </c>
      <c r="H30" s="56" t="n">
        <f aca="false">H16-H29</f>
        <v>670000</v>
      </c>
      <c r="I30" s="56" t="n">
        <f aca="false">I16-I29</f>
        <v>200000</v>
      </c>
      <c r="J30" s="56" t="n">
        <f aca="false">J16-J29</f>
        <v>670000</v>
      </c>
      <c r="K30" s="56" t="n">
        <f aca="false">K16-K29</f>
        <v>670000</v>
      </c>
      <c r="L30" s="56" t="n">
        <f aca="false">L16-L29</f>
        <v>670000</v>
      </c>
      <c r="M30" s="56" t="n">
        <f aca="false">M16-M29</f>
        <v>670000</v>
      </c>
      <c r="N30" s="60" t="n">
        <f aca="false">SUM(B30:M30)</f>
        <v>7100000</v>
      </c>
    </row>
    <row r="31" customFormat="false" ht="15" hidden="false" customHeight="true" outlineLevel="0" collapsed="false">
      <c r="A31" s="51" t="s">
        <v>405</v>
      </c>
      <c r="B31" s="61" t="n">
        <f aca="false">IFERROR(B30/B16,0)</f>
        <v>0.225589225589226</v>
      </c>
      <c r="C31" s="61" t="n">
        <f aca="false">IFERROR(C30/C16,0)</f>
        <v>0.08</v>
      </c>
      <c r="D31" s="61" t="n">
        <f aca="false">IFERROR(D30/D16,0)</f>
        <v>0.225589225589226</v>
      </c>
      <c r="E31" s="61" t="n">
        <f aca="false">IFERROR(E30/E16,0)</f>
        <v>0.225589225589226</v>
      </c>
      <c r="F31" s="61" t="n">
        <f aca="false">IFERROR(F30/F16,0)</f>
        <v>0.225589225589226</v>
      </c>
      <c r="G31" s="61" t="n">
        <f aca="false">IFERROR(G30/G16,0)</f>
        <v>0.225589225589226</v>
      </c>
      <c r="H31" s="61" t="n">
        <f aca="false">IFERROR(H30/H16,0)</f>
        <v>0.225589225589226</v>
      </c>
      <c r="I31" s="61" t="n">
        <f aca="false">IFERROR(I30/I16,0)</f>
        <v>0.08</v>
      </c>
      <c r="J31" s="61" t="n">
        <f aca="false">IFERROR(J30/J16,0)</f>
        <v>0.225589225589226</v>
      </c>
      <c r="K31" s="61" t="n">
        <f aca="false">IFERROR(K30/K16,0)</f>
        <v>0.225589225589226</v>
      </c>
      <c r="L31" s="61" t="n">
        <f aca="false">IFERROR(L30/L16,0)</f>
        <v>0.225589225589226</v>
      </c>
      <c r="M31" s="61" t="n">
        <f aca="false">IFERROR(M30/M16,0)</f>
        <v>0.225589225589226</v>
      </c>
      <c r="N31" s="61" t="n">
        <f aca="false">IFERROR(N30/N16,0)</f>
        <v>0.204610951008646</v>
      </c>
    </row>
    <row r="32" customFormat="false" ht="15" hidden="false" customHeight="true" outlineLevel="0" collapsed="false">
      <c r="A32" s="50" t="s">
        <v>664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</row>
    <row r="33" customFormat="false" ht="15" hidden="false" customHeight="true" outlineLevel="0" collapsed="false">
      <c r="A33" s="51" t="s">
        <v>719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</row>
    <row r="34" customFormat="false" ht="15" hidden="false" customHeight="true" outlineLevel="0" collapsed="false">
      <c r="A34" s="51" t="s">
        <v>720</v>
      </c>
      <c r="B34" s="52" t="n">
        <v>0</v>
      </c>
      <c r="C34" s="52" t="n">
        <v>0</v>
      </c>
      <c r="D34" s="52" t="n">
        <v>0</v>
      </c>
      <c r="E34" s="52" t="n">
        <v>0</v>
      </c>
      <c r="F34" s="52" t="n">
        <v>0</v>
      </c>
      <c r="G34" s="52" t="n">
        <v>0</v>
      </c>
      <c r="H34" s="52" t="n">
        <v>0</v>
      </c>
      <c r="I34" s="52" t="n">
        <v>0</v>
      </c>
      <c r="J34" s="52" t="n">
        <v>0</v>
      </c>
      <c r="K34" s="52" t="n">
        <v>0</v>
      </c>
      <c r="L34" s="52" t="n">
        <v>0</v>
      </c>
      <c r="M34" s="52" t="n">
        <v>0</v>
      </c>
      <c r="N34" s="52" t="n">
        <f aca="false">SUM(B34:M34)</f>
        <v>0</v>
      </c>
    </row>
    <row r="35" customFormat="false" ht="15" hidden="false" customHeight="true" outlineLevel="0" collapsed="false">
      <c r="A35" s="51" t="s">
        <v>721</v>
      </c>
      <c r="B35" s="52" t="n">
        <v>0</v>
      </c>
      <c r="C35" s="52" t="n">
        <v>0</v>
      </c>
      <c r="D35" s="52" t="n">
        <v>0</v>
      </c>
      <c r="E35" s="52" t="n">
        <v>0</v>
      </c>
      <c r="F35" s="52" t="n">
        <v>0</v>
      </c>
      <c r="G35" s="52" t="n">
        <v>0</v>
      </c>
      <c r="H35" s="52" t="n">
        <v>0</v>
      </c>
      <c r="I35" s="52" t="n">
        <v>0</v>
      </c>
      <c r="J35" s="52" t="n">
        <v>0</v>
      </c>
      <c r="K35" s="52" t="n">
        <v>0</v>
      </c>
      <c r="L35" s="52" t="n">
        <v>0</v>
      </c>
      <c r="M35" s="52" t="n">
        <v>0</v>
      </c>
      <c r="N35" s="52" t="n">
        <f aca="false">SUM(B35:M35)</f>
        <v>0</v>
      </c>
    </row>
    <row r="36" customFormat="false" ht="15" hidden="false" customHeight="true" outlineLevel="0" collapsed="false">
      <c r="A36" s="51" t="s">
        <v>722</v>
      </c>
      <c r="B36" s="52" t="n">
        <v>0</v>
      </c>
      <c r="C36" s="52" t="n">
        <v>0</v>
      </c>
      <c r="D36" s="52" t="n">
        <v>0</v>
      </c>
      <c r="E36" s="52" t="n">
        <v>0</v>
      </c>
      <c r="F36" s="52" t="n">
        <v>0</v>
      </c>
      <c r="G36" s="52" t="n">
        <v>0</v>
      </c>
      <c r="H36" s="52" t="n">
        <v>0</v>
      </c>
      <c r="I36" s="52" t="n">
        <v>0</v>
      </c>
      <c r="J36" s="52" t="n">
        <v>0</v>
      </c>
      <c r="K36" s="52" t="n">
        <v>0</v>
      </c>
      <c r="L36" s="52" t="n">
        <v>0</v>
      </c>
      <c r="M36" s="52" t="n">
        <v>0</v>
      </c>
      <c r="N36" s="52" t="n">
        <f aca="false">SUM(B36:M36)</f>
        <v>0</v>
      </c>
    </row>
    <row r="37" customFormat="false" ht="15" hidden="false" customHeight="true" outlineLevel="0" collapsed="false">
      <c r="A37" s="51" t="s">
        <v>723</v>
      </c>
      <c r="B37" s="52" t="n">
        <v>0</v>
      </c>
      <c r="C37" s="52" t="n">
        <v>0</v>
      </c>
      <c r="D37" s="52" t="n">
        <v>0</v>
      </c>
      <c r="E37" s="52" t="n">
        <v>0</v>
      </c>
      <c r="F37" s="52" t="n">
        <v>0</v>
      </c>
      <c r="G37" s="52" t="n">
        <v>0</v>
      </c>
      <c r="H37" s="52" t="n">
        <v>0</v>
      </c>
      <c r="I37" s="52" t="n">
        <v>0</v>
      </c>
      <c r="J37" s="52" t="n">
        <v>0</v>
      </c>
      <c r="K37" s="52" t="n">
        <v>0</v>
      </c>
      <c r="L37" s="52" t="n">
        <v>0</v>
      </c>
      <c r="M37" s="52" t="n">
        <v>0</v>
      </c>
      <c r="N37" s="52" t="n">
        <f aca="false">SUM(B37:M37)</f>
        <v>0</v>
      </c>
    </row>
    <row r="38" customFormat="false" ht="15" hidden="false" customHeight="true" outlineLevel="0" collapsed="false">
      <c r="A38" s="51" t="s">
        <v>724</v>
      </c>
      <c r="B38" s="52" t="n">
        <v>0</v>
      </c>
      <c r="C38" s="52" t="n">
        <v>0</v>
      </c>
      <c r="D38" s="52" t="n">
        <v>0</v>
      </c>
      <c r="E38" s="52" t="n">
        <v>0</v>
      </c>
      <c r="F38" s="52" t="n">
        <v>0</v>
      </c>
      <c r="G38" s="52" t="n">
        <v>0</v>
      </c>
      <c r="H38" s="52" t="n">
        <v>0</v>
      </c>
      <c r="I38" s="52" t="n">
        <v>0</v>
      </c>
      <c r="J38" s="52" t="n">
        <v>0</v>
      </c>
      <c r="K38" s="52" t="n">
        <v>0</v>
      </c>
      <c r="L38" s="52" t="n">
        <v>0</v>
      </c>
      <c r="M38" s="52" t="n">
        <v>0</v>
      </c>
      <c r="N38" s="52" t="n">
        <f aca="false">SUM(B38:M38)</f>
        <v>0</v>
      </c>
    </row>
    <row r="39" customFormat="false" ht="15" hidden="false" customHeight="true" outlineLevel="0" collapsed="false">
      <c r="A39" s="51" t="s">
        <v>671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</row>
    <row r="40" customFormat="false" ht="15" hidden="false" customHeight="true" outlineLevel="0" collapsed="false">
      <c r="A40" s="51" t="s">
        <v>725</v>
      </c>
      <c r="B40" s="52" t="n">
        <v>0</v>
      </c>
      <c r="C40" s="52" t="n">
        <v>0</v>
      </c>
      <c r="D40" s="52" t="n">
        <v>0</v>
      </c>
      <c r="E40" s="52" t="n">
        <v>0</v>
      </c>
      <c r="F40" s="52" t="n">
        <v>0</v>
      </c>
      <c r="G40" s="52" t="n">
        <v>0</v>
      </c>
      <c r="H40" s="52" t="n">
        <v>0</v>
      </c>
      <c r="I40" s="52" t="n">
        <v>0</v>
      </c>
      <c r="J40" s="52" t="n">
        <v>0</v>
      </c>
      <c r="K40" s="52" t="n">
        <v>0</v>
      </c>
      <c r="L40" s="52" t="n">
        <v>0</v>
      </c>
      <c r="M40" s="52" t="n">
        <v>0</v>
      </c>
      <c r="N40" s="52" t="n">
        <f aca="false">SUM(B40:M40)</f>
        <v>0</v>
      </c>
    </row>
    <row r="41" customFormat="false" ht="15" hidden="false" customHeight="true" outlineLevel="0" collapsed="false">
      <c r="A41" s="51" t="s">
        <v>673</v>
      </c>
      <c r="B41" s="52" t="n">
        <v>0</v>
      </c>
      <c r="C41" s="52" t="n">
        <v>0</v>
      </c>
      <c r="D41" s="52" t="n">
        <v>0</v>
      </c>
      <c r="E41" s="52" t="n">
        <v>0</v>
      </c>
      <c r="F41" s="52" t="n">
        <v>0</v>
      </c>
      <c r="G41" s="52" t="n">
        <v>0</v>
      </c>
      <c r="H41" s="52" t="n">
        <v>0</v>
      </c>
      <c r="I41" s="52" t="n">
        <v>0</v>
      </c>
      <c r="J41" s="52" t="n">
        <v>0</v>
      </c>
      <c r="K41" s="52" t="n">
        <v>0</v>
      </c>
      <c r="L41" s="52" t="n">
        <v>0</v>
      </c>
      <c r="M41" s="52" t="n">
        <v>0</v>
      </c>
      <c r="N41" s="52" t="n">
        <f aca="false">SUM(B41:M41)</f>
        <v>0</v>
      </c>
    </row>
    <row r="42" customFormat="false" ht="15" hidden="false" customHeight="true" outlineLevel="0" collapsed="false">
      <c r="A42" s="51" t="s">
        <v>674</v>
      </c>
      <c r="B42" s="52" t="n">
        <v>0</v>
      </c>
      <c r="C42" s="52" t="n">
        <v>0</v>
      </c>
      <c r="D42" s="52" t="n">
        <v>0</v>
      </c>
      <c r="E42" s="52" t="n">
        <v>0</v>
      </c>
      <c r="F42" s="52" t="n">
        <v>0</v>
      </c>
      <c r="G42" s="52" t="n">
        <v>0</v>
      </c>
      <c r="H42" s="52" t="n">
        <v>0</v>
      </c>
      <c r="I42" s="52" t="n">
        <v>0</v>
      </c>
      <c r="J42" s="52" t="n">
        <v>0</v>
      </c>
      <c r="K42" s="52" t="n">
        <v>0</v>
      </c>
      <c r="L42" s="52" t="n">
        <v>0</v>
      </c>
      <c r="M42" s="52" t="n">
        <v>0</v>
      </c>
      <c r="N42" s="52" t="n">
        <f aca="false">SUM(B42:M42)</f>
        <v>0</v>
      </c>
    </row>
    <row r="43" customFormat="false" ht="15" hidden="false" customHeight="true" outlineLevel="0" collapsed="false">
      <c r="A43" s="51" t="s">
        <v>675</v>
      </c>
      <c r="B43" s="52" t="n">
        <v>0</v>
      </c>
      <c r="C43" s="52" t="n">
        <v>0</v>
      </c>
      <c r="D43" s="52" t="n">
        <v>0</v>
      </c>
      <c r="E43" s="52" t="n">
        <v>0</v>
      </c>
      <c r="F43" s="52" t="n">
        <v>0</v>
      </c>
      <c r="G43" s="52" t="n">
        <v>0</v>
      </c>
      <c r="H43" s="52" t="n">
        <v>0</v>
      </c>
      <c r="I43" s="52" t="n">
        <v>0</v>
      </c>
      <c r="J43" s="52" t="n">
        <v>0</v>
      </c>
      <c r="K43" s="52" t="n">
        <v>0</v>
      </c>
      <c r="L43" s="52" t="n">
        <v>0</v>
      </c>
      <c r="M43" s="52" t="n">
        <v>0</v>
      </c>
      <c r="N43" s="52" t="n">
        <f aca="false">SUM(B43:M43)</f>
        <v>0</v>
      </c>
    </row>
    <row r="44" customFormat="false" ht="15" hidden="false" customHeight="true" outlineLevel="0" collapsed="false">
      <c r="A44" s="51" t="s">
        <v>676</v>
      </c>
      <c r="B44" s="52" t="n">
        <v>0</v>
      </c>
      <c r="C44" s="52" t="n">
        <v>0</v>
      </c>
      <c r="D44" s="52" t="n">
        <v>0</v>
      </c>
      <c r="E44" s="52" t="n">
        <v>0</v>
      </c>
      <c r="F44" s="52" t="n">
        <v>0</v>
      </c>
      <c r="G44" s="52" t="n">
        <v>0</v>
      </c>
      <c r="H44" s="52" t="n">
        <v>0</v>
      </c>
      <c r="I44" s="52" t="n">
        <v>0</v>
      </c>
      <c r="J44" s="52" t="n">
        <v>0</v>
      </c>
      <c r="K44" s="52" t="n">
        <v>0</v>
      </c>
      <c r="L44" s="52" t="n">
        <v>0</v>
      </c>
      <c r="M44" s="52" t="n">
        <v>0</v>
      </c>
      <c r="N44" s="52" t="n">
        <f aca="false">SUM(B44:M44)</f>
        <v>0</v>
      </c>
    </row>
    <row r="45" customFormat="false" ht="15" hidden="false" customHeight="true" outlineLevel="0" collapsed="false">
      <c r="A45" s="51" t="s">
        <v>726</v>
      </c>
      <c r="B45" s="52" t="n">
        <v>0</v>
      </c>
      <c r="C45" s="52" t="n">
        <v>0</v>
      </c>
      <c r="D45" s="52" t="n">
        <v>0</v>
      </c>
      <c r="E45" s="52" t="n">
        <v>0</v>
      </c>
      <c r="F45" s="52" t="n">
        <v>0</v>
      </c>
      <c r="G45" s="52" t="n">
        <v>0</v>
      </c>
      <c r="H45" s="52" t="n">
        <v>0</v>
      </c>
      <c r="I45" s="52" t="n">
        <v>0</v>
      </c>
      <c r="J45" s="52" t="n">
        <v>0</v>
      </c>
      <c r="K45" s="52" t="n">
        <v>0</v>
      </c>
      <c r="L45" s="52" t="n">
        <v>0</v>
      </c>
      <c r="M45" s="52" t="n">
        <v>0</v>
      </c>
      <c r="N45" s="52" t="n">
        <f aca="false">SUM(B45:M45)</f>
        <v>0</v>
      </c>
    </row>
    <row r="46" customFormat="false" ht="15" hidden="false" customHeight="true" outlineLevel="0" collapsed="false">
      <c r="A46" s="51" t="s">
        <v>727</v>
      </c>
      <c r="B46" s="52" t="n">
        <v>0</v>
      </c>
      <c r="C46" s="52" t="n">
        <v>0</v>
      </c>
      <c r="D46" s="52" t="n">
        <v>0</v>
      </c>
      <c r="E46" s="52" t="n">
        <v>0</v>
      </c>
      <c r="F46" s="52" t="n">
        <v>0</v>
      </c>
      <c r="G46" s="52" t="n">
        <v>0</v>
      </c>
      <c r="H46" s="52" t="n">
        <v>0</v>
      </c>
      <c r="I46" s="52" t="n">
        <v>0</v>
      </c>
      <c r="J46" s="52" t="n">
        <v>0</v>
      </c>
      <c r="K46" s="52" t="n">
        <v>0</v>
      </c>
      <c r="L46" s="52" t="n">
        <v>0</v>
      </c>
      <c r="M46" s="52" t="n">
        <v>0</v>
      </c>
      <c r="N46" s="52" t="n">
        <f aca="false">SUM(B46:M46)</f>
        <v>0</v>
      </c>
    </row>
    <row r="47" customFormat="false" ht="15" hidden="false" customHeight="true" outlineLevel="0" collapsed="false">
      <c r="A47" s="51" t="s">
        <v>728</v>
      </c>
      <c r="B47" s="52" t="n">
        <v>0</v>
      </c>
      <c r="C47" s="52" t="n">
        <v>0</v>
      </c>
      <c r="D47" s="52" t="n">
        <v>0</v>
      </c>
      <c r="E47" s="52" t="n">
        <v>0</v>
      </c>
      <c r="F47" s="52" t="n">
        <v>0</v>
      </c>
      <c r="G47" s="52" t="n">
        <v>0</v>
      </c>
      <c r="H47" s="52" t="n">
        <v>0</v>
      </c>
      <c r="I47" s="52" t="n">
        <v>0</v>
      </c>
      <c r="J47" s="52" t="n">
        <v>0</v>
      </c>
      <c r="K47" s="52" t="n">
        <v>0</v>
      </c>
      <c r="L47" s="52" t="n">
        <v>0</v>
      </c>
      <c r="M47" s="52" t="n">
        <v>0</v>
      </c>
      <c r="N47" s="52" t="n">
        <f aca="false">SUM(B47:M47)</f>
        <v>0</v>
      </c>
    </row>
    <row r="48" customFormat="false" ht="15" hidden="false" customHeight="true" outlineLevel="0" collapsed="false">
      <c r="A48" s="51" t="s">
        <v>729</v>
      </c>
      <c r="B48" s="52" t="n">
        <v>0</v>
      </c>
      <c r="C48" s="52" t="n">
        <v>0</v>
      </c>
      <c r="D48" s="52" t="n">
        <v>0</v>
      </c>
      <c r="E48" s="52" t="n">
        <v>0</v>
      </c>
      <c r="F48" s="52" t="n">
        <v>0</v>
      </c>
      <c r="G48" s="52" t="n">
        <v>0</v>
      </c>
      <c r="H48" s="52" t="n">
        <v>0</v>
      </c>
      <c r="I48" s="52" t="n">
        <v>0</v>
      </c>
      <c r="J48" s="52" t="n">
        <v>0</v>
      </c>
      <c r="K48" s="52" t="n">
        <v>0</v>
      </c>
      <c r="L48" s="52" t="n">
        <v>0</v>
      </c>
      <c r="M48" s="52" t="n">
        <v>0</v>
      </c>
      <c r="N48" s="52" t="n">
        <f aca="false">SUM(B48:M48)</f>
        <v>0</v>
      </c>
    </row>
    <row r="49" customFormat="false" ht="15" hidden="false" customHeight="true" outlineLevel="0" collapsed="false">
      <c r="A49" s="51" t="s">
        <v>679</v>
      </c>
      <c r="B49" s="52" t="n">
        <v>0</v>
      </c>
      <c r="C49" s="52" t="n">
        <v>0</v>
      </c>
      <c r="D49" s="52" t="n">
        <v>0</v>
      </c>
      <c r="E49" s="52" t="n">
        <v>0</v>
      </c>
      <c r="F49" s="52" t="n">
        <v>0</v>
      </c>
      <c r="G49" s="52" t="n">
        <v>0</v>
      </c>
      <c r="H49" s="52" t="n">
        <v>0</v>
      </c>
      <c r="I49" s="52" t="n">
        <v>0</v>
      </c>
      <c r="J49" s="52" t="n">
        <v>0</v>
      </c>
      <c r="K49" s="52" t="n">
        <v>0</v>
      </c>
      <c r="L49" s="52" t="n">
        <v>0</v>
      </c>
      <c r="M49" s="52" t="n">
        <v>0</v>
      </c>
      <c r="N49" s="52" t="n">
        <f aca="false">SUM(B49:M49)</f>
        <v>0</v>
      </c>
    </row>
    <row r="50" customFormat="false" ht="15" hidden="false" customHeight="true" outlineLevel="0" collapsed="false">
      <c r="A50" s="50" t="s">
        <v>680</v>
      </c>
      <c r="B50" s="55" t="n">
        <f aca="false">SUM(B33:B49)</f>
        <v>0</v>
      </c>
      <c r="C50" s="55" t="n">
        <f aca="false">SUM(C33:C49)</f>
        <v>0</v>
      </c>
      <c r="D50" s="55" t="n">
        <f aca="false">SUM(D33:D49)</f>
        <v>0</v>
      </c>
      <c r="E50" s="55" t="n">
        <f aca="false">SUM(E33:E49)</f>
        <v>0</v>
      </c>
      <c r="F50" s="55" t="n">
        <f aca="false">SUM(F33:F49)</f>
        <v>0</v>
      </c>
      <c r="G50" s="55" t="n">
        <f aca="false">SUM(G33:G49)</f>
        <v>0</v>
      </c>
      <c r="H50" s="55" t="n">
        <f aca="false">SUM(H33:H49)</f>
        <v>0</v>
      </c>
      <c r="I50" s="55" t="n">
        <f aca="false">SUM(I33:I49)</f>
        <v>0</v>
      </c>
      <c r="J50" s="55" t="n">
        <f aca="false">SUM(J33:J49)</f>
        <v>0</v>
      </c>
      <c r="K50" s="55" t="n">
        <f aca="false">SUM(K33:K49)</f>
        <v>0</v>
      </c>
      <c r="L50" s="55" t="n">
        <f aca="false">SUM(L33:L49)</f>
        <v>0</v>
      </c>
      <c r="M50" s="55" t="n">
        <f aca="false">SUM(M33:M49)</f>
        <v>0</v>
      </c>
      <c r="N50" s="55" t="n">
        <f aca="false">SUM(B50:M50)</f>
        <v>0</v>
      </c>
    </row>
    <row r="51" customFormat="false" ht="15" hidden="false" customHeight="true" outlineLevel="0" collapsed="false">
      <c r="A51" s="50" t="s">
        <v>681</v>
      </c>
      <c r="B51" s="56" t="n">
        <f aca="false">B30-B50</f>
        <v>670000</v>
      </c>
      <c r="C51" s="56" t="n">
        <f aca="false">C30-C50</f>
        <v>200000</v>
      </c>
      <c r="D51" s="56" t="n">
        <f aca="false">D30-D50</f>
        <v>670000</v>
      </c>
      <c r="E51" s="56" t="n">
        <f aca="false">E30-E50</f>
        <v>670000</v>
      </c>
      <c r="F51" s="56" t="n">
        <f aca="false">F30-F50</f>
        <v>670000</v>
      </c>
      <c r="G51" s="56" t="n">
        <f aca="false">G30-G50</f>
        <v>670000</v>
      </c>
      <c r="H51" s="56" t="n">
        <f aca="false">H30-H50</f>
        <v>670000</v>
      </c>
      <c r="I51" s="56" t="n">
        <f aca="false">I30-I50</f>
        <v>200000</v>
      </c>
      <c r="J51" s="56" t="n">
        <f aca="false">J30-J50</f>
        <v>670000</v>
      </c>
      <c r="K51" s="56" t="n">
        <f aca="false">K30-K50</f>
        <v>670000</v>
      </c>
      <c r="L51" s="56" t="n">
        <f aca="false">L30-L50</f>
        <v>670000</v>
      </c>
      <c r="M51" s="56" t="n">
        <f aca="false">M30-M50</f>
        <v>670000</v>
      </c>
      <c r="N51" s="60" t="n">
        <f aca="false">SUM(B51:M51)</f>
        <v>7100000</v>
      </c>
    </row>
    <row r="52" customFormat="false" ht="15" hidden="false" customHeight="true" outlineLevel="0" collapsed="false">
      <c r="A52" s="51" t="s">
        <v>682</v>
      </c>
      <c r="B52" s="61" t="n">
        <f aca="false">IFERROR(B51/B16,0)</f>
        <v>0.225589225589226</v>
      </c>
      <c r="C52" s="61" t="n">
        <f aca="false">IFERROR(C51/C16,0)</f>
        <v>0.08</v>
      </c>
      <c r="D52" s="61" t="n">
        <f aca="false">IFERROR(D51/D16,0)</f>
        <v>0.225589225589226</v>
      </c>
      <c r="E52" s="61" t="n">
        <f aca="false">IFERROR(E51/E16,0)</f>
        <v>0.225589225589226</v>
      </c>
      <c r="F52" s="61" t="n">
        <f aca="false">IFERROR(F51/F16,0)</f>
        <v>0.225589225589226</v>
      </c>
      <c r="G52" s="61" t="n">
        <f aca="false">IFERROR(G51/G16,0)</f>
        <v>0.225589225589226</v>
      </c>
      <c r="H52" s="61" t="n">
        <f aca="false">IFERROR(H51/H16,0)</f>
        <v>0.225589225589226</v>
      </c>
      <c r="I52" s="61" t="n">
        <f aca="false">IFERROR(I51/I16,0)</f>
        <v>0.08</v>
      </c>
      <c r="J52" s="61" t="n">
        <f aca="false">IFERROR(J51/J16,0)</f>
        <v>0.225589225589226</v>
      </c>
      <c r="K52" s="61" t="n">
        <f aca="false">IFERROR(K51/K16,0)</f>
        <v>0.225589225589226</v>
      </c>
      <c r="L52" s="61" t="n">
        <f aca="false">IFERROR(L51/L16,0)</f>
        <v>0.225589225589226</v>
      </c>
      <c r="M52" s="61" t="n">
        <f aca="false">IFERROR(M51/M16,0)</f>
        <v>0.225589225589226</v>
      </c>
      <c r="N52" s="61" t="n">
        <f aca="false">IFERROR(N51/N16,0)</f>
        <v>0.204610951008646</v>
      </c>
    </row>
    <row r="53" customFormat="false" ht="15" hidden="false" customHeight="true" outlineLevel="0" collapsed="false">
      <c r="A53" s="50" t="s">
        <v>683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</row>
    <row r="54" customFormat="false" ht="15" hidden="false" customHeight="true" outlineLevel="0" collapsed="false">
      <c r="A54" s="51" t="s">
        <v>684</v>
      </c>
      <c r="B54" s="52" t="n">
        <v>0</v>
      </c>
      <c r="C54" s="52" t="n">
        <v>0</v>
      </c>
      <c r="D54" s="52" t="n">
        <v>0</v>
      </c>
      <c r="E54" s="52" t="n">
        <v>0</v>
      </c>
      <c r="F54" s="52" t="n">
        <v>0</v>
      </c>
      <c r="G54" s="52" t="n">
        <v>0</v>
      </c>
      <c r="H54" s="52" t="n">
        <v>0</v>
      </c>
      <c r="I54" s="52" t="n">
        <v>0</v>
      </c>
      <c r="J54" s="52" t="n">
        <v>0</v>
      </c>
      <c r="K54" s="52" t="n">
        <v>0</v>
      </c>
      <c r="L54" s="52" t="n">
        <v>0</v>
      </c>
      <c r="M54" s="52" t="n">
        <v>0</v>
      </c>
      <c r="N54" s="52" t="n">
        <v>0</v>
      </c>
    </row>
    <row r="55" customFormat="false" ht="15" hidden="false" customHeight="true" outlineLevel="0" collapsed="false">
      <c r="A55" s="51" t="s">
        <v>730</v>
      </c>
      <c r="B55" s="52" t="n">
        <v>0</v>
      </c>
      <c r="C55" s="52" t="n">
        <v>0</v>
      </c>
      <c r="D55" s="52" t="n">
        <v>0</v>
      </c>
      <c r="E55" s="52" t="n">
        <v>0</v>
      </c>
      <c r="F55" s="52" t="n">
        <v>0</v>
      </c>
      <c r="G55" s="52" t="n">
        <v>0</v>
      </c>
      <c r="H55" s="52" t="n">
        <v>0</v>
      </c>
      <c r="I55" s="52" t="n">
        <v>0</v>
      </c>
      <c r="J55" s="52" t="n">
        <v>0</v>
      </c>
      <c r="K55" s="52" t="n">
        <v>0</v>
      </c>
      <c r="L55" s="52" t="n">
        <v>0</v>
      </c>
      <c r="M55" s="52" t="n">
        <v>0</v>
      </c>
      <c r="N55" s="52" t="n">
        <v>0</v>
      </c>
    </row>
    <row r="56" customFormat="false" ht="15" hidden="false" customHeight="true" outlineLevel="0" collapsed="false">
      <c r="A56" s="51" t="s">
        <v>685</v>
      </c>
      <c r="B56" s="52" t="n">
        <v>0</v>
      </c>
      <c r="C56" s="52" t="n">
        <v>0</v>
      </c>
      <c r="D56" s="52" t="n">
        <v>0</v>
      </c>
      <c r="E56" s="52" t="n">
        <v>0</v>
      </c>
      <c r="F56" s="52" t="n">
        <v>0</v>
      </c>
      <c r="G56" s="52" t="n">
        <v>0</v>
      </c>
      <c r="H56" s="52" t="n">
        <v>0</v>
      </c>
      <c r="I56" s="52" t="n">
        <v>0</v>
      </c>
      <c r="J56" s="52" t="n">
        <v>0</v>
      </c>
      <c r="K56" s="52" t="n">
        <v>0</v>
      </c>
      <c r="L56" s="52" t="n">
        <v>0</v>
      </c>
      <c r="M56" s="52" t="n">
        <v>0</v>
      </c>
      <c r="N56" s="52" t="n">
        <v>0</v>
      </c>
    </row>
    <row r="57" customFormat="false" ht="15" hidden="false" customHeight="true" outlineLevel="0" collapsed="false">
      <c r="A57" s="51" t="s">
        <v>687</v>
      </c>
      <c r="B57" s="52" t="n">
        <v>0</v>
      </c>
      <c r="C57" s="52" t="n">
        <v>0</v>
      </c>
      <c r="D57" s="52" t="n">
        <v>0</v>
      </c>
      <c r="E57" s="52" t="n">
        <v>0</v>
      </c>
      <c r="F57" s="52" t="n">
        <v>0</v>
      </c>
      <c r="G57" s="52" t="n">
        <v>0</v>
      </c>
      <c r="H57" s="52" t="n">
        <v>0</v>
      </c>
      <c r="I57" s="52" t="n">
        <v>0</v>
      </c>
      <c r="J57" s="52" t="n">
        <v>0</v>
      </c>
      <c r="K57" s="52" t="n">
        <v>0</v>
      </c>
      <c r="L57" s="52" t="n">
        <v>0</v>
      </c>
      <c r="M57" s="52" t="n">
        <v>0</v>
      </c>
      <c r="N57" s="52" t="n">
        <v>0</v>
      </c>
    </row>
    <row r="58" customFormat="false" ht="15" hidden="false" customHeight="true" outlineLevel="0" collapsed="false">
      <c r="A58" s="51" t="s">
        <v>731</v>
      </c>
      <c r="B58" s="52" t="n">
        <v>0</v>
      </c>
      <c r="C58" s="52" t="n">
        <v>0</v>
      </c>
      <c r="D58" s="52" t="n">
        <v>0</v>
      </c>
      <c r="E58" s="52" t="n">
        <v>0</v>
      </c>
      <c r="F58" s="52" t="n">
        <v>0</v>
      </c>
      <c r="G58" s="52" t="n">
        <v>0</v>
      </c>
      <c r="H58" s="52" t="n">
        <v>0</v>
      </c>
      <c r="I58" s="52" t="n">
        <v>0</v>
      </c>
      <c r="J58" s="52" t="n">
        <v>0</v>
      </c>
      <c r="K58" s="52" t="n">
        <v>0</v>
      </c>
      <c r="L58" s="52" t="n">
        <v>0</v>
      </c>
      <c r="M58" s="52" t="n">
        <v>0</v>
      </c>
      <c r="N58" s="52" t="n">
        <v>0</v>
      </c>
    </row>
    <row r="59" customFormat="false" ht="15" hidden="false" customHeight="true" outlineLevel="0" collapsed="false">
      <c r="A59" s="51" t="s">
        <v>689</v>
      </c>
      <c r="B59" s="52" t="n">
        <v>0</v>
      </c>
      <c r="C59" s="52" t="n">
        <v>0</v>
      </c>
      <c r="D59" s="52" t="n">
        <v>0</v>
      </c>
      <c r="E59" s="52" t="n">
        <v>0</v>
      </c>
      <c r="F59" s="52" t="n">
        <v>0</v>
      </c>
      <c r="G59" s="52" t="n">
        <v>0</v>
      </c>
      <c r="H59" s="52" t="n">
        <v>0</v>
      </c>
      <c r="I59" s="52" t="n">
        <v>0</v>
      </c>
      <c r="J59" s="52" t="n">
        <v>0</v>
      </c>
      <c r="K59" s="52" t="n">
        <v>0</v>
      </c>
      <c r="L59" s="52" t="n">
        <v>0</v>
      </c>
      <c r="M59" s="52" t="n">
        <v>0</v>
      </c>
      <c r="N59" s="52" t="n">
        <v>0</v>
      </c>
    </row>
    <row r="60" customFormat="false" ht="15" hidden="false" customHeight="true" outlineLevel="0" collapsed="false">
      <c r="A60" s="50" t="s">
        <v>690</v>
      </c>
      <c r="B60" s="55" t="n">
        <f aca="false">SUM(B54:B56)-B57-B58-B59</f>
        <v>0</v>
      </c>
      <c r="C60" s="55" t="n">
        <f aca="false">SUM(C54:C56)-C57-C58-C59</f>
        <v>0</v>
      </c>
      <c r="D60" s="55" t="n">
        <f aca="false">SUM(D54:D56)-D57-D58-D59</f>
        <v>0</v>
      </c>
      <c r="E60" s="55" t="n">
        <f aca="false">SUM(E54:E56)-E57-E58-E59</f>
        <v>0</v>
      </c>
      <c r="F60" s="55" t="n">
        <f aca="false">SUM(F54:F56)-F57-F58-F59</f>
        <v>0</v>
      </c>
      <c r="G60" s="55" t="n">
        <f aca="false">SUM(G54:G56)-G57-G58-G59</f>
        <v>0</v>
      </c>
      <c r="H60" s="55" t="n">
        <f aca="false">SUM(H54:H56)-H57-H58-H59</f>
        <v>0</v>
      </c>
      <c r="I60" s="55" t="n">
        <f aca="false">SUM(I54:I56)-I57-I58-I59</f>
        <v>0</v>
      </c>
      <c r="J60" s="55" t="n">
        <f aca="false">SUM(J54:J56)-J57-J58-J59</f>
        <v>0</v>
      </c>
      <c r="K60" s="55" t="n">
        <f aca="false">SUM(K54:K56)-K57-K58-K59</f>
        <v>0</v>
      </c>
      <c r="L60" s="55" t="n">
        <f aca="false">SUM(L54:L56)-L57-L58-L59</f>
        <v>0</v>
      </c>
      <c r="M60" s="55" t="n">
        <f aca="false">SUM(M54:M56)-M57-M58-M59</f>
        <v>0</v>
      </c>
      <c r="N60" s="55" t="n">
        <f aca="false">SUM(N54:N56)-N57-N58-N59</f>
        <v>0</v>
      </c>
    </row>
    <row r="61" customFormat="false" ht="15" hidden="false" customHeight="true" outlineLevel="0" collapsed="false">
      <c r="A61" s="50" t="s">
        <v>691</v>
      </c>
      <c r="B61" s="56" t="n">
        <f aca="false">B51+B60</f>
        <v>670000</v>
      </c>
      <c r="C61" s="56" t="n">
        <f aca="false">C51+C60</f>
        <v>200000</v>
      </c>
      <c r="D61" s="56" t="n">
        <f aca="false">D51+D60</f>
        <v>670000</v>
      </c>
      <c r="E61" s="56" t="n">
        <f aca="false">E51+E60</f>
        <v>670000</v>
      </c>
      <c r="F61" s="56" t="n">
        <f aca="false">F51+F60</f>
        <v>670000</v>
      </c>
      <c r="G61" s="56" t="n">
        <f aca="false">G51+G60</f>
        <v>670000</v>
      </c>
      <c r="H61" s="56" t="n">
        <f aca="false">H51+H60</f>
        <v>670000</v>
      </c>
      <c r="I61" s="56" t="n">
        <f aca="false">I51+I60</f>
        <v>200000</v>
      </c>
      <c r="J61" s="56" t="n">
        <f aca="false">J51+J60</f>
        <v>670000</v>
      </c>
      <c r="K61" s="56" t="n">
        <f aca="false">K51+K60</f>
        <v>670000</v>
      </c>
      <c r="L61" s="56" t="n">
        <f aca="false">L51+L60</f>
        <v>670000</v>
      </c>
      <c r="M61" s="56" t="n">
        <f aca="false">M51+M60</f>
        <v>670000</v>
      </c>
      <c r="N61" s="60" t="n">
        <f aca="false">SUM(B61:M61)</f>
        <v>7100000</v>
      </c>
    </row>
    <row r="62" customFormat="false" ht="15" hidden="false" customHeight="true" outlineLevel="0" collapsed="false">
      <c r="A62" s="51" t="s">
        <v>692</v>
      </c>
      <c r="B62" s="54" t="n">
        <f aca="false">B61*0.27</f>
        <v>180900</v>
      </c>
      <c r="C62" s="54" t="n">
        <f aca="false">C61*0.27</f>
        <v>54000</v>
      </c>
      <c r="D62" s="54" t="n">
        <f aca="false">D61*0.27</f>
        <v>180900</v>
      </c>
      <c r="E62" s="54" t="n">
        <f aca="false">E61*0.27</f>
        <v>180900</v>
      </c>
      <c r="F62" s="54" t="n">
        <f aca="false">F61*0.27</f>
        <v>180900</v>
      </c>
      <c r="G62" s="54" t="n">
        <f aca="false">G61*0.27</f>
        <v>180900</v>
      </c>
      <c r="H62" s="54" t="n">
        <f aca="false">H61*0.27</f>
        <v>180900</v>
      </c>
      <c r="I62" s="54" t="n">
        <f aca="false">I61*0.27</f>
        <v>54000</v>
      </c>
      <c r="J62" s="54" t="n">
        <f aca="false">J61*0.27</f>
        <v>180900</v>
      </c>
      <c r="K62" s="54" t="n">
        <f aca="false">K61*0.27</f>
        <v>180900</v>
      </c>
      <c r="L62" s="54" t="n">
        <f aca="false">L61*0.27</f>
        <v>180900</v>
      </c>
      <c r="M62" s="54" t="n">
        <f aca="false">M61*0.27</f>
        <v>180900</v>
      </c>
      <c r="N62" s="54" t="n">
        <f aca="false">N61*0.27</f>
        <v>1917000</v>
      </c>
    </row>
    <row r="63" customFormat="false" ht="15" hidden="false" customHeight="true" outlineLevel="0" collapsed="false">
      <c r="A63" s="50" t="s">
        <v>403</v>
      </c>
      <c r="B63" s="56" t="n">
        <f aca="false">B61-B62</f>
        <v>489100</v>
      </c>
      <c r="C63" s="56" t="n">
        <f aca="false">C61-C62</f>
        <v>146000</v>
      </c>
      <c r="D63" s="56" t="n">
        <f aca="false">D61-D62</f>
        <v>489100</v>
      </c>
      <c r="E63" s="56" t="n">
        <f aca="false">E61-E62</f>
        <v>489100</v>
      </c>
      <c r="F63" s="56" t="n">
        <f aca="false">F61-F62</f>
        <v>489100</v>
      </c>
      <c r="G63" s="56" t="n">
        <f aca="false">G61-G62</f>
        <v>489100</v>
      </c>
      <c r="H63" s="56" t="n">
        <f aca="false">H61-H62</f>
        <v>489100</v>
      </c>
      <c r="I63" s="56" t="n">
        <f aca="false">I61-I62</f>
        <v>146000</v>
      </c>
      <c r="J63" s="56" t="n">
        <f aca="false">J61-J62</f>
        <v>489100</v>
      </c>
      <c r="K63" s="56" t="n">
        <f aca="false">K61-K62</f>
        <v>489100</v>
      </c>
      <c r="L63" s="56" t="n">
        <f aca="false">L61-L62</f>
        <v>489100</v>
      </c>
      <c r="M63" s="56" t="n">
        <f aca="false">M61-M62</f>
        <v>489100</v>
      </c>
      <c r="N63" s="60" t="n">
        <f aca="false">SUM(B63:M63)</f>
        <v>5183000</v>
      </c>
    </row>
    <row r="64" customFormat="false" ht="15" hidden="false" customHeight="true" outlineLevel="0" collapsed="false">
      <c r="A64" s="51" t="s">
        <v>407</v>
      </c>
      <c r="B64" s="61" t="n">
        <f aca="false">B63/B16</f>
        <v>0.164680134680135</v>
      </c>
      <c r="C64" s="61" t="n">
        <f aca="false">C63/C16</f>
        <v>0.0584</v>
      </c>
      <c r="D64" s="61" t="n">
        <f aca="false">D63/D16</f>
        <v>0.164680134680135</v>
      </c>
      <c r="E64" s="61" t="n">
        <f aca="false">E63/E16</f>
        <v>0.164680134680135</v>
      </c>
      <c r="F64" s="61" t="n">
        <f aca="false">F63/F16</f>
        <v>0.164680134680135</v>
      </c>
      <c r="G64" s="61" t="n">
        <f aca="false">G63/G16</f>
        <v>0.164680134680135</v>
      </c>
      <c r="H64" s="61" t="n">
        <f aca="false">H63/H16</f>
        <v>0.164680134680135</v>
      </c>
      <c r="I64" s="61" t="n">
        <f aca="false">I63/I16</f>
        <v>0.0584</v>
      </c>
      <c r="J64" s="61" t="n">
        <f aca="false">J63/J16</f>
        <v>0.164680134680135</v>
      </c>
      <c r="K64" s="61" t="n">
        <f aca="false">K63/K16</f>
        <v>0.164680134680135</v>
      </c>
      <c r="L64" s="61" t="n">
        <f aca="false">L63/L16</f>
        <v>0.164680134680135</v>
      </c>
      <c r="M64" s="61" t="n">
        <f aca="false">M63/M16</f>
        <v>0.164680134680135</v>
      </c>
      <c r="N64" s="61" t="n">
        <f aca="false">N63/N16</f>
        <v>0.149365994236311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4" min="3" style="0" width="45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33" t="s">
        <v>732</v>
      </c>
    </row>
    <row r="3" customFormat="false" ht="15" hidden="false" customHeight="false" outlineLevel="0" collapsed="false">
      <c r="A3" s="35" t="s">
        <v>733</v>
      </c>
      <c r="B3" s="35" t="s">
        <v>734</v>
      </c>
      <c r="C3" s="35" t="s">
        <v>735</v>
      </c>
      <c r="D3" s="35" t="s">
        <v>736</v>
      </c>
      <c r="E3" s="35" t="s">
        <v>737</v>
      </c>
    </row>
    <row r="4" customFormat="false" ht="28.35" hidden="false" customHeight="false" outlineLevel="0" collapsed="false">
      <c r="A4" s="2" t="s">
        <v>738</v>
      </c>
      <c r="B4" s="2" t="s">
        <v>739</v>
      </c>
      <c r="C4" s="2" t="s">
        <v>740</v>
      </c>
      <c r="D4" s="2" t="s">
        <v>741</v>
      </c>
      <c r="E4" s="2" t="s">
        <v>742</v>
      </c>
    </row>
    <row r="5" customFormat="false" ht="15" hidden="false" customHeight="false" outlineLevel="0" collapsed="false">
      <c r="A5" s="2" t="s">
        <v>738</v>
      </c>
      <c r="B5" s="2" t="s">
        <v>743</v>
      </c>
      <c r="C5" s="2" t="s">
        <v>744</v>
      </c>
      <c r="D5" s="2" t="s">
        <v>745</v>
      </c>
      <c r="E5" s="2" t="s">
        <v>746</v>
      </c>
    </row>
    <row r="6" customFormat="false" ht="15" hidden="false" customHeight="false" outlineLevel="0" collapsed="false">
      <c r="A6" s="2" t="s">
        <v>747</v>
      </c>
      <c r="B6" s="2" t="s">
        <v>748</v>
      </c>
      <c r="C6" s="2" t="s">
        <v>749</v>
      </c>
      <c r="D6" s="2" t="s">
        <v>750</v>
      </c>
      <c r="E6" s="2" t="s">
        <v>751</v>
      </c>
    </row>
    <row r="7" customFormat="false" ht="15" hidden="false" customHeight="false" outlineLevel="0" collapsed="false">
      <c r="A7" s="2" t="s">
        <v>747</v>
      </c>
      <c r="B7" s="2" t="s">
        <v>752</v>
      </c>
      <c r="C7" s="2" t="s">
        <v>750</v>
      </c>
      <c r="D7" s="2" t="s">
        <v>753</v>
      </c>
      <c r="E7" s="2" t="s">
        <v>754</v>
      </c>
    </row>
    <row r="8" customFormat="false" ht="15" hidden="false" customHeight="false" outlineLevel="0" collapsed="false">
      <c r="A8" s="2" t="s">
        <v>747</v>
      </c>
      <c r="B8" s="2" t="s">
        <v>755</v>
      </c>
      <c r="C8" s="2" t="s">
        <v>753</v>
      </c>
      <c r="D8" s="2" t="s">
        <v>756</v>
      </c>
      <c r="E8" s="2" t="s">
        <v>757</v>
      </c>
    </row>
    <row r="9" customFormat="false" ht="28.35" hidden="false" customHeight="false" outlineLevel="0" collapsed="false">
      <c r="A9" s="2" t="s">
        <v>758</v>
      </c>
      <c r="B9" s="2" t="s">
        <v>759</v>
      </c>
      <c r="C9" s="2" t="s">
        <v>760</v>
      </c>
      <c r="D9" s="2" t="s">
        <v>761</v>
      </c>
      <c r="E9" s="2" t="s">
        <v>762</v>
      </c>
    </row>
    <row r="10" customFormat="false" ht="15" hidden="false" customHeight="false" outlineLevel="0" collapsed="false">
      <c r="A10" s="2" t="s">
        <v>758</v>
      </c>
      <c r="B10" s="2" t="s">
        <v>763</v>
      </c>
      <c r="C10" s="2" t="s">
        <v>764</v>
      </c>
      <c r="D10" s="2" t="s">
        <v>765</v>
      </c>
      <c r="E10" s="2" t="s">
        <v>766</v>
      </c>
    </row>
    <row r="11" customFormat="false" ht="28.35" hidden="false" customHeight="false" outlineLevel="0" collapsed="false">
      <c r="A11" s="2" t="s">
        <v>758</v>
      </c>
      <c r="B11" s="2" t="s">
        <v>767</v>
      </c>
      <c r="C11" s="2" t="s">
        <v>768</v>
      </c>
      <c r="D11" s="2" t="s">
        <v>769</v>
      </c>
      <c r="E11" s="2" t="s">
        <v>770</v>
      </c>
    </row>
    <row r="12" customFormat="false" ht="41.75" hidden="false" customHeight="false" outlineLevel="0" collapsed="false">
      <c r="A12" s="2" t="s">
        <v>758</v>
      </c>
      <c r="B12" s="2" t="s">
        <v>771</v>
      </c>
      <c r="C12" s="2" t="s">
        <v>772</v>
      </c>
      <c r="D12" s="2" t="s">
        <v>773</v>
      </c>
      <c r="E12" s="2" t="s">
        <v>774</v>
      </c>
    </row>
    <row r="13" customFormat="false" ht="28.35" hidden="false" customHeight="false" outlineLevel="0" collapsed="false">
      <c r="A13" s="2" t="s">
        <v>758</v>
      </c>
      <c r="B13" s="2" t="s">
        <v>775</v>
      </c>
      <c r="C13" s="2" t="s">
        <v>776</v>
      </c>
      <c r="D13" s="2" t="s">
        <v>777</v>
      </c>
      <c r="E13" s="2" t="s">
        <v>778</v>
      </c>
    </row>
    <row r="14" customFormat="false" ht="28.35" hidden="false" customHeight="false" outlineLevel="0" collapsed="false">
      <c r="A14" s="2" t="s">
        <v>758</v>
      </c>
      <c r="B14" s="2" t="s">
        <v>779</v>
      </c>
      <c r="C14" s="2" t="s">
        <v>780</v>
      </c>
      <c r="D14" s="2" t="s">
        <v>781</v>
      </c>
      <c r="E14" s="2" t="s">
        <v>778</v>
      </c>
    </row>
    <row r="15" customFormat="false" ht="28.35" hidden="false" customHeight="false" outlineLevel="0" collapsed="false">
      <c r="A15" s="2" t="s">
        <v>758</v>
      </c>
      <c r="B15" s="2" t="s">
        <v>782</v>
      </c>
      <c r="C15" s="2" t="s">
        <v>783</v>
      </c>
      <c r="D15" s="2" t="s">
        <v>784</v>
      </c>
      <c r="E15" s="2" t="s">
        <v>778</v>
      </c>
    </row>
    <row r="16" customFormat="false" ht="15" hidden="false" customHeight="false" outlineLevel="0" collapsed="false">
      <c r="A16" s="2" t="s">
        <v>785</v>
      </c>
      <c r="B16" s="2" t="s">
        <v>775</v>
      </c>
      <c r="C16" s="2" t="s">
        <v>786</v>
      </c>
      <c r="D16" s="2" t="s">
        <v>787</v>
      </c>
      <c r="E16" s="2" t="s">
        <v>788</v>
      </c>
    </row>
    <row r="17" customFormat="false" ht="28.35" hidden="false" customHeight="false" outlineLevel="0" collapsed="false">
      <c r="A17" s="2" t="s">
        <v>785</v>
      </c>
      <c r="B17" s="2" t="s">
        <v>789</v>
      </c>
      <c r="C17" s="2" t="s">
        <v>790</v>
      </c>
      <c r="D17" s="2" t="s">
        <v>791</v>
      </c>
      <c r="E17" s="2" t="s">
        <v>792</v>
      </c>
    </row>
    <row r="18" customFormat="false" ht="15" hidden="false" customHeight="false" outlineLevel="0" collapsed="false">
      <c r="A18" s="2" t="s">
        <v>785</v>
      </c>
      <c r="B18" s="2" t="s">
        <v>748</v>
      </c>
      <c r="C18" s="2" t="s">
        <v>793</v>
      </c>
      <c r="D18" s="2" t="s">
        <v>794</v>
      </c>
      <c r="E18" s="2" t="s">
        <v>795</v>
      </c>
    </row>
    <row r="19" customFormat="false" ht="41.75" hidden="false" customHeight="false" outlineLevel="0" collapsed="false">
      <c r="A19" s="2" t="s">
        <v>796</v>
      </c>
      <c r="B19" s="2" t="s">
        <v>771</v>
      </c>
      <c r="C19" s="2" t="s">
        <v>797</v>
      </c>
      <c r="D19" s="2" t="s">
        <v>798</v>
      </c>
      <c r="E19" s="2" t="s">
        <v>799</v>
      </c>
    </row>
    <row r="20" customFormat="false" ht="41.75" hidden="false" customHeight="false" outlineLevel="0" collapsed="false">
      <c r="A20" s="2" t="s">
        <v>796</v>
      </c>
      <c r="B20" s="2" t="s">
        <v>800</v>
      </c>
      <c r="C20" s="2" t="s">
        <v>801</v>
      </c>
      <c r="D20" s="2" t="s">
        <v>802</v>
      </c>
      <c r="E20" s="2" t="s">
        <v>803</v>
      </c>
    </row>
    <row r="21" customFormat="false" ht="28.35" hidden="false" customHeight="false" outlineLevel="0" collapsed="false">
      <c r="A21" s="2" t="s">
        <v>796</v>
      </c>
      <c r="B21" s="2" t="s">
        <v>789</v>
      </c>
      <c r="C21" s="2" t="s">
        <v>804</v>
      </c>
      <c r="D21" s="2" t="s">
        <v>805</v>
      </c>
      <c r="E21" s="2" t="s">
        <v>806</v>
      </c>
    </row>
    <row r="22" customFormat="false" ht="28.35" hidden="false" customHeight="false" outlineLevel="0" collapsed="false">
      <c r="A22" s="2" t="s">
        <v>796</v>
      </c>
      <c r="B22" s="2" t="s">
        <v>748</v>
      </c>
      <c r="C22" s="2" t="s">
        <v>807</v>
      </c>
      <c r="D22" s="2" t="s">
        <v>808</v>
      </c>
      <c r="E22" s="2" t="s">
        <v>809</v>
      </c>
    </row>
    <row r="23" customFormat="false" ht="15" hidden="false" customHeight="false" outlineLevel="0" collapsed="false">
      <c r="A23" s="2" t="s">
        <v>796</v>
      </c>
      <c r="B23" s="2" t="s">
        <v>810</v>
      </c>
      <c r="C23" s="2" t="s">
        <v>811</v>
      </c>
      <c r="D23" s="2" t="s">
        <v>812</v>
      </c>
      <c r="E23" s="2" t="s">
        <v>813</v>
      </c>
    </row>
    <row r="24" customFormat="false" ht="15" hidden="false" customHeight="false" outlineLevel="0" collapsed="false">
      <c r="A24" s="2" t="s">
        <v>796</v>
      </c>
      <c r="B24" s="2" t="s">
        <v>814</v>
      </c>
      <c r="C24" s="2" t="s">
        <v>815</v>
      </c>
      <c r="D24" s="2" t="s">
        <v>816</v>
      </c>
      <c r="E24" s="2" t="s">
        <v>817</v>
      </c>
    </row>
    <row r="25" customFormat="false" ht="28.35" hidden="false" customHeight="false" outlineLevel="0" collapsed="false">
      <c r="A25" s="2" t="s">
        <v>796</v>
      </c>
      <c r="B25" s="2" t="s">
        <v>818</v>
      </c>
      <c r="C25" s="2" t="s">
        <v>819</v>
      </c>
      <c r="D25" s="2" t="s">
        <v>820</v>
      </c>
      <c r="E25" s="2" t="s">
        <v>821</v>
      </c>
    </row>
    <row r="26" customFormat="false" ht="28.35" hidden="false" customHeight="false" outlineLevel="0" collapsed="false">
      <c r="A26" s="2" t="s">
        <v>796</v>
      </c>
      <c r="B26" s="2" t="s">
        <v>782</v>
      </c>
      <c r="C26" s="2" t="s">
        <v>822</v>
      </c>
      <c r="D26" s="2" t="s">
        <v>823</v>
      </c>
      <c r="E26" s="2" t="s">
        <v>824</v>
      </c>
    </row>
    <row r="27" customFormat="false" ht="28.35" hidden="false" customHeight="false" outlineLevel="0" collapsed="false">
      <c r="A27" s="2" t="s">
        <v>825</v>
      </c>
      <c r="B27" s="2" t="s">
        <v>800</v>
      </c>
      <c r="C27" s="2" t="s">
        <v>826</v>
      </c>
      <c r="D27" s="2" t="s">
        <v>827</v>
      </c>
      <c r="E27" s="2" t="s">
        <v>828</v>
      </c>
    </row>
    <row r="28" customFormat="false" ht="15" hidden="false" customHeight="false" outlineLevel="0" collapsed="false">
      <c r="A28" s="2" t="s">
        <v>825</v>
      </c>
      <c r="B28" s="2" t="s">
        <v>829</v>
      </c>
      <c r="C28" s="2" t="s">
        <v>830</v>
      </c>
      <c r="D28" s="2" t="s">
        <v>831</v>
      </c>
      <c r="E28" s="2" t="s">
        <v>832</v>
      </c>
    </row>
    <row r="29" customFormat="false" ht="41.75" hidden="false" customHeight="false" outlineLevel="0" collapsed="false">
      <c r="A29" s="2" t="s">
        <v>825</v>
      </c>
      <c r="B29" s="2" t="s">
        <v>833</v>
      </c>
      <c r="C29" s="2" t="s">
        <v>834</v>
      </c>
      <c r="D29" s="2" t="s">
        <v>462</v>
      </c>
      <c r="E29" s="2" t="s">
        <v>835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2026-02-13T21:00:52Z</dcterms:created>
  <dc:creator>Covena Jesus</dc:creator>
  <dc:description/>
  <dc:language>en-US</dc:language>
  <cp:lastModifiedBy>angelina padilla</cp:lastModifiedBy>
  <dcterms:modified xsi:type="dcterms:W3CDTF">2026-10-15T00:50:55Z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