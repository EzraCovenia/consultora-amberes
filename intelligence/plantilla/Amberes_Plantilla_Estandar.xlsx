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ciones" sheetId="1" state="visible" r:id="rId3"/>
    <sheet name="Plan de Cuentas" sheetId="2" state="visible" r:id="rId4"/>
    <sheet name="Panel de Control" sheetId="3" state="visible" r:id="rId5"/>
    <sheet name="Supuestos" sheetId="4" state="visible" r:id="rId6"/>
    <sheet name="Balance" sheetId="5" state="visible" r:id="rId7"/>
    <sheet name="Estado de Flujo de Caja" sheetId="6" state="visible" r:id="rId8"/>
    <sheet name="M&amp;A" sheetId="7" state="visible" r:id="rId9"/>
    <sheet name="P&amp;L Productiva - Real" sheetId="8" state="visible" r:id="rId10"/>
    <sheet name="P&amp;L Productiva - Budget" sheetId="9" state="visible" r:id="rId11"/>
    <sheet name="P&amp;L Productiva - Forecast" sheetId="10" state="visible" r:id="rId12"/>
    <sheet name="P&amp;L Servicios - Real" sheetId="11" state="visible" r:id="rId13"/>
    <sheet name="P&amp;L Servicios - Budget" sheetId="12" state="visible" r:id="rId14"/>
    <sheet name="P&amp;L Servicios - Forecast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<sst xmlns="http://schemas.openxmlformats.org/spreadsheetml/2006/main" count="1635" uniqueCount="484">
  <si>
    <t xml:space="preserve">AMBERES INTELLIGENCE – PLANTILLA ESTÁNDAR</t>
  </si>
  <si>
    <t xml:space="preserve">CÓMO FUNCIONA</t>
  </si>
  <si>
    <t xml:space="preserve">Suba este archivo a Amberes Intelligence. El software reconoce cada pestaña por su nombre y contenido, analiza lo que esté completo y genera los tableros, indicadores, desviaciones, alertas y el plan de acción.</t>
  </si>
  <si>
    <t xml:space="preserve">QUÉ COMPLETAR (todo es opcional; entre más complete, más exacto)</t>
  </si>
  <si>
    <t xml:space="preserve">1. P&amp;L Real / Budget / Forecast: estado de resultados mensual (hay una hoja por escenario y por tipo de empresa: Servicios o Productiva; use la que corresponda).</t>
  </si>
  <si>
    <t xml:space="preserve">2. Balance: saldos de sus cuentas al cierre (1 o 2 períodos).</t>
  </si>
  <si>
    <t xml:space="preserve">3. Estado de Flujo de Caja: flujo mensual o anual.</t>
  </si>
  <si>
    <t xml:space="preserve">4. Panel de Control y Supuestos: solo si desea evaluar un proyecto de inversión (VAN, TIR, payback, sensibilidades).</t>
  </si>
  <si>
    <t xml:space="preserve">5. M&amp;A: solo si desea fijar sus propios parámetros de valoración.</t>
  </si>
  <si>
    <t xml:space="preserve">QUÉ HACE EL SOFTWARE CON LO QUE FALTA</t>
  </si>
  <si>
    <t xml:space="preserve">Solo P&amp;L → construye flujo de caja operacional, de inversión y financiero, balance proyectado (cuadrado) y valoración M&amp;A.</t>
  </si>
  <si>
    <t xml:space="preserve">Solo Balance → reconstruye un P&amp;L y un flujo de caja estimados (con dos períodos, además el flujo histórico por diferencias).</t>
  </si>
  <si>
    <t xml:space="preserve">Solo Flujo de Caja → reconstruye un P&amp;L y un balance estimados.</t>
  </si>
  <si>
    <t xml:space="preserve">Todo lo que no proviene de su archivo se rotula "ESTIMADO" y puede ajustarse con los supuestos del panel superior. No todas las cuentas se pueden traspasar de un informe a otro: lo estimado es referencial.</t>
  </si>
  <si>
    <t xml:space="preserve">CÓDIGO DE COLORES</t>
  </si>
  <si>
    <t xml:space="preserve">Celdas amarillas con texto azul = datos que usted ingresa. Celdas sin color = fórmulas: no editar.</t>
  </si>
  <si>
    <t xml:space="preserve">IMPORTANTE</t>
  </si>
  <si>
    <t xml:space="preserve">Los resultados son referenciales y deben ser validados por un profesional antes de decisiones de inversión, financiamiento o transacciones.</t>
  </si>
  <si>
    <t xml:space="preserve">CÓDIGOS DE CUENTA</t>
  </si>
  <si>
    <t xml:space="preserve">Cada cuenta del Balance y de los P&amp;L tiene un código (ver hoja "Plan de Cuentas"). Ingrese sus montos en la cuenta que corresponde; no cambie los códigos ni inserte filas dentro de los bloques.</t>
  </si>
  <si>
    <t xml:space="preserve">Si tiene cuentas propias, súmelas a la cuenta estándar más cercana o use las filas "Otros".</t>
  </si>
  <si>
    <t xml:space="preserve">PLAN DE CUENTAS ESTÁNDAR – AMBERES INTELLIGENCE</t>
  </si>
  <si>
    <t xml:space="preserve">Cada cuenta tiene un código. El software lee por código (aunque usted cambie el nombre de la cuenta) y verifica que los totales cuadren con el detalle. Ingrese solo montos en las celdas amarillas de las hojas Balance y P&amp;L.</t>
  </si>
  <si>
    <t xml:space="preserve">Código</t>
  </si>
  <si>
    <t xml:space="preserve">Cuenta</t>
  </si>
  <si>
    <t xml:space="preserve">Estado</t>
  </si>
  <si>
    <t xml:space="preserve">Clasificación</t>
  </si>
  <si>
    <t xml:space="preserve">Efecto en caja</t>
  </si>
  <si>
    <t xml:space="preserve">Hoja</t>
  </si>
  <si>
    <t xml:space="preserve">1.1.01</t>
  </si>
  <si>
    <t xml:space="preserve">Caja</t>
  </si>
  <si>
    <t xml:space="preserve">Balance</t>
  </si>
  <si>
    <t xml:space="preserve">Activo corriente</t>
  </si>
  <si>
    <t xml:space="preserve">Capital de trabajo / inversión</t>
  </si>
  <si>
    <t xml:space="preserve">1.1.02</t>
  </si>
  <si>
    <t xml:space="preserve">Bancos</t>
  </si>
  <si>
    <t xml:space="preserve">1.1.03</t>
  </si>
  <si>
    <t xml:space="preserve">Depósitos a plazo e inversiones temporales</t>
  </si>
  <si>
    <t xml:space="preserve">1.1.04</t>
  </si>
  <si>
    <t xml:space="preserve">Clientes (cuentas por cobrar)</t>
  </si>
  <si>
    <t xml:space="preserve">1.1.05</t>
  </si>
  <si>
    <t xml:space="preserve">Documentos por cobrar</t>
  </si>
  <si>
    <t xml:space="preserve">1.1.06</t>
  </si>
  <si>
    <t xml:space="preserve">Deudores varios</t>
  </si>
  <si>
    <t xml:space="preserve">1.1.07</t>
  </si>
  <si>
    <t xml:space="preserve">(-) Provisión de incobrables</t>
  </si>
  <si>
    <t xml:space="preserve">1.1.08</t>
  </si>
  <si>
    <t xml:space="preserve">Inventarios: materias primas</t>
  </si>
  <si>
    <t xml:space="preserve">1.1.09</t>
  </si>
  <si>
    <t xml:space="preserve">Inventarios: productos en proceso</t>
  </si>
  <si>
    <t xml:space="preserve">1.1.10</t>
  </si>
  <si>
    <t xml:space="preserve">Inventarios: productos terminados y mercaderías</t>
  </si>
  <si>
    <t xml:space="preserve">1.1.11</t>
  </si>
  <si>
    <t xml:space="preserve">IVA crédito fiscal</t>
  </si>
  <si>
    <t xml:space="preserve">1.1.12</t>
  </si>
  <si>
    <t xml:space="preserve">Gastos anticipados y otros activos corrientes</t>
  </si>
  <si>
    <t xml:space="preserve">1.2.01</t>
  </si>
  <si>
    <t xml:space="preserve">Terrenos</t>
  </si>
  <si>
    <t xml:space="preserve">Activo no corriente</t>
  </si>
  <si>
    <t xml:space="preserve">1.2.02</t>
  </si>
  <si>
    <t xml:space="preserve">Edificios y construcciones</t>
  </si>
  <si>
    <t xml:space="preserve">1.2.03</t>
  </si>
  <si>
    <t xml:space="preserve">Maquinaria y equipos</t>
  </si>
  <si>
    <t xml:space="preserve">1.2.04</t>
  </si>
  <si>
    <t xml:space="preserve">Vehículos</t>
  </si>
  <si>
    <t xml:space="preserve">1.2.05</t>
  </si>
  <si>
    <t xml:space="preserve">Muebles y equipos de oficina</t>
  </si>
  <si>
    <t xml:space="preserve">1.2.06</t>
  </si>
  <si>
    <t xml:space="preserve">Activos por derecho de uso (leasing)</t>
  </si>
  <si>
    <t xml:space="preserve">1.2.07</t>
  </si>
  <si>
    <t xml:space="preserve">(-) Depreciación acumulada</t>
  </si>
  <si>
    <t xml:space="preserve">1.2.08</t>
  </si>
  <si>
    <t xml:space="preserve">Intangibles y software</t>
  </si>
  <si>
    <t xml:space="preserve">1.2.09</t>
  </si>
  <si>
    <t xml:space="preserve">Inversiones en asociadas</t>
  </si>
  <si>
    <t xml:space="preserve">1.2.10</t>
  </si>
  <si>
    <t xml:space="preserve">Otros activos no corrientes</t>
  </si>
  <si>
    <t xml:space="preserve">2.1.01</t>
  </si>
  <si>
    <t xml:space="preserve">Proveedores</t>
  </si>
  <si>
    <t xml:space="preserve">Pasivo corriente</t>
  </si>
  <si>
    <t xml:space="preserve">Capital de trabajo / financiamiento</t>
  </si>
  <si>
    <t xml:space="preserve">2.1.02</t>
  </si>
  <si>
    <t xml:space="preserve">Documentos por pagar</t>
  </si>
  <si>
    <t xml:space="preserve">2.1.03</t>
  </si>
  <si>
    <t xml:space="preserve">Acreedores varios</t>
  </si>
  <si>
    <t xml:space="preserve">2.1.04</t>
  </si>
  <si>
    <t xml:space="preserve">Remuneraciones y leyes sociales por pagar</t>
  </si>
  <si>
    <t xml:space="preserve">2.1.05</t>
  </si>
  <si>
    <t xml:space="preserve">Impuestos por pagar (IVA débito, PPM, renta)</t>
  </si>
  <si>
    <t xml:space="preserve">2.1.06</t>
  </si>
  <si>
    <t xml:space="preserve">Provisiones (vacaciones, bonos, otras)</t>
  </si>
  <si>
    <t xml:space="preserve">2.1.07</t>
  </si>
  <si>
    <t xml:space="preserve">Anticipos de clientes</t>
  </si>
  <si>
    <t xml:space="preserve">2.1.08</t>
  </si>
  <si>
    <t xml:space="preserve">Deuda financiera corto plazo (préstamos bancarios)</t>
  </si>
  <si>
    <t xml:space="preserve">2.1.09</t>
  </si>
  <si>
    <t xml:space="preserve">Porción corriente de deuda largo plazo</t>
  </si>
  <si>
    <t xml:space="preserve">2.1.10</t>
  </si>
  <si>
    <t xml:space="preserve">Pasivos por arrendamiento corto plazo</t>
  </si>
  <si>
    <t xml:space="preserve">2.1.11</t>
  </si>
  <si>
    <t xml:space="preserve">Otros pasivos corrientes</t>
  </si>
  <si>
    <t xml:space="preserve">2.2.01</t>
  </si>
  <si>
    <t xml:space="preserve">Préstamos bancarios largo plazo</t>
  </si>
  <si>
    <t xml:space="preserve">Pasivo no corriente</t>
  </si>
  <si>
    <t xml:space="preserve">2.2.02</t>
  </si>
  <si>
    <t xml:space="preserve">Bonos emitidos</t>
  </si>
  <si>
    <t xml:space="preserve">2.2.03</t>
  </si>
  <si>
    <t xml:space="preserve">Pasivos por arrendamiento largo plazo</t>
  </si>
  <si>
    <t xml:space="preserve">2.2.04</t>
  </si>
  <si>
    <t xml:space="preserve">Otros pasivos no corrientes</t>
  </si>
  <si>
    <t xml:space="preserve">3.1.01</t>
  </si>
  <si>
    <t xml:space="preserve">Capital pagado</t>
  </si>
  <si>
    <t xml:space="preserve">Patrimonio</t>
  </si>
  <si>
    <t xml:space="preserve">Financiamiento</t>
  </si>
  <si>
    <t xml:space="preserve">3.1.02</t>
  </si>
  <si>
    <t xml:space="preserve">Reservas y sobreprecio en acciones</t>
  </si>
  <si>
    <t xml:space="preserve">3.1.03</t>
  </si>
  <si>
    <t xml:space="preserve">Resultados acumulados</t>
  </si>
  <si>
    <t xml:space="preserve">3.1.04</t>
  </si>
  <si>
    <t xml:space="preserve">Resultado del ejercicio</t>
  </si>
  <si>
    <t xml:space="preserve">3.1.05</t>
  </si>
  <si>
    <t xml:space="preserve">(-) Dividendos provisorios</t>
  </si>
  <si>
    <t xml:space="preserve">4.1.01</t>
  </si>
  <si>
    <t xml:space="preserve">Ventas Producto A</t>
  </si>
  <si>
    <t xml:space="preserve">P&amp;L Productiva</t>
  </si>
  <si>
    <t xml:space="preserve">Ingreso operacional</t>
  </si>
  <si>
    <t xml:space="preserve">Afecta caja</t>
  </si>
  <si>
    <t xml:space="preserve">P&amp;L Productiva (Real / Budget / Forecast)</t>
  </si>
  <si>
    <t xml:space="preserve">4.1.02</t>
  </si>
  <si>
    <t xml:space="preserve">Ventas Producto B</t>
  </si>
  <si>
    <t xml:space="preserve">4.1.03</t>
  </si>
  <si>
    <t xml:space="preserve">Ventas Producto C</t>
  </si>
  <si>
    <t xml:space="preserve">4.1.04</t>
  </si>
  <si>
    <t xml:space="preserve">Ventas Otros Productos</t>
  </si>
  <si>
    <t xml:space="preserve">4.2.01</t>
  </si>
  <si>
    <t xml:space="preserve">(-) Devoluciones y Descuentos</t>
  </si>
  <si>
    <t xml:space="preserve">Deducción de ingresos</t>
  </si>
  <si>
    <t xml:space="preserve">4.2.02</t>
  </si>
  <si>
    <t xml:space="preserve">(-) Bonificaciones</t>
  </si>
  <si>
    <t xml:space="preserve">5.1.01</t>
  </si>
  <si>
    <t xml:space="preserve">Inventario Inicial</t>
  </si>
  <si>
    <t xml:space="preserve">Costo de ventas / servicios</t>
  </si>
  <si>
    <t xml:space="preserve">5.1.02</t>
  </si>
  <si>
    <t xml:space="preserve">(+) Compras de Materia Prima</t>
  </si>
  <si>
    <t xml:space="preserve">5.1.03</t>
  </si>
  <si>
    <t xml:space="preserve">(+) Mano de Obra Directa</t>
  </si>
  <si>
    <t xml:space="preserve">5.1.04</t>
  </si>
  <si>
    <t xml:space="preserve">Depreciación Equipos Producción</t>
  </si>
  <si>
    <t xml:space="preserve">No afecta caja (se suma de vuelta en el flujo)</t>
  </si>
  <si>
    <t xml:space="preserve">5.1.05</t>
  </si>
  <si>
    <t xml:space="preserve">Servicios Planta</t>
  </si>
  <si>
    <t xml:space="preserve">5.1.06</t>
  </si>
  <si>
    <t xml:space="preserve">Mantenimiento Equipos</t>
  </si>
  <si>
    <t xml:space="preserve">5.1.07</t>
  </si>
  <si>
    <t xml:space="preserve">Otros CIF</t>
  </si>
  <si>
    <t xml:space="preserve">5.1.08</t>
  </si>
  <si>
    <t xml:space="preserve">(-) Inventario Final</t>
  </si>
  <si>
    <t xml:space="preserve">5.2.01</t>
  </si>
  <si>
    <t xml:space="preserve">Sueldos Área Ventas</t>
  </si>
  <si>
    <t xml:space="preserve">Gasto de ventas</t>
  </si>
  <si>
    <t xml:space="preserve">5.2.02</t>
  </si>
  <si>
    <t xml:space="preserve">Comisiones</t>
  </si>
  <si>
    <t xml:space="preserve">5.2.03</t>
  </si>
  <si>
    <t xml:space="preserve">Publicidad y Marketing</t>
  </si>
  <si>
    <t xml:space="preserve">5.2.04</t>
  </si>
  <si>
    <t xml:space="preserve">Transporte y Distribución</t>
  </si>
  <si>
    <t xml:space="preserve">5.2.05</t>
  </si>
  <si>
    <t xml:space="preserve">Otros Gastos Ventas</t>
  </si>
  <si>
    <t xml:space="preserve">5.3.01</t>
  </si>
  <si>
    <t xml:space="preserve">Sueldos Área Administrativa</t>
  </si>
  <si>
    <t xml:space="preserve">Gasto de administración</t>
  </si>
  <si>
    <t xml:space="preserve">5.3.02</t>
  </si>
  <si>
    <t xml:space="preserve">Honorarios Profesionales</t>
  </si>
  <si>
    <t xml:space="preserve">5.3.03</t>
  </si>
  <si>
    <t xml:space="preserve">Arriendo Oficinas</t>
  </si>
  <si>
    <t xml:space="preserve">5.3.04</t>
  </si>
  <si>
    <t xml:space="preserve">Servicios Básicos</t>
  </si>
  <si>
    <t xml:space="preserve">5.3.05</t>
  </si>
  <si>
    <t xml:space="preserve">Seguros</t>
  </si>
  <si>
    <t xml:space="preserve">5.3.06</t>
  </si>
  <si>
    <t xml:space="preserve">Depreciación Activos Administrativos</t>
  </si>
  <si>
    <t xml:space="preserve">5.3.07</t>
  </si>
  <si>
    <t xml:space="preserve">Amortización Intangibles</t>
  </si>
  <si>
    <t xml:space="preserve">5.3.08</t>
  </si>
  <si>
    <t xml:space="preserve">Otros Gastos Administrativos</t>
  </si>
  <si>
    <t xml:space="preserve">6.1.01</t>
  </si>
  <si>
    <t xml:space="preserve">(+) Ingresos Financieros</t>
  </si>
  <si>
    <t xml:space="preserve">Otro ingreso</t>
  </si>
  <si>
    <t xml:space="preserve">6.1.02</t>
  </si>
  <si>
    <t xml:space="preserve">(+) Otros Ingresos No Operacionales</t>
  </si>
  <si>
    <t xml:space="preserve">6.1.03</t>
  </si>
  <si>
    <t xml:space="preserve">(+) Utilidad en Venta de Activos</t>
  </si>
  <si>
    <t xml:space="preserve">6.2.01</t>
  </si>
  <si>
    <t xml:space="preserve">(-) Gastos Financieros</t>
  </si>
  <si>
    <t xml:space="preserve">Otro gasto</t>
  </si>
  <si>
    <t xml:space="preserve">6.2.02</t>
  </si>
  <si>
    <t xml:space="preserve">(-) Pérdida en Venta de Activos</t>
  </si>
  <si>
    <t xml:space="preserve">6.2.03</t>
  </si>
  <si>
    <t xml:space="preserve">(-) Otros Gastos No Operacionales</t>
  </si>
  <si>
    <t xml:space="preserve">7.1.01</t>
  </si>
  <si>
    <t xml:space="preserve">(-) Impuesto a la Renta (27%)</t>
  </si>
  <si>
    <t xml:space="preserve">Impuesto</t>
  </si>
  <si>
    <t xml:space="preserve">Servicios de Consultoría</t>
  </si>
  <si>
    <t xml:space="preserve">P&amp;L Servicios</t>
  </si>
  <si>
    <t xml:space="preserve">P&amp;L Servicios (Real / Budget / Forecast)</t>
  </si>
  <si>
    <t xml:space="preserve">Servicios de Asesoría</t>
  </si>
  <si>
    <t xml:space="preserve">Servicios de Capacitación</t>
  </si>
  <si>
    <t xml:space="preserve">Servicios de Soporte Técnico</t>
  </si>
  <si>
    <t xml:space="preserve">4.1.05</t>
  </si>
  <si>
    <t xml:space="preserve">Servicios de Mantenimiento</t>
  </si>
  <si>
    <t xml:space="preserve">4.1.06</t>
  </si>
  <si>
    <t xml:space="preserve">Otros Servicios</t>
  </si>
  <si>
    <t xml:space="preserve">(-) Descuentos por Pronto Pago</t>
  </si>
  <si>
    <t xml:space="preserve">(-) Devoluciones</t>
  </si>
  <si>
    <t xml:space="preserve">Sueldos Personal Operativo</t>
  </si>
  <si>
    <t xml:space="preserve">Honorarios Consultores</t>
  </si>
  <si>
    <t xml:space="preserve">Beneficios Sociales Personal Directo</t>
  </si>
  <si>
    <t xml:space="preserve">Capacitación Personal</t>
  </si>
  <si>
    <t xml:space="preserve">Materiales y Suministros</t>
  </si>
  <si>
    <t xml:space="preserve">Software y Licencias</t>
  </si>
  <si>
    <t xml:space="preserve">Equipamiento Especializado</t>
  </si>
  <si>
    <t xml:space="preserve">Subcontrataciones</t>
  </si>
  <si>
    <t xml:space="preserve">5.1.09</t>
  </si>
  <si>
    <t xml:space="preserve">Viáticos y Movilización</t>
  </si>
  <si>
    <t xml:space="preserve">Sueldos Área Comercial</t>
  </si>
  <si>
    <t xml:space="preserve">Comisiones de Ventas</t>
  </si>
  <si>
    <t xml:space="preserve">Publicidad y Marketing Digital</t>
  </si>
  <si>
    <t xml:space="preserve">Eventos y Networking</t>
  </si>
  <si>
    <t xml:space="preserve">Material Promocional</t>
  </si>
  <si>
    <t xml:space="preserve">Sueldos Administrativos</t>
  </si>
  <si>
    <t xml:space="preserve">Tecnología y Sistemas</t>
  </si>
  <si>
    <t xml:space="preserve">Papelería y Útiles</t>
  </si>
  <si>
    <t xml:space="preserve">Depreciación</t>
  </si>
  <si>
    <t xml:space="preserve">5.3.09</t>
  </si>
  <si>
    <t xml:space="preserve">Amortización</t>
  </si>
  <si>
    <t xml:space="preserve">5.3.10</t>
  </si>
  <si>
    <t xml:space="preserve">(+) Diferencias de Cambio Positivas</t>
  </si>
  <si>
    <t xml:space="preserve">(-) Diferencias de Cambio Negativas</t>
  </si>
  <si>
    <t xml:space="preserve">(-) Impuesto a la Renta (25%)</t>
  </si>
  <si>
    <t xml:space="preserve">DATOS GENERALES Y PARÁMETROS DE ANÁLISIS</t>
  </si>
  <si>
    <t xml:space="preserve">Opcional. Necesario solo para evaluar un proyecto de inversión.</t>
  </si>
  <si>
    <t xml:space="preserve">INFORMACIÓN DEL PROYECTO</t>
  </si>
  <si>
    <t xml:space="preserve">Nombre del Proyecto:</t>
  </si>
  <si>
    <t xml:space="preserve">Tipo de Operación:</t>
  </si>
  <si>
    <t xml:space="preserve">Moneda:</t>
  </si>
  <si>
    <t xml:space="preserve">CLP</t>
  </si>
  <si>
    <t xml:space="preserve">Unidad (miles/millones):</t>
  </si>
  <si>
    <t xml:space="preserve">pesos</t>
  </si>
  <si>
    <t xml:space="preserve">PARÁMETROS DE ANÁLISIS</t>
  </si>
  <si>
    <t xml:space="preserve">Horizonte de Evaluación (meses):</t>
  </si>
  <si>
    <t xml:space="preserve">Tasa de Descuento (WACC):</t>
  </si>
  <si>
    <t xml:space="preserve">Tasa Impositiva:</t>
  </si>
  <si>
    <t xml:space="preserve">Deje el WACC en blanco para que el software lo estime (CAPM).</t>
  </si>
  <si>
    <t xml:space="preserve">SUPUESTOS DEL PROYECTO DE INVERSIÓN (opcional)</t>
  </si>
  <si>
    <t xml:space="preserve">INVERSIÓN INICIAL</t>
  </si>
  <si>
    <t xml:space="preserve">Inversión en Activos Fijos:</t>
  </si>
  <si>
    <t xml:space="preserve">Capital de Trabajo Inicial:</t>
  </si>
  <si>
    <t xml:space="preserve">Gastos Pre-operativos:</t>
  </si>
  <si>
    <t xml:space="preserve">INGRESOS</t>
  </si>
  <si>
    <t xml:space="preserve">Ingresos Mensuales Año 1:</t>
  </si>
  <si>
    <t xml:space="preserve">Crecimiento Anual Ingresos:</t>
  </si>
  <si>
    <t xml:space="preserve">COSTOS VARIABLES</t>
  </si>
  <si>
    <t xml:space="preserve">% Costos Variables sobre Ventas:</t>
  </si>
  <si>
    <t xml:space="preserve">COSTOS FIJOS MENSUALES</t>
  </si>
  <si>
    <t xml:space="preserve">Salarios y Cargas Sociales:</t>
  </si>
  <si>
    <t xml:space="preserve">Alquileres:</t>
  </si>
  <si>
    <t xml:space="preserve">Servicios (luz, agua, internet):</t>
  </si>
  <si>
    <t xml:space="preserve">Marketing y Publicidad:</t>
  </si>
  <si>
    <t xml:space="preserve">Otros Gastos Fijos:</t>
  </si>
  <si>
    <t xml:space="preserve">DEPRECIACIÓN</t>
  </si>
  <si>
    <t xml:space="preserve">Vida Útil Activos (años):</t>
  </si>
  <si>
    <t xml:space="preserve">Método Depreciación:</t>
  </si>
  <si>
    <t xml:space="preserve">Lineal</t>
  </si>
  <si>
    <t xml:space="preserve">FINANCIAMIENTO</t>
  </si>
  <si>
    <t xml:space="preserve">Monto del Préstamo:</t>
  </si>
  <si>
    <t xml:space="preserve">Tasa de Interés Anual:</t>
  </si>
  <si>
    <t xml:space="preserve">Plazo del Préstamo (meses):</t>
  </si>
  <si>
    <t xml:space="preserve">VALOR RESIDUAL</t>
  </si>
  <si>
    <t xml:space="preserve">% Valor Residual de Activos Fijos:</t>
  </si>
  <si>
    <t xml:space="preserve">BALANCE GENERAL Y SUPUESTOS DE PROYECCIÓN</t>
  </si>
  <si>
    <t xml:space="preserve">Ingrese saldos al cierre en las cuentas que apliquen y deje el resto en blanco. Un período = balance inicial; dos períodos (anterior y actual) permiten reconstruir el flujo de caja por diferencias. Montos positivos (las cuentas "(-)" se restan solas).</t>
  </si>
  <si>
    <t xml:space="preserve">Período anterior</t>
  </si>
  <si>
    <t xml:space="preserve">Período actual</t>
  </si>
  <si>
    <t xml:space="preserve">ACTIVOS CORRIENTES</t>
  </si>
  <si>
    <t xml:space="preserve">TOTAL ACTIVOS CORRIENTES</t>
  </si>
  <si>
    <t xml:space="preserve">ACTIVOS NO CORRIENTES</t>
  </si>
  <si>
    <t xml:space="preserve">TOTAL ACTIVOS NO CORRIENTES</t>
  </si>
  <si>
    <t xml:space="preserve">PASIVOS CORRIENTES</t>
  </si>
  <si>
    <t xml:space="preserve">TOTAL PASIVOS CORRIENTES</t>
  </si>
  <si>
    <t xml:space="preserve">PASIVOS NO CORRIENTES</t>
  </si>
  <si>
    <t xml:space="preserve">TOTAL PASIVOS NO CORRIENTES</t>
  </si>
  <si>
    <t xml:space="preserve">PATRIMONIO</t>
  </si>
  <si>
    <t xml:space="preserve">TOTAL PATRIMONIO</t>
  </si>
  <si>
    <t xml:space="preserve">Control: Activos − Pasivos − Patrimonio (debe ser 0)</t>
  </si>
  <si>
    <t xml:space="preserve">Si no cuadra a 0, igual puede subir el archivo: el software ajusta el patrimonio y lo informa.</t>
  </si>
  <si>
    <t xml:space="preserve">SUPUESTOS DE PROYECCIÓN (opcionales)</t>
  </si>
  <si>
    <t xml:space="preserve">DSO – Días de cobro</t>
  </si>
  <si>
    <t xml:space="preserve">Defecto: 30 días</t>
  </si>
  <si>
    <t xml:space="preserve">DIO – Días de inventario</t>
  </si>
  <si>
    <t xml:space="preserve">Defecto: 0 en servicios, 60 en productivas</t>
  </si>
  <si>
    <t xml:space="preserve">DPO – Días de pago a proveedores</t>
  </si>
  <si>
    <t xml:space="preserve">Defecto: 15 servicios, 45 productivas</t>
  </si>
  <si>
    <t xml:space="preserve">Capex (% de ingresos)</t>
  </si>
  <si>
    <t xml:space="preserve">Defecto: 3%</t>
  </si>
  <si>
    <t xml:space="preserve">Pago de deuda (capital) mensual</t>
  </si>
  <si>
    <t xml:space="preserve">Defecto: 0</t>
  </si>
  <si>
    <t xml:space="preserve">Payout (dividendos sobre utilidad)</t>
  </si>
  <si>
    <t xml:space="preserve">Defecto: 0%</t>
  </si>
  <si>
    <t xml:space="preserve">Costo de la deuda (Kd)</t>
  </si>
  <si>
    <t xml:space="preserve">Defecto: 7,5%</t>
  </si>
  <si>
    <t xml:space="preserve">Tasa de impuesto</t>
  </si>
  <si>
    <t xml:space="preserve">Defecto: la del P&amp;L o 27%</t>
  </si>
  <si>
    <t xml:space="preserve">ESTADO DE FLUJO DE CAJA (método indirecto)</t>
  </si>
  <si>
    <t xml:space="preserve">Opcional. Ingrese cada línea con el signo de su efecto en caja (entradas +, salidas −). Períodos en columnas: 12 meses o un total anual. Si solo carga esta hoja, el software reconstruye P&amp;L y balance estimados.</t>
  </si>
  <si>
    <t xml:space="preserve">Concepto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</si>
  <si>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</si>
  <si>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</si>
  <si>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</si>
  <si>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</si>
  <si>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</si>
  <si>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</si>
  <si>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</si>
  <si>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</si>
  <si>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</si>
  <si>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</si>
  <si>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</si>
  <si>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</si>
  <si>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Total</t>
  </si>
  <si>
    <t xml:space="preserve">FLUJO DE ACTIVIDADES DE LA OPERACIÓN</t>
  </si>
  <si>
    <t xml:space="preserve">Utilidad neta del período</t>
  </si>
  <si>
    <t xml:space="preserve">(+) Depreciación y amortización</t>
  </si>
  <si>
    <t xml:space="preserve">(-) Aumento de clientes y documentos por cobrar</t>
  </si>
  <si>
    <t xml:space="preserve">(-) Aumento de inventarios</t>
  </si>
  <si>
    <t xml:space="preserve">(+) Aumento de proveedores y otras cuentas por pagar</t>
  </si>
  <si>
    <t xml:space="preserve">(+/-) Otras variaciones de capital de trabajo</t>
  </si>
  <si>
    <t xml:space="preserve">FLUJO OPERACIONAL</t>
  </si>
  <si>
    <t xml:space="preserve">FLUJO DE ACTIVIDADES DE INVERSIÓN</t>
  </si>
  <si>
    <t xml:space="preserve">(-) Capex: compra de activos fijos</t>
  </si>
  <si>
    <t xml:space="preserve">(+) Venta de activos fijos</t>
  </si>
  <si>
    <t xml:space="preserve">(-) Inversiones financieras y otras</t>
  </si>
  <si>
    <t xml:space="preserve">FLUJO DE INVERSIÓN</t>
  </si>
  <si>
    <t xml:space="preserve">FLUJO DE ACTIVIDADES DE FINANCIAMIENTO</t>
  </si>
  <si>
    <t xml:space="preserve">(+) Obtención de deuda (nuevos préstamos)</t>
  </si>
  <si>
    <t xml:space="preserve">(-) Pago de deuda (capital)</t>
  </si>
  <si>
    <t xml:space="preserve">(-) Dividendos pagados</t>
  </si>
  <si>
    <t xml:space="preserve">(+) Aportes de capital</t>
  </si>
  <si>
    <t xml:space="preserve">FLUJO FINANCIERO</t>
  </si>
  <si>
    <t xml:space="preserve">VARIACIÓN NETA DE CAJA</t>
  </si>
  <si>
    <t xml:space="preserve">Saldo inicial de caja</t>
  </si>
  <si>
    <t xml:space="preserve">Saldo final de caja</t>
  </si>
  <si>
    <t xml:space="preserve">DATOS COMPLEMENTARIOS (opcionales, mejoran la reconstrucción del P&amp;L)</t>
  </si>
  <si>
    <t xml:space="preserve">Ingresos cobrados de clientes (método directo)</t>
  </si>
  <si>
    <t xml:space="preserve">Pagos a proveedores y personal (método directo)</t>
  </si>
  <si>
    <t xml:space="preserve">Intereses pagados (dato informativo)</t>
  </si>
  <si>
    <t xml:space="preserve">Impuestos pagados (dato informativo)</t>
  </si>
  <si>
    <t xml:space="preserve">M&amp;A Y VALORACIÓN – PARÁMETROS</t>
  </si>
  <si>
    <t xml:space="preserve">Opcional. Columna B = su dato (tiene prioridad). Columna C = referencia. En blanco: el software autocompleta desde su P&amp;L / balance / flujo y marca el origen.</t>
  </si>
  <si>
    <t xml:space="preserve">OPERACIÓN (DCF)</t>
  </si>
  <si>
    <t xml:space="preserve">Ingresos base (año 0)</t>
  </si>
  <si>
    <t xml:space="preserve">Defecto: ingresos anualizados del P&amp;L</t>
  </si>
  <si>
    <t xml:space="preserve">Crecimiento anual de ingresos</t>
  </si>
  <si>
    <t xml:space="preserve">Defecto: tendencia del P&amp;L</t>
  </si>
  <si>
    <t xml:space="preserve">Margen EBITDA</t>
  </si>
  <si>
    <t xml:space="preserve">Defecto: margen del P&amp;L</t>
  </si>
  <si>
    <t xml:space="preserve">D&amp;A (% de ingresos)</t>
  </si>
  <si>
    <t xml:space="preserve">Defecto: del P&amp;L o 3%</t>
  </si>
  <si>
    <t xml:space="preserve">CAPEX (% de ingresos)</t>
  </si>
  <si>
    <t xml:space="preserve">Capital de trabajo (% de ingresos)</t>
  </si>
  <si>
    <t xml:space="preserve">Defecto: 10%</t>
  </si>
  <si>
    <t xml:space="preserve">Chile: 27% (régimen general)</t>
  </si>
  <si>
    <t xml:space="preserve">Años de proyección</t>
  </si>
  <si>
    <t xml:space="preserve">Defecto: 5</t>
  </si>
  <si>
    <t xml:space="preserve">COSTO DE CAPITAL (CAPM / WACC)</t>
  </si>
  <si>
    <t xml:space="preserve">Crecimiento terminal (g)</t>
  </si>
  <si>
    <t xml:space="preserve">Referencia 2%–3%</t>
  </si>
  <si>
    <t xml:space="preserve">Tasa libre de riesgo (Rf)</t>
  </si>
  <si>
    <t xml:space="preserve">Bono soberano a 10 años</t>
  </si>
  <si>
    <t xml:space="preserve">Beta</t>
  </si>
  <si>
    <t xml:space="preserve">Beta apalancada del sector</t>
  </si>
  <si>
    <t xml:space="preserve">Premio por riesgo de mercado (ERP)</t>
  </si>
  <si>
    <t xml:space="preserve">Referencia 5%–6%</t>
  </si>
  <si>
    <t xml:space="preserve">Riesgo país / tamaño</t>
  </si>
  <si>
    <t xml:space="preserve">Prima adicional según país y tamaño</t>
  </si>
  <si>
    <t xml:space="preserve">Costo de deuda antes de impuestos (Kd)</t>
  </si>
  <si>
    <t xml:space="preserve">Tasa de financiamiento</t>
  </si>
  <si>
    <t xml:space="preserve">Deuda / (Deuda + Patrimonio) objetivo</t>
  </si>
  <si>
    <t xml:space="preserve">Estructura de capital objetivo</t>
  </si>
  <si>
    <t xml:space="preserve">WACC (opcional, reemplaza el calculado)</t>
  </si>
  <si>
    <t xml:space="preserve">Solo si desea forzar el WACC</t>
  </si>
  <si>
    <t xml:space="preserve">MÚLTIPLOS, DEUDA Y SINERGIAS</t>
  </si>
  <si>
    <t xml:space="preserve">Múltiplo EV/EBITDA</t>
  </si>
  <si>
    <t xml:space="preserve">Comparables del sector</t>
  </si>
  <si>
    <t xml:space="preserve">Deuda financiera neta</t>
  </si>
  <si>
    <t xml:space="preserve">Deuda − caja</t>
  </si>
  <si>
    <t xml:space="preserve">Sinergias de costos (anual)</t>
  </si>
  <si>
    <t xml:space="preserve">Ahorro recurrente esperado</t>
  </si>
  <si>
    <t xml:space="preserve">Sinergias de ingresos (anual)</t>
  </si>
  <si>
    <t xml:space="preserve">Ingresos incrementales esperados</t>
  </si>
  <si>
    <t xml:space="preserve">Años para capturar sinergias</t>
  </si>
  <si>
    <t xml:space="preserve">Defecto: 3</t>
  </si>
  <si>
    <t xml:space="preserve">Costo de integración (one-off)</t>
  </si>
  <si>
    <t xml:space="preserve">Costo único de integración</t>
  </si>
  <si>
    <t xml:space="preserve">Prima por control</t>
  </si>
  <si>
    <t xml:space="preserve">Referencia 20%–30%</t>
  </si>
  <si>
    <t xml:space="preserve">ESTADO DE RESULTADOS - EMPRESA PRODUCTIVA</t>
  </si>
  <si>
    <t xml:space="preserve">Escenario: Real</t>
  </si>
  <si>
    <t xml:space="preserve">Cifras en USD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</si>
  <si>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</si>
  <si>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</si>
  <si>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</si>
  <si>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</si>
  <si>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</si>
  <si>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</si>
  <si>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</si>
  <si>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</si>
  <si>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</si>
  <si>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</si>
  <si>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</si>
  <si>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</si>
  <si>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TOTAL AÑO</t>
  </si>
  <si>
    <t xml:space="preserve">INGRESOS OPERACIONALES</t>
  </si>
  <si>
    <t xml:space="preserve">Total Ingresos Brutos</t>
  </si>
  <si>
    <t xml:space="preserve">INGRESOS NETOS</t>
  </si>
  <si>
    <t xml:space="preserve">COSTO DE VENTAS</t>
  </si>
  <si>
    <t xml:space="preserve">(+) Costos Indirectos de Fabricación</t>
  </si>
  <si>
    <t xml:space="preserve">    Depreciación Equipos Producción</t>
  </si>
  <si>
    <t xml:space="preserve">    Servicios Planta</t>
  </si>
  <si>
    <t xml:space="preserve">    Mantenimiento Equipos</t>
  </si>
  <si>
    <t xml:space="preserve">    Otros CIF</t>
  </si>
  <si>
    <t xml:space="preserve">COSTO DE VENTAS TOTAL</t>
  </si>
  <si>
    <t xml:space="preserve">UTILIDAD BRUTA</t>
  </si>
  <si>
    <t xml:space="preserve">Margen Bruto %</t>
  </si>
  <si>
    <t xml:space="preserve">GASTOS OPERACIONALES</t>
  </si>
  <si>
    <t xml:space="preserve">Gastos de Ventas</t>
  </si>
  <si>
    <t xml:space="preserve">    Sueldos Área Ventas</t>
  </si>
  <si>
    <t xml:space="preserve">    Comisiones</t>
  </si>
  <si>
    <t xml:space="preserve">    Publicidad y Marketing</t>
  </si>
  <si>
    <t xml:space="preserve">    Transporte y Distribución</t>
  </si>
  <si>
    <t xml:space="preserve">    Otros Gastos Ventas</t>
  </si>
  <si>
    <t xml:space="preserve">Gastos de Administración</t>
  </si>
  <si>
    <t xml:space="preserve">    Sueldos Área Administrativa</t>
  </si>
  <si>
    <t xml:space="preserve">    Honorarios Profesionales</t>
  </si>
  <si>
    <t xml:space="preserve">    Arriendo Oficinas</t>
  </si>
  <si>
    <t xml:space="preserve">    Servicios Básicos</t>
  </si>
  <si>
    <t xml:space="preserve">    Seguros</t>
  </si>
  <si>
    <t xml:space="preserve">    Depreciación Activos Administrativos</t>
  </si>
  <si>
    <t xml:space="preserve">    Amortización Intangibles</t>
  </si>
  <si>
    <t xml:space="preserve">    Otros Gastos Administrativos</t>
  </si>
  <si>
    <t xml:space="preserve">TOTAL GASTOS OPERACIONALES</t>
  </si>
  <si>
    <t xml:space="preserve">UTILIDAD OPERACIONAL (EBIT)</t>
  </si>
  <si>
    <t xml:space="preserve">Margen Operacional %</t>
  </si>
  <si>
    <t xml:space="preserve">OTROS INGRESOS Y GASTOS</t>
  </si>
  <si>
    <t xml:space="preserve">TOTAL OTROS INGRESOS (GASTOS)</t>
  </si>
  <si>
    <t xml:space="preserve">UTILIDAD ANTES DE IMPUESTOS (EBT)</t>
  </si>
  <si>
    <t xml:space="preserve">UTILIDAD NETA</t>
  </si>
  <si>
    <t xml:space="preserve">Margen Neto %</t>
  </si>
  <si>
    <t xml:space="preserve">Escenario: Budget</t>
  </si>
  <si>
    <t xml:space="preserve">Escenario: Forecast</t>
  </si>
  <si>
    <t xml:space="preserve">ESTADO DE RESULTADOS - EMPRESA DE SERVICIOS</t>
  </si>
  <si>
    <t xml:space="preserve">INGRESOS POR SERVICIOS</t>
  </si>
  <si>
    <t xml:space="preserve">COSTO DE SERVICIOS</t>
  </si>
  <si>
    <t xml:space="preserve">Personal Directo</t>
  </si>
  <si>
    <t xml:space="preserve">    Sueldos Personal Operativo</t>
  </si>
  <si>
    <t xml:space="preserve">    Honorarios Consultores</t>
  </si>
  <si>
    <t xml:space="preserve">    Beneficios Sociales Personal Directo</t>
  </si>
  <si>
    <t xml:space="preserve">    Capacitación Personal</t>
  </si>
  <si>
    <t xml:space="preserve">Costos Directos del Servicio</t>
  </si>
  <si>
    <t xml:space="preserve">    Materiales y Suministros</t>
  </si>
  <si>
    <t xml:space="preserve">    Software y Licencias</t>
  </si>
  <si>
    <t xml:space="preserve">    Equipamiento Especializado</t>
  </si>
  <si>
    <t xml:space="preserve">    Subcontrataciones</t>
  </si>
  <si>
    <t xml:space="preserve">    Viáticos y Movilización</t>
  </si>
  <si>
    <t xml:space="preserve">COSTO DE SERVICIOS TOTAL</t>
  </si>
  <si>
    <t xml:space="preserve">Gastos de Ventas y Marketing</t>
  </si>
  <si>
    <t xml:space="preserve">    Sueldos Área Comercial</t>
  </si>
  <si>
    <t xml:space="preserve">    Comisiones de Ventas</t>
  </si>
  <si>
    <t xml:space="preserve">    Publicidad y Marketing Digital</t>
  </si>
  <si>
    <t xml:space="preserve">    Eventos y Networking</t>
  </si>
  <si>
    <t xml:space="preserve">    Material Promocional</t>
  </si>
  <si>
    <t xml:space="preserve">    Sueldos Administrativos</t>
  </si>
  <si>
    <t xml:space="preserve">    Tecnología y Sistemas</t>
  </si>
  <si>
    <t xml:space="preserve">    Papelería y Útiles</t>
  </si>
  <si>
    <t xml:space="preserve">    Depreciación</t>
  </si>
  <si>
    <t xml:space="preserve">    Amortización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</si>
</sst>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0.0%"/>
    <numFmt numFmtId="167" formatCode="\$#,##0;&quot;($&quot;#,##0\);\-"/>
    <numFmt numFmtId="168" formatCode="#,##0;\(#,##0\);\-"/>
    <numFmt numFmtId="169" formatCode="#,##0"/>
    <numFmt numFmtId="170" formatCode="0.00"/>
    <numFmt numFmtId="171" formatCode="0.0\x"/>
    <numFmt numFmtId="172" formatCode="0%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02A3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color rgb="FF102A36"/>
      <name val="Cambria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5"/>
      <color rgb="FF102A36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102A36"/>
      <name val="Calibri"/>
      <family val="0"/>
      <charset val="1"/>
    </font>
    <font>
      <sz val="11"/>
      <color rgb="FF0000FF"/>
      <name val="Calibri"/>
      <family val="0"/>
      <charset val="1"/>
    </font>
    <font>
      <i val="true"/>
      <sz val="9"/>
      <color rgb="FF7F7F7F"/>
      <name val="Calibri"/>
      <family val="0"/>
      <charset val="1"/>
    </font>
    <font>
      <b val="true"/>
      <sz val="14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102A36"/>
      <name val="Cambria"/>
      <family val="0"/>
      <charset val="1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666666"/>
      <name val="Calibri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sz val="11"/>
      <color rgb="FF00000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02A36"/>
        <bgColor rgb="FF003300"/>
      </patternFill>
    </fill>
    <fill>
      <patternFill patternType="solid">
        <fgColor rgb="FFE7E2D3"/>
        <bgColor rgb="FFD9E1F2"/>
      </patternFill>
    </fill>
    <fill>
      <patternFill patternType="solid">
        <fgColor rgb="FFFFF2CC"/>
        <bgColor rgb="FFE7E2D3"/>
      </patternFill>
    </fill>
    <fill>
      <patternFill patternType="solid">
        <fgColor rgb="FFD9E1F2"/>
        <bgColor rgb="FFE7E2D3"/>
      </patternFill>
    </fill>
    <fill>
      <patternFill patternType="solid">
        <fgColor rgb="FF4472C4"/>
        <bgColor rgb="FF6666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7E2D3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C89B3C"/>
      <rgbColor rgb="FFFF6600"/>
      <rgbColor rgb="FF666666"/>
      <rgbColor rgb="FF969696"/>
      <rgbColor rgb="FF102A36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8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4" t="s">
        <v>1</v>
      </c>
    </row>
    <row r="4" customFormat="false" ht="27.75" hidden="false" customHeight="true" outlineLevel="0" collapsed="false">
      <c r="A4" s="3" t="s">
        <v>2</v>
      </c>
    </row>
    <row r="5" customFormat="false" ht="15" hidden="false" customHeight="true" outlineLevel="0" collapsed="false">
      <c r="A5" s="3"/>
    </row>
    <row r="6" customFormat="false" ht="15" hidden="false" customHeight="true" outlineLevel="0" collapsed="false">
      <c r="A6" s="4" t="s">
        <v>3</v>
      </c>
    </row>
    <row r="7" customFormat="false" ht="27.75" hidden="false" customHeight="true" outlineLevel="0" collapsed="false">
      <c r="A7" s="3" t="s">
        <v>4</v>
      </c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/>
    </row>
    <row r="13" customFormat="false" ht="15" hidden="false" customHeight="true" outlineLevel="0" collapsed="false">
      <c r="A13" s="4" t="s">
        <v>9</v>
      </c>
    </row>
    <row r="14" customFormat="false" ht="15" hidden="false" customHeight="true" outlineLevel="0" collapsed="false">
      <c r="A14" s="3" t="s">
        <v>10</v>
      </c>
    </row>
    <row r="15" customFormat="false" ht="15" hidden="false" customHeight="true" outlineLevel="0" collapsed="false">
      <c r="A15" s="3" t="s">
        <v>11</v>
      </c>
    </row>
    <row r="16" customFormat="false" ht="15" hidden="false" customHeight="true" outlineLevel="0" collapsed="false">
      <c r="A16" s="3" t="s">
        <v>12</v>
      </c>
    </row>
    <row r="17" customFormat="false" ht="27.75" hidden="false" customHeight="true" outlineLevel="0" collapsed="false">
      <c r="A17" s="3" t="s">
        <v>13</v>
      </c>
    </row>
    <row r="18" customFormat="false" ht="15" hidden="false" customHeight="true" outlineLevel="0" collapsed="false">
      <c r="A18" s="3"/>
    </row>
    <row r="19" customFormat="false" ht="15" hidden="false" customHeight="true" outlineLevel="0" collapsed="false">
      <c r="A19" s="4" t="s">
        <v>14</v>
      </c>
    </row>
    <row r="20" customFormat="false" ht="15" hidden="false" customHeight="true" outlineLevel="0" collapsed="false">
      <c r="A20" s="3" t="s">
        <v>15</v>
      </c>
    </row>
    <row r="21" customFormat="false" ht="15" hidden="false" customHeight="true" outlineLevel="0" collapsed="false">
      <c r="A21" s="3"/>
    </row>
    <row r="22" customFormat="false" ht="15" hidden="false" customHeight="true" outlineLevel="0" collapsed="false">
      <c r="A22" s="4" t="s">
        <v>16</v>
      </c>
    </row>
    <row r="23" customFormat="false" ht="27.75" hidden="false" customHeight="true" outlineLevel="0" collapsed="false">
      <c r="A23" s="3" t="s">
        <v>17</v>
      </c>
    </row>
    <row r="25" customFormat="false" ht="15" hidden="false" customHeight="false" outlineLevel="0" collapsed="false">
      <c r="A25" s="5" t="s">
        <v>18</v>
      </c>
    </row>
    <row r="26" customFormat="false" ht="15" hidden="false" customHeight="false" outlineLevel="0" collapsed="false">
      <c r="A26" s="1" t="s">
        <v>19</v>
      </c>
    </row>
    <row r="27" customFormat="false" ht="15" hidden="false" customHeight="false" outlineLevel="0" collapsed="false">
      <c r="A27" s="1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40"/>
    <col collapsed="false" customWidth="true" hidden="false" outlineLevel="0" max="6" min="6" style="0" width="36"/>
  </cols>
  <sheetData>
    <row r="1" customFormat="false" ht="17.35" hidden="false" customHeight="false" outlineLevel="0" collapsed="false">
      <c r="A1" s="6" t="s">
        <v>21</v>
      </c>
    </row>
    <row r="2" customFormat="false" ht="43.5" hidden="false" customHeight="true" outlineLevel="0" collapsed="false">
      <c r="A2" s="7" t="s">
        <v>22</v>
      </c>
      <c r="B2" s="7"/>
      <c r="C2" s="7"/>
      <c r="D2" s="7"/>
      <c r="E2" s="7"/>
      <c r="F2" s="7"/>
    </row>
    <row r="4" customFormat="false" ht="15" hidden="false" customHeight="false" outlineLevel="0" collapsed="false">
      <c r="A4" s="8" t="s">
        <v>23</v>
      </c>
      <c r="B4" s="8" t="s">
        <v>24</v>
      </c>
      <c r="C4" s="8" t="s">
        <v>25</v>
      </c>
      <c r="D4" s="8" t="s">
        <v>26</v>
      </c>
      <c r="E4" s="8" t="s">
        <v>27</v>
      </c>
      <c r="F4" s="8" t="s">
        <v>28</v>
      </c>
    </row>
    <row r="5" customFormat="false" ht="15" hidden="false" customHeight="false" outlineLevel="0" collapsed="false">
      <c r="A5" s="9" t="s">
        <v>29</v>
      </c>
      <c r="B5" s="9" t="s">
        <v>30</v>
      </c>
      <c r="C5" s="9" t="s">
        <v>31</v>
      </c>
      <c r="D5" s="9" t="s">
        <v>32</v>
      </c>
      <c r="E5" s="9" t="s">
        <v>33</v>
      </c>
      <c r="F5" s="9" t="s">
        <v>31</v>
      </c>
    </row>
    <row r="6" customFormat="false" ht="15" hidden="false" customHeight="false" outlineLevel="0" collapsed="false">
      <c r="A6" s="9" t="s">
        <v>34</v>
      </c>
      <c r="B6" s="9" t="s">
        <v>35</v>
      </c>
      <c r="C6" s="9" t="s">
        <v>31</v>
      </c>
      <c r="D6" s="9" t="s">
        <v>32</v>
      </c>
      <c r="E6" s="9" t="s">
        <v>33</v>
      </c>
      <c r="F6" s="9" t="s">
        <v>31</v>
      </c>
    </row>
    <row r="7" customFormat="false" ht="15" hidden="false" customHeight="false" outlineLevel="0" collapsed="false">
      <c r="A7" s="9" t="s">
        <v>36</v>
      </c>
      <c r="B7" s="9" t="s">
        <v>37</v>
      </c>
      <c r="C7" s="9" t="s">
        <v>31</v>
      </c>
      <c r="D7" s="9" t="s">
        <v>32</v>
      </c>
      <c r="E7" s="9" t="s">
        <v>33</v>
      </c>
      <c r="F7" s="9" t="s">
        <v>31</v>
      </c>
    </row>
    <row r="8" customFormat="false" ht="15" hidden="false" customHeight="false" outlineLevel="0" collapsed="false">
      <c r="A8" s="9" t="s">
        <v>38</v>
      </c>
      <c r="B8" s="9" t="s">
        <v>39</v>
      </c>
      <c r="C8" s="9" t="s">
        <v>31</v>
      </c>
      <c r="D8" s="9" t="s">
        <v>32</v>
      </c>
      <c r="E8" s="9" t="s">
        <v>33</v>
      </c>
      <c r="F8" s="9" t="s">
        <v>31</v>
      </c>
    </row>
    <row r="9" customFormat="false" ht="15" hidden="false" customHeight="false" outlineLevel="0" collapsed="false">
      <c r="A9" s="9" t="s">
        <v>40</v>
      </c>
      <c r="B9" s="9" t="s">
        <v>41</v>
      </c>
      <c r="C9" s="9" t="s">
        <v>31</v>
      </c>
      <c r="D9" s="9" t="s">
        <v>32</v>
      </c>
      <c r="E9" s="9" t="s">
        <v>33</v>
      </c>
      <c r="F9" s="9" t="s">
        <v>31</v>
      </c>
    </row>
    <row r="10" customFormat="false" ht="15" hidden="false" customHeight="false" outlineLevel="0" collapsed="false">
      <c r="A10" s="9" t="s">
        <v>42</v>
      </c>
      <c r="B10" s="9" t="s">
        <v>43</v>
      </c>
      <c r="C10" s="9" t="s">
        <v>31</v>
      </c>
      <c r="D10" s="9" t="s">
        <v>32</v>
      </c>
      <c r="E10" s="9" t="s">
        <v>33</v>
      </c>
      <c r="F10" s="9" t="s">
        <v>31</v>
      </c>
    </row>
    <row r="11" customFormat="false" ht="15" hidden="false" customHeight="false" outlineLevel="0" collapsed="false">
      <c r="A11" s="9" t="s">
        <v>44</v>
      </c>
      <c r="B11" s="9" t="s">
        <v>45</v>
      </c>
      <c r="C11" s="9" t="s">
        <v>31</v>
      </c>
      <c r="D11" s="9" t="s">
        <v>32</v>
      </c>
      <c r="E11" s="9" t="s">
        <v>33</v>
      </c>
      <c r="F11" s="9" t="s">
        <v>31</v>
      </c>
    </row>
    <row r="12" customFormat="false" ht="15" hidden="false" customHeight="false" outlineLevel="0" collapsed="false">
      <c r="A12" s="9" t="s">
        <v>46</v>
      </c>
      <c r="B12" s="9" t="s">
        <v>47</v>
      </c>
      <c r="C12" s="9" t="s">
        <v>31</v>
      </c>
      <c r="D12" s="9" t="s">
        <v>32</v>
      </c>
      <c r="E12" s="9" t="s">
        <v>33</v>
      </c>
      <c r="F12" s="9" t="s">
        <v>31</v>
      </c>
    </row>
    <row r="13" customFormat="false" ht="15" hidden="false" customHeight="false" outlineLevel="0" collapsed="false">
      <c r="A13" s="9" t="s">
        <v>48</v>
      </c>
      <c r="B13" s="9" t="s">
        <v>49</v>
      </c>
      <c r="C13" s="9" t="s">
        <v>31</v>
      </c>
      <c r="D13" s="9" t="s">
        <v>32</v>
      </c>
      <c r="E13" s="9" t="s">
        <v>33</v>
      </c>
      <c r="F13" s="9" t="s">
        <v>31</v>
      </c>
    </row>
    <row r="14" customFormat="false" ht="15" hidden="false" customHeight="false" outlineLevel="0" collapsed="false">
      <c r="A14" s="9" t="s">
        <v>50</v>
      </c>
      <c r="B14" s="9" t="s">
        <v>51</v>
      </c>
      <c r="C14" s="9" t="s">
        <v>31</v>
      </c>
      <c r="D14" s="9" t="s">
        <v>32</v>
      </c>
      <c r="E14" s="9" t="s">
        <v>33</v>
      </c>
      <c r="F14" s="9" t="s">
        <v>31</v>
      </c>
    </row>
    <row r="15" customFormat="false" ht="15" hidden="false" customHeight="false" outlineLevel="0" collapsed="false">
      <c r="A15" s="9" t="s">
        <v>52</v>
      </c>
      <c r="B15" s="9" t="s">
        <v>53</v>
      </c>
      <c r="C15" s="9" t="s">
        <v>31</v>
      </c>
      <c r="D15" s="9" t="s">
        <v>32</v>
      </c>
      <c r="E15" s="9" t="s">
        <v>33</v>
      </c>
      <c r="F15" s="9" t="s">
        <v>31</v>
      </c>
    </row>
    <row r="16" customFormat="false" ht="15" hidden="false" customHeight="false" outlineLevel="0" collapsed="false">
      <c r="A16" s="9" t="s">
        <v>54</v>
      </c>
      <c r="B16" s="9" t="s">
        <v>55</v>
      </c>
      <c r="C16" s="9" t="s">
        <v>31</v>
      </c>
      <c r="D16" s="9" t="s">
        <v>32</v>
      </c>
      <c r="E16" s="9" t="s">
        <v>33</v>
      </c>
      <c r="F16" s="9" t="s">
        <v>31</v>
      </c>
    </row>
    <row r="17" customFormat="false" ht="15" hidden="false" customHeight="false" outlineLevel="0" collapsed="false">
      <c r="A17" s="9" t="s">
        <v>56</v>
      </c>
      <c r="B17" s="9" t="s">
        <v>57</v>
      </c>
      <c r="C17" s="9" t="s">
        <v>31</v>
      </c>
      <c r="D17" s="9" t="s">
        <v>58</v>
      </c>
      <c r="E17" s="9" t="s">
        <v>33</v>
      </c>
      <c r="F17" s="9" t="s">
        <v>31</v>
      </c>
    </row>
    <row r="18" customFormat="false" ht="15" hidden="false" customHeight="false" outlineLevel="0" collapsed="false">
      <c r="A18" s="9" t="s">
        <v>59</v>
      </c>
      <c r="B18" s="9" t="s">
        <v>60</v>
      </c>
      <c r="C18" s="9" t="s">
        <v>31</v>
      </c>
      <c r="D18" s="9" t="s">
        <v>58</v>
      </c>
      <c r="E18" s="9" t="s">
        <v>33</v>
      </c>
      <c r="F18" s="9" t="s">
        <v>31</v>
      </c>
    </row>
    <row r="19" customFormat="false" ht="15" hidden="false" customHeight="false" outlineLevel="0" collapsed="false">
      <c r="A19" s="9" t="s">
        <v>61</v>
      </c>
      <c r="B19" s="9" t="s">
        <v>62</v>
      </c>
      <c r="C19" s="9" t="s">
        <v>31</v>
      </c>
      <c r="D19" s="9" t="s">
        <v>58</v>
      </c>
      <c r="E19" s="9" t="s">
        <v>33</v>
      </c>
      <c r="F19" s="9" t="s">
        <v>31</v>
      </c>
    </row>
    <row r="20" customFormat="false" ht="15" hidden="false" customHeight="false" outlineLevel="0" collapsed="false">
      <c r="A20" s="9" t="s">
        <v>63</v>
      </c>
      <c r="B20" s="9" t="s">
        <v>64</v>
      </c>
      <c r="C20" s="9" t="s">
        <v>31</v>
      </c>
      <c r="D20" s="9" t="s">
        <v>58</v>
      </c>
      <c r="E20" s="9" t="s">
        <v>33</v>
      </c>
      <c r="F20" s="9" t="s">
        <v>31</v>
      </c>
    </row>
    <row r="21" customFormat="false" ht="15" hidden="false" customHeight="false" outlineLevel="0" collapsed="false">
      <c r="A21" s="9" t="s">
        <v>65</v>
      </c>
      <c r="B21" s="9" t="s">
        <v>66</v>
      </c>
      <c r="C21" s="9" t="s">
        <v>31</v>
      </c>
      <c r="D21" s="9" t="s">
        <v>58</v>
      </c>
      <c r="E21" s="9" t="s">
        <v>33</v>
      </c>
      <c r="F21" s="9" t="s">
        <v>31</v>
      </c>
    </row>
    <row r="22" customFormat="false" ht="15" hidden="false" customHeight="false" outlineLevel="0" collapsed="false">
      <c r="A22" s="9" t="s">
        <v>67</v>
      </c>
      <c r="B22" s="9" t="s">
        <v>68</v>
      </c>
      <c r="C22" s="9" t="s">
        <v>31</v>
      </c>
      <c r="D22" s="9" t="s">
        <v>58</v>
      </c>
      <c r="E22" s="9" t="s">
        <v>33</v>
      </c>
      <c r="F22" s="9" t="s">
        <v>31</v>
      </c>
    </row>
    <row r="23" customFormat="false" ht="15" hidden="false" customHeight="false" outlineLevel="0" collapsed="false">
      <c r="A23" s="9" t="s">
        <v>69</v>
      </c>
      <c r="B23" s="9" t="s">
        <v>70</v>
      </c>
      <c r="C23" s="9" t="s">
        <v>31</v>
      </c>
      <c r="D23" s="9" t="s">
        <v>58</v>
      </c>
      <c r="E23" s="9" t="s">
        <v>33</v>
      </c>
      <c r="F23" s="9" t="s">
        <v>31</v>
      </c>
    </row>
    <row r="24" customFormat="false" ht="15" hidden="false" customHeight="false" outlineLevel="0" collapsed="false">
      <c r="A24" s="9" t="s">
        <v>71</v>
      </c>
      <c r="B24" s="9" t="s">
        <v>72</v>
      </c>
      <c r="C24" s="9" t="s">
        <v>31</v>
      </c>
      <c r="D24" s="9" t="s">
        <v>58</v>
      </c>
      <c r="E24" s="9" t="s">
        <v>33</v>
      </c>
      <c r="F24" s="9" t="s">
        <v>31</v>
      </c>
    </row>
    <row r="25" customFormat="false" ht="15" hidden="false" customHeight="false" outlineLevel="0" collapsed="false">
      <c r="A25" s="9" t="s">
        <v>73</v>
      </c>
      <c r="B25" s="9" t="s">
        <v>74</v>
      </c>
      <c r="C25" s="9" t="s">
        <v>31</v>
      </c>
      <c r="D25" s="9" t="s">
        <v>58</v>
      </c>
      <c r="E25" s="9" t="s">
        <v>33</v>
      </c>
      <c r="F25" s="9" t="s">
        <v>31</v>
      </c>
    </row>
    <row r="26" customFormat="false" ht="15" hidden="false" customHeight="false" outlineLevel="0" collapsed="false">
      <c r="A26" s="9" t="s">
        <v>75</v>
      </c>
      <c r="B26" s="9" t="s">
        <v>76</v>
      </c>
      <c r="C26" s="9" t="s">
        <v>31</v>
      </c>
      <c r="D26" s="9" t="s">
        <v>58</v>
      </c>
      <c r="E26" s="9" t="s">
        <v>33</v>
      </c>
      <c r="F26" s="9" t="s">
        <v>31</v>
      </c>
    </row>
    <row r="27" customFormat="false" ht="15" hidden="false" customHeight="false" outlineLevel="0" collapsed="false">
      <c r="A27" s="9" t="s">
        <v>77</v>
      </c>
      <c r="B27" s="9" t="s">
        <v>78</v>
      </c>
      <c r="C27" s="9" t="s">
        <v>31</v>
      </c>
      <c r="D27" s="9" t="s">
        <v>79</v>
      </c>
      <c r="E27" s="9" t="s">
        <v>80</v>
      </c>
      <c r="F27" s="9" t="s">
        <v>31</v>
      </c>
    </row>
    <row r="28" customFormat="false" ht="15" hidden="false" customHeight="false" outlineLevel="0" collapsed="false">
      <c r="A28" s="9" t="s">
        <v>81</v>
      </c>
      <c r="B28" s="9" t="s">
        <v>82</v>
      </c>
      <c r="C28" s="9" t="s">
        <v>31</v>
      </c>
      <c r="D28" s="9" t="s">
        <v>79</v>
      </c>
      <c r="E28" s="9" t="s">
        <v>80</v>
      </c>
      <c r="F28" s="9" t="s">
        <v>31</v>
      </c>
    </row>
    <row r="29" customFormat="false" ht="15" hidden="false" customHeight="false" outlineLevel="0" collapsed="false">
      <c r="A29" s="9" t="s">
        <v>83</v>
      </c>
      <c r="B29" s="9" t="s">
        <v>84</v>
      </c>
      <c r="C29" s="9" t="s">
        <v>31</v>
      </c>
      <c r="D29" s="9" t="s">
        <v>79</v>
      </c>
      <c r="E29" s="9" t="s">
        <v>80</v>
      </c>
      <c r="F29" s="9" t="s">
        <v>31</v>
      </c>
    </row>
    <row r="30" customFormat="false" ht="15" hidden="false" customHeight="false" outlineLevel="0" collapsed="false">
      <c r="A30" s="9" t="s">
        <v>85</v>
      </c>
      <c r="B30" s="9" t="s">
        <v>86</v>
      </c>
      <c r="C30" s="9" t="s">
        <v>31</v>
      </c>
      <c r="D30" s="9" t="s">
        <v>79</v>
      </c>
      <c r="E30" s="9" t="s">
        <v>80</v>
      </c>
      <c r="F30" s="9" t="s">
        <v>31</v>
      </c>
    </row>
    <row r="31" customFormat="false" ht="15" hidden="false" customHeight="false" outlineLevel="0" collapsed="false">
      <c r="A31" s="9" t="s">
        <v>87</v>
      </c>
      <c r="B31" s="9" t="s">
        <v>88</v>
      </c>
      <c r="C31" s="9" t="s">
        <v>31</v>
      </c>
      <c r="D31" s="9" t="s">
        <v>79</v>
      </c>
      <c r="E31" s="9" t="s">
        <v>80</v>
      </c>
      <c r="F31" s="9" t="s">
        <v>31</v>
      </c>
    </row>
    <row r="32" customFormat="false" ht="15" hidden="false" customHeight="false" outlineLevel="0" collapsed="false">
      <c r="A32" s="9" t="s">
        <v>89</v>
      </c>
      <c r="B32" s="9" t="s">
        <v>90</v>
      </c>
      <c r="C32" s="9" t="s">
        <v>31</v>
      </c>
      <c r="D32" s="9" t="s">
        <v>79</v>
      </c>
      <c r="E32" s="9" t="s">
        <v>80</v>
      </c>
      <c r="F32" s="9" t="s">
        <v>31</v>
      </c>
    </row>
    <row r="33" customFormat="false" ht="15" hidden="false" customHeight="false" outlineLevel="0" collapsed="false">
      <c r="A33" s="9" t="s">
        <v>91</v>
      </c>
      <c r="B33" s="9" t="s">
        <v>92</v>
      </c>
      <c r="C33" s="9" t="s">
        <v>31</v>
      </c>
      <c r="D33" s="9" t="s">
        <v>79</v>
      </c>
      <c r="E33" s="9" t="s">
        <v>80</v>
      </c>
      <c r="F33" s="9" t="s">
        <v>31</v>
      </c>
    </row>
    <row r="34" customFormat="false" ht="15" hidden="false" customHeight="false" outlineLevel="0" collapsed="false">
      <c r="A34" s="9" t="s">
        <v>93</v>
      </c>
      <c r="B34" s="9" t="s">
        <v>94</v>
      </c>
      <c r="C34" s="9" t="s">
        <v>31</v>
      </c>
      <c r="D34" s="9" t="s">
        <v>79</v>
      </c>
      <c r="E34" s="9" t="s">
        <v>80</v>
      </c>
      <c r="F34" s="9" t="s">
        <v>31</v>
      </c>
    </row>
    <row r="35" customFormat="false" ht="15" hidden="false" customHeight="false" outlineLevel="0" collapsed="false">
      <c r="A35" s="9" t="s">
        <v>95</v>
      </c>
      <c r="B35" s="9" t="s">
        <v>96</v>
      </c>
      <c r="C35" s="9" t="s">
        <v>31</v>
      </c>
      <c r="D35" s="9" t="s">
        <v>79</v>
      </c>
      <c r="E35" s="9" t="s">
        <v>80</v>
      </c>
      <c r="F35" s="9" t="s">
        <v>31</v>
      </c>
    </row>
    <row r="36" customFormat="false" ht="15" hidden="false" customHeight="false" outlineLevel="0" collapsed="false">
      <c r="A36" s="9" t="s">
        <v>97</v>
      </c>
      <c r="B36" s="9" t="s">
        <v>98</v>
      </c>
      <c r="C36" s="9" t="s">
        <v>31</v>
      </c>
      <c r="D36" s="9" t="s">
        <v>79</v>
      </c>
      <c r="E36" s="9" t="s">
        <v>80</v>
      </c>
      <c r="F36" s="9" t="s">
        <v>31</v>
      </c>
    </row>
    <row r="37" customFormat="false" ht="15" hidden="false" customHeight="false" outlineLevel="0" collapsed="false">
      <c r="A37" s="9" t="s">
        <v>99</v>
      </c>
      <c r="B37" s="9" t="s">
        <v>100</v>
      </c>
      <c r="C37" s="9" t="s">
        <v>31</v>
      </c>
      <c r="D37" s="9" t="s">
        <v>79</v>
      </c>
      <c r="E37" s="9" t="s">
        <v>80</v>
      </c>
      <c r="F37" s="9" t="s">
        <v>31</v>
      </c>
    </row>
    <row r="38" customFormat="false" ht="15" hidden="false" customHeight="false" outlineLevel="0" collapsed="false">
      <c r="A38" s="9" t="s">
        <v>101</v>
      </c>
      <c r="B38" s="9" t="s">
        <v>102</v>
      </c>
      <c r="C38" s="9" t="s">
        <v>31</v>
      </c>
      <c r="D38" s="9" t="s">
        <v>103</v>
      </c>
      <c r="E38" s="9" t="s">
        <v>80</v>
      </c>
      <c r="F38" s="9" t="s">
        <v>31</v>
      </c>
    </row>
    <row r="39" customFormat="false" ht="15" hidden="false" customHeight="false" outlineLevel="0" collapsed="false">
      <c r="A39" s="9" t="s">
        <v>104</v>
      </c>
      <c r="B39" s="9" t="s">
        <v>105</v>
      </c>
      <c r="C39" s="9" t="s">
        <v>31</v>
      </c>
      <c r="D39" s="9" t="s">
        <v>103</v>
      </c>
      <c r="E39" s="9" t="s">
        <v>80</v>
      </c>
      <c r="F39" s="9" t="s">
        <v>31</v>
      </c>
    </row>
    <row r="40" customFormat="false" ht="15" hidden="false" customHeight="false" outlineLevel="0" collapsed="false">
      <c r="A40" s="9" t="s">
        <v>106</v>
      </c>
      <c r="B40" s="9" t="s">
        <v>107</v>
      </c>
      <c r="C40" s="9" t="s">
        <v>31</v>
      </c>
      <c r="D40" s="9" t="s">
        <v>103</v>
      </c>
      <c r="E40" s="9" t="s">
        <v>80</v>
      </c>
      <c r="F40" s="9" t="s">
        <v>31</v>
      </c>
    </row>
    <row r="41" customFormat="false" ht="15" hidden="false" customHeight="false" outlineLevel="0" collapsed="false">
      <c r="A41" s="9" t="s">
        <v>108</v>
      </c>
      <c r="B41" s="9" t="s">
        <v>109</v>
      </c>
      <c r="C41" s="9" t="s">
        <v>31</v>
      </c>
      <c r="D41" s="9" t="s">
        <v>103</v>
      </c>
      <c r="E41" s="9" t="s">
        <v>80</v>
      </c>
      <c r="F41" s="9" t="s">
        <v>31</v>
      </c>
    </row>
    <row r="42" customFormat="false" ht="15" hidden="false" customHeight="false" outlineLevel="0" collapsed="false">
      <c r="A42" s="9" t="s">
        <v>110</v>
      </c>
      <c r="B42" s="9" t="s">
        <v>111</v>
      </c>
      <c r="C42" s="9" t="s">
        <v>31</v>
      </c>
      <c r="D42" s="9" t="s">
        <v>112</v>
      </c>
      <c r="E42" s="9" t="s">
        <v>113</v>
      </c>
      <c r="F42" s="9" t="s">
        <v>31</v>
      </c>
    </row>
    <row r="43" customFormat="false" ht="15" hidden="false" customHeight="false" outlineLevel="0" collapsed="false">
      <c r="A43" s="9" t="s">
        <v>114</v>
      </c>
      <c r="B43" s="9" t="s">
        <v>115</v>
      </c>
      <c r="C43" s="9" t="s">
        <v>31</v>
      </c>
      <c r="D43" s="9" t="s">
        <v>112</v>
      </c>
      <c r="E43" s="9" t="s">
        <v>113</v>
      </c>
      <c r="F43" s="9" t="s">
        <v>31</v>
      </c>
    </row>
    <row r="44" customFormat="false" ht="15" hidden="false" customHeight="false" outlineLevel="0" collapsed="false">
      <c r="A44" s="9" t="s">
        <v>116</v>
      </c>
      <c r="B44" s="9" t="s">
        <v>117</v>
      </c>
      <c r="C44" s="9" t="s">
        <v>31</v>
      </c>
      <c r="D44" s="9" t="s">
        <v>112</v>
      </c>
      <c r="E44" s="9" t="s">
        <v>113</v>
      </c>
      <c r="F44" s="9" t="s">
        <v>31</v>
      </c>
    </row>
    <row r="45" customFormat="false" ht="15" hidden="false" customHeight="false" outlineLevel="0" collapsed="false">
      <c r="A45" s="9" t="s">
        <v>118</v>
      </c>
      <c r="B45" s="9" t="s">
        <v>119</v>
      </c>
      <c r="C45" s="9" t="s">
        <v>31</v>
      </c>
      <c r="D45" s="9" t="s">
        <v>112</v>
      </c>
      <c r="E45" s="9" t="s">
        <v>113</v>
      </c>
      <c r="F45" s="9" t="s">
        <v>31</v>
      </c>
    </row>
    <row r="46" customFormat="false" ht="15" hidden="false" customHeight="false" outlineLevel="0" collapsed="false">
      <c r="A46" s="9" t="s">
        <v>120</v>
      </c>
      <c r="B46" s="9" t="s">
        <v>121</v>
      </c>
      <c r="C46" s="9" t="s">
        <v>31</v>
      </c>
      <c r="D46" s="9" t="s">
        <v>112</v>
      </c>
      <c r="E46" s="9" t="s">
        <v>113</v>
      </c>
      <c r="F46" s="9" t="s">
        <v>31</v>
      </c>
    </row>
    <row r="47" customFormat="false" ht="15" hidden="false" customHeight="false" outlineLevel="0" collapsed="false">
      <c r="A47" s="9" t="s">
        <v>122</v>
      </c>
      <c r="B47" s="9" t="s">
        <v>123</v>
      </c>
      <c r="C47" s="9" t="s">
        <v>124</v>
      </c>
      <c r="D47" s="9" t="s">
        <v>125</v>
      </c>
      <c r="E47" s="9" t="s">
        <v>126</v>
      </c>
      <c r="F47" s="9" t="s">
        <v>127</v>
      </c>
    </row>
    <row r="48" customFormat="false" ht="15" hidden="false" customHeight="false" outlineLevel="0" collapsed="false">
      <c r="A48" s="9" t="s">
        <v>128</v>
      </c>
      <c r="B48" s="9" t="s">
        <v>129</v>
      </c>
      <c r="C48" s="9" t="s">
        <v>124</v>
      </c>
      <c r="D48" s="9" t="s">
        <v>125</v>
      </c>
      <c r="E48" s="9" t="s">
        <v>126</v>
      </c>
      <c r="F48" s="9" t="s">
        <v>127</v>
      </c>
    </row>
    <row r="49" customFormat="false" ht="15" hidden="false" customHeight="false" outlineLevel="0" collapsed="false">
      <c r="A49" s="9" t="s">
        <v>130</v>
      </c>
      <c r="B49" s="9" t="s">
        <v>131</v>
      </c>
      <c r="C49" s="9" t="s">
        <v>124</v>
      </c>
      <c r="D49" s="9" t="s">
        <v>125</v>
      </c>
      <c r="E49" s="9" t="s">
        <v>126</v>
      </c>
      <c r="F49" s="9" t="s">
        <v>127</v>
      </c>
    </row>
    <row r="50" customFormat="false" ht="15" hidden="false" customHeight="false" outlineLevel="0" collapsed="false">
      <c r="A50" s="9" t="s">
        <v>132</v>
      </c>
      <c r="B50" s="9" t="s">
        <v>133</v>
      </c>
      <c r="C50" s="9" t="s">
        <v>124</v>
      </c>
      <c r="D50" s="9" t="s">
        <v>125</v>
      </c>
      <c r="E50" s="9" t="s">
        <v>126</v>
      </c>
      <c r="F50" s="9" t="s">
        <v>127</v>
      </c>
    </row>
    <row r="51" customFormat="false" ht="15" hidden="false" customHeight="false" outlineLevel="0" collapsed="false">
      <c r="A51" s="9" t="s">
        <v>134</v>
      </c>
      <c r="B51" s="9" t="s">
        <v>135</v>
      </c>
      <c r="C51" s="9" t="s">
        <v>124</v>
      </c>
      <c r="D51" s="9" t="s">
        <v>136</v>
      </c>
      <c r="E51" s="9" t="s">
        <v>126</v>
      </c>
      <c r="F51" s="9" t="s">
        <v>127</v>
      </c>
    </row>
    <row r="52" customFormat="false" ht="15" hidden="false" customHeight="false" outlineLevel="0" collapsed="false">
      <c r="A52" s="9" t="s">
        <v>137</v>
      </c>
      <c r="B52" s="9" t="s">
        <v>138</v>
      </c>
      <c r="C52" s="9" t="s">
        <v>124</v>
      </c>
      <c r="D52" s="9" t="s">
        <v>136</v>
      </c>
      <c r="E52" s="9" t="s">
        <v>126</v>
      </c>
      <c r="F52" s="9" t="s">
        <v>127</v>
      </c>
    </row>
    <row r="53" customFormat="false" ht="15" hidden="false" customHeight="false" outlineLevel="0" collapsed="false">
      <c r="A53" s="9" t="s">
        <v>139</v>
      </c>
      <c r="B53" s="9" t="s">
        <v>140</v>
      </c>
      <c r="C53" s="9" t="s">
        <v>124</v>
      </c>
      <c r="D53" s="9" t="s">
        <v>141</v>
      </c>
      <c r="E53" s="9" t="s">
        <v>126</v>
      </c>
      <c r="F53" s="9" t="s">
        <v>127</v>
      </c>
    </row>
    <row r="54" customFormat="false" ht="15" hidden="false" customHeight="false" outlineLevel="0" collapsed="false">
      <c r="A54" s="9" t="s">
        <v>142</v>
      </c>
      <c r="B54" s="9" t="s">
        <v>143</v>
      </c>
      <c r="C54" s="9" t="s">
        <v>124</v>
      </c>
      <c r="D54" s="9" t="s">
        <v>141</v>
      </c>
      <c r="E54" s="9" t="s">
        <v>126</v>
      </c>
      <c r="F54" s="9" t="s">
        <v>127</v>
      </c>
    </row>
    <row r="55" customFormat="false" ht="15" hidden="false" customHeight="false" outlineLevel="0" collapsed="false">
      <c r="A55" s="9" t="s">
        <v>144</v>
      </c>
      <c r="B55" s="9" t="s">
        <v>145</v>
      </c>
      <c r="C55" s="9" t="s">
        <v>124</v>
      </c>
      <c r="D55" s="9" t="s">
        <v>141</v>
      </c>
      <c r="E55" s="9" t="s">
        <v>126</v>
      </c>
      <c r="F55" s="9" t="s">
        <v>127</v>
      </c>
    </row>
    <row r="56" customFormat="false" ht="15" hidden="false" customHeight="false" outlineLevel="0" collapsed="false">
      <c r="A56" s="9" t="s">
        <v>146</v>
      </c>
      <c r="B56" s="9" t="s">
        <v>147</v>
      </c>
      <c r="C56" s="9" t="s">
        <v>124</v>
      </c>
      <c r="D56" s="9" t="s">
        <v>141</v>
      </c>
      <c r="E56" s="9" t="s">
        <v>148</v>
      </c>
      <c r="F56" s="9" t="s">
        <v>127</v>
      </c>
    </row>
    <row r="57" customFormat="false" ht="15" hidden="false" customHeight="false" outlineLevel="0" collapsed="false">
      <c r="A57" s="9" t="s">
        <v>149</v>
      </c>
      <c r="B57" s="9" t="s">
        <v>150</v>
      </c>
      <c r="C57" s="9" t="s">
        <v>124</v>
      </c>
      <c r="D57" s="9" t="s">
        <v>141</v>
      </c>
      <c r="E57" s="9" t="s">
        <v>126</v>
      </c>
      <c r="F57" s="9" t="s">
        <v>127</v>
      </c>
    </row>
    <row r="58" customFormat="false" ht="15" hidden="false" customHeight="false" outlineLevel="0" collapsed="false">
      <c r="A58" s="9" t="s">
        <v>151</v>
      </c>
      <c r="B58" s="9" t="s">
        <v>152</v>
      </c>
      <c r="C58" s="9" t="s">
        <v>124</v>
      </c>
      <c r="D58" s="9" t="s">
        <v>141</v>
      </c>
      <c r="E58" s="9" t="s">
        <v>126</v>
      </c>
      <c r="F58" s="9" t="s">
        <v>127</v>
      </c>
    </row>
    <row r="59" customFormat="false" ht="15" hidden="false" customHeight="false" outlineLevel="0" collapsed="false">
      <c r="A59" s="9" t="s">
        <v>153</v>
      </c>
      <c r="B59" s="9" t="s">
        <v>154</v>
      </c>
      <c r="C59" s="9" t="s">
        <v>124</v>
      </c>
      <c r="D59" s="9" t="s">
        <v>141</v>
      </c>
      <c r="E59" s="9" t="s">
        <v>126</v>
      </c>
      <c r="F59" s="9" t="s">
        <v>127</v>
      </c>
    </row>
    <row r="60" customFormat="false" ht="15" hidden="false" customHeight="false" outlineLevel="0" collapsed="false">
      <c r="A60" s="9" t="s">
        <v>155</v>
      </c>
      <c r="B60" s="9" t="s">
        <v>156</v>
      </c>
      <c r="C60" s="9" t="s">
        <v>124</v>
      </c>
      <c r="D60" s="9" t="s">
        <v>141</v>
      </c>
      <c r="E60" s="9" t="s">
        <v>126</v>
      </c>
      <c r="F60" s="9" t="s">
        <v>127</v>
      </c>
    </row>
    <row r="61" customFormat="false" ht="15" hidden="false" customHeight="false" outlineLevel="0" collapsed="false">
      <c r="A61" s="9" t="s">
        <v>157</v>
      </c>
      <c r="B61" s="9" t="s">
        <v>158</v>
      </c>
      <c r="C61" s="9" t="s">
        <v>124</v>
      </c>
      <c r="D61" s="9" t="s">
        <v>159</v>
      </c>
      <c r="E61" s="9" t="s">
        <v>126</v>
      </c>
      <c r="F61" s="9" t="s">
        <v>127</v>
      </c>
    </row>
    <row r="62" customFormat="false" ht="15" hidden="false" customHeight="false" outlineLevel="0" collapsed="false">
      <c r="A62" s="9" t="s">
        <v>160</v>
      </c>
      <c r="B62" s="9" t="s">
        <v>161</v>
      </c>
      <c r="C62" s="9" t="s">
        <v>124</v>
      </c>
      <c r="D62" s="9" t="s">
        <v>159</v>
      </c>
      <c r="E62" s="9" t="s">
        <v>126</v>
      </c>
      <c r="F62" s="9" t="s">
        <v>127</v>
      </c>
    </row>
    <row r="63" customFormat="false" ht="15" hidden="false" customHeight="false" outlineLevel="0" collapsed="false">
      <c r="A63" s="9" t="s">
        <v>162</v>
      </c>
      <c r="B63" s="9" t="s">
        <v>163</v>
      </c>
      <c r="C63" s="9" t="s">
        <v>124</v>
      </c>
      <c r="D63" s="9" t="s">
        <v>159</v>
      </c>
      <c r="E63" s="9" t="s">
        <v>126</v>
      </c>
      <c r="F63" s="9" t="s">
        <v>127</v>
      </c>
    </row>
    <row r="64" customFormat="false" ht="15" hidden="false" customHeight="false" outlineLevel="0" collapsed="false">
      <c r="A64" s="9" t="s">
        <v>164</v>
      </c>
      <c r="B64" s="9" t="s">
        <v>165</v>
      </c>
      <c r="C64" s="9" t="s">
        <v>124</v>
      </c>
      <c r="D64" s="9" t="s">
        <v>159</v>
      </c>
      <c r="E64" s="9" t="s">
        <v>126</v>
      </c>
      <c r="F64" s="9" t="s">
        <v>127</v>
      </c>
    </row>
    <row r="65" customFormat="false" ht="15" hidden="false" customHeight="false" outlineLevel="0" collapsed="false">
      <c r="A65" s="9" t="s">
        <v>166</v>
      </c>
      <c r="B65" s="9" t="s">
        <v>167</v>
      </c>
      <c r="C65" s="9" t="s">
        <v>124</v>
      </c>
      <c r="D65" s="9" t="s">
        <v>159</v>
      </c>
      <c r="E65" s="9" t="s">
        <v>126</v>
      </c>
      <c r="F65" s="9" t="s">
        <v>127</v>
      </c>
    </row>
    <row r="66" customFormat="false" ht="15" hidden="false" customHeight="false" outlineLevel="0" collapsed="false">
      <c r="A66" s="9" t="s">
        <v>168</v>
      </c>
      <c r="B66" s="9" t="s">
        <v>169</v>
      </c>
      <c r="C66" s="9" t="s">
        <v>124</v>
      </c>
      <c r="D66" s="9" t="s">
        <v>170</v>
      </c>
      <c r="E66" s="9" t="s">
        <v>126</v>
      </c>
      <c r="F66" s="9" t="s">
        <v>127</v>
      </c>
    </row>
    <row r="67" customFormat="false" ht="15" hidden="false" customHeight="false" outlineLevel="0" collapsed="false">
      <c r="A67" s="9" t="s">
        <v>171</v>
      </c>
      <c r="B67" s="9" t="s">
        <v>172</v>
      </c>
      <c r="C67" s="9" t="s">
        <v>124</v>
      </c>
      <c r="D67" s="9" t="s">
        <v>170</v>
      </c>
      <c r="E67" s="9" t="s">
        <v>126</v>
      </c>
      <c r="F67" s="9" t="s">
        <v>127</v>
      </c>
    </row>
    <row r="68" customFormat="false" ht="15" hidden="false" customHeight="false" outlineLevel="0" collapsed="false">
      <c r="A68" s="9" t="s">
        <v>173</v>
      </c>
      <c r="B68" s="9" t="s">
        <v>174</v>
      </c>
      <c r="C68" s="9" t="s">
        <v>124</v>
      </c>
      <c r="D68" s="9" t="s">
        <v>170</v>
      </c>
      <c r="E68" s="9" t="s">
        <v>126</v>
      </c>
      <c r="F68" s="9" t="s">
        <v>127</v>
      </c>
    </row>
    <row r="69" customFormat="false" ht="15" hidden="false" customHeight="false" outlineLevel="0" collapsed="false">
      <c r="A69" s="9" t="s">
        <v>175</v>
      </c>
      <c r="B69" s="9" t="s">
        <v>176</v>
      </c>
      <c r="C69" s="9" t="s">
        <v>124</v>
      </c>
      <c r="D69" s="9" t="s">
        <v>170</v>
      </c>
      <c r="E69" s="9" t="s">
        <v>126</v>
      </c>
      <c r="F69" s="9" t="s">
        <v>127</v>
      </c>
    </row>
    <row r="70" customFormat="false" ht="15" hidden="false" customHeight="false" outlineLevel="0" collapsed="false">
      <c r="A70" s="9" t="s">
        <v>177</v>
      </c>
      <c r="B70" s="9" t="s">
        <v>178</v>
      </c>
      <c r="C70" s="9" t="s">
        <v>124</v>
      </c>
      <c r="D70" s="9" t="s">
        <v>170</v>
      </c>
      <c r="E70" s="9" t="s">
        <v>126</v>
      </c>
      <c r="F70" s="9" t="s">
        <v>127</v>
      </c>
    </row>
    <row r="71" customFormat="false" ht="15" hidden="false" customHeight="false" outlineLevel="0" collapsed="false">
      <c r="A71" s="9" t="s">
        <v>179</v>
      </c>
      <c r="B71" s="9" t="s">
        <v>180</v>
      </c>
      <c r="C71" s="9" t="s">
        <v>124</v>
      </c>
      <c r="D71" s="9" t="s">
        <v>170</v>
      </c>
      <c r="E71" s="9" t="s">
        <v>148</v>
      </c>
      <c r="F71" s="9" t="s">
        <v>127</v>
      </c>
    </row>
    <row r="72" customFormat="false" ht="15" hidden="false" customHeight="false" outlineLevel="0" collapsed="false">
      <c r="A72" s="9" t="s">
        <v>181</v>
      </c>
      <c r="B72" s="9" t="s">
        <v>182</v>
      </c>
      <c r="C72" s="9" t="s">
        <v>124</v>
      </c>
      <c r="D72" s="9" t="s">
        <v>170</v>
      </c>
      <c r="E72" s="9" t="s">
        <v>148</v>
      </c>
      <c r="F72" s="9" t="s">
        <v>127</v>
      </c>
    </row>
    <row r="73" customFormat="false" ht="15" hidden="false" customHeight="false" outlineLevel="0" collapsed="false">
      <c r="A73" s="9" t="s">
        <v>183</v>
      </c>
      <c r="B73" s="9" t="s">
        <v>184</v>
      </c>
      <c r="C73" s="9" t="s">
        <v>124</v>
      </c>
      <c r="D73" s="9" t="s">
        <v>170</v>
      </c>
      <c r="E73" s="9" t="s">
        <v>126</v>
      </c>
      <c r="F73" s="9" t="s">
        <v>127</v>
      </c>
    </row>
    <row r="74" customFormat="false" ht="15" hidden="false" customHeight="false" outlineLevel="0" collapsed="false">
      <c r="A74" s="9" t="s">
        <v>185</v>
      </c>
      <c r="B74" s="9" t="s">
        <v>186</v>
      </c>
      <c r="C74" s="9" t="s">
        <v>124</v>
      </c>
      <c r="D74" s="9" t="s">
        <v>187</v>
      </c>
      <c r="E74" s="9" t="s">
        <v>126</v>
      </c>
      <c r="F74" s="9" t="s">
        <v>127</v>
      </c>
    </row>
    <row r="75" customFormat="false" ht="15" hidden="false" customHeight="false" outlineLevel="0" collapsed="false">
      <c r="A75" s="9" t="s">
        <v>188</v>
      </c>
      <c r="B75" s="9" t="s">
        <v>189</v>
      </c>
      <c r="C75" s="9" t="s">
        <v>124</v>
      </c>
      <c r="D75" s="9" t="s">
        <v>187</v>
      </c>
      <c r="E75" s="9" t="s">
        <v>126</v>
      </c>
      <c r="F75" s="9" t="s">
        <v>127</v>
      </c>
    </row>
    <row r="76" customFormat="false" ht="15" hidden="false" customHeight="false" outlineLevel="0" collapsed="false">
      <c r="A76" s="9" t="s">
        <v>190</v>
      </c>
      <c r="B76" s="9" t="s">
        <v>191</v>
      </c>
      <c r="C76" s="9" t="s">
        <v>124</v>
      </c>
      <c r="D76" s="9" t="s">
        <v>187</v>
      </c>
      <c r="E76" s="9" t="s">
        <v>126</v>
      </c>
      <c r="F76" s="9" t="s">
        <v>127</v>
      </c>
    </row>
    <row r="77" customFormat="false" ht="15" hidden="false" customHeight="false" outlineLevel="0" collapsed="false">
      <c r="A77" s="9" t="s">
        <v>192</v>
      </c>
      <c r="B77" s="9" t="s">
        <v>193</v>
      </c>
      <c r="C77" s="9" t="s">
        <v>124</v>
      </c>
      <c r="D77" s="9" t="s">
        <v>194</v>
      </c>
      <c r="E77" s="9" t="s">
        <v>126</v>
      </c>
      <c r="F77" s="9" t="s">
        <v>127</v>
      </c>
    </row>
    <row r="78" customFormat="false" ht="15" hidden="false" customHeight="false" outlineLevel="0" collapsed="false">
      <c r="A78" s="9" t="s">
        <v>195</v>
      </c>
      <c r="B78" s="9" t="s">
        <v>196</v>
      </c>
      <c r="C78" s="9" t="s">
        <v>124</v>
      </c>
      <c r="D78" s="9" t="s">
        <v>194</v>
      </c>
      <c r="E78" s="9" t="s">
        <v>126</v>
      </c>
      <c r="F78" s="9" t="s">
        <v>127</v>
      </c>
    </row>
    <row r="79" customFormat="false" ht="15" hidden="false" customHeight="false" outlineLevel="0" collapsed="false">
      <c r="A79" s="9" t="s">
        <v>197</v>
      </c>
      <c r="B79" s="9" t="s">
        <v>198</v>
      </c>
      <c r="C79" s="9" t="s">
        <v>124</v>
      </c>
      <c r="D79" s="9" t="s">
        <v>194</v>
      </c>
      <c r="E79" s="9" t="s">
        <v>126</v>
      </c>
      <c r="F79" s="9" t="s">
        <v>127</v>
      </c>
    </row>
    <row r="80" customFormat="false" ht="15" hidden="false" customHeight="false" outlineLevel="0" collapsed="false">
      <c r="A80" s="9" t="s">
        <v>199</v>
      </c>
      <c r="B80" s="9" t="s">
        <v>200</v>
      </c>
      <c r="C80" s="9" t="s">
        <v>124</v>
      </c>
      <c r="D80" s="9" t="s">
        <v>201</v>
      </c>
      <c r="E80" s="9" t="s">
        <v>126</v>
      </c>
      <c r="F80" s="9" t="s">
        <v>127</v>
      </c>
    </row>
    <row r="81" customFormat="false" ht="15" hidden="false" customHeight="false" outlineLevel="0" collapsed="false">
      <c r="A81" s="9" t="s">
        <v>122</v>
      </c>
      <c r="B81" s="9" t="s">
        <v>202</v>
      </c>
      <c r="C81" s="9" t="s">
        <v>203</v>
      </c>
      <c r="D81" s="9" t="s">
        <v>125</v>
      </c>
      <c r="E81" s="9" t="s">
        <v>126</v>
      </c>
      <c r="F81" s="9" t="s">
        <v>204</v>
      </c>
    </row>
    <row r="82" customFormat="false" ht="15" hidden="false" customHeight="false" outlineLevel="0" collapsed="false">
      <c r="A82" s="9" t="s">
        <v>128</v>
      </c>
      <c r="B82" s="9" t="s">
        <v>205</v>
      </c>
      <c r="C82" s="9" t="s">
        <v>203</v>
      </c>
      <c r="D82" s="9" t="s">
        <v>125</v>
      </c>
      <c r="E82" s="9" t="s">
        <v>126</v>
      </c>
      <c r="F82" s="9" t="s">
        <v>204</v>
      </c>
    </row>
    <row r="83" customFormat="false" ht="15" hidden="false" customHeight="false" outlineLevel="0" collapsed="false">
      <c r="A83" s="9" t="s">
        <v>130</v>
      </c>
      <c r="B83" s="9" t="s">
        <v>206</v>
      </c>
      <c r="C83" s="9" t="s">
        <v>203</v>
      </c>
      <c r="D83" s="9" t="s">
        <v>125</v>
      </c>
      <c r="E83" s="9" t="s">
        <v>126</v>
      </c>
      <c r="F83" s="9" t="s">
        <v>204</v>
      </c>
    </row>
    <row r="84" customFormat="false" ht="15" hidden="false" customHeight="false" outlineLevel="0" collapsed="false">
      <c r="A84" s="9" t="s">
        <v>132</v>
      </c>
      <c r="B84" s="9" t="s">
        <v>207</v>
      </c>
      <c r="C84" s="9" t="s">
        <v>203</v>
      </c>
      <c r="D84" s="9" t="s">
        <v>125</v>
      </c>
      <c r="E84" s="9" t="s">
        <v>126</v>
      </c>
      <c r="F84" s="9" t="s">
        <v>204</v>
      </c>
    </row>
    <row r="85" customFormat="false" ht="15" hidden="false" customHeight="false" outlineLevel="0" collapsed="false">
      <c r="A85" s="9" t="s">
        <v>208</v>
      </c>
      <c r="B85" s="9" t="s">
        <v>209</v>
      </c>
      <c r="C85" s="9" t="s">
        <v>203</v>
      </c>
      <c r="D85" s="9" t="s">
        <v>125</v>
      </c>
      <c r="E85" s="9" t="s">
        <v>126</v>
      </c>
      <c r="F85" s="9" t="s">
        <v>204</v>
      </c>
    </row>
    <row r="86" customFormat="false" ht="15" hidden="false" customHeight="false" outlineLevel="0" collapsed="false">
      <c r="A86" s="9" t="s">
        <v>210</v>
      </c>
      <c r="B86" s="9" t="s">
        <v>211</v>
      </c>
      <c r="C86" s="9" t="s">
        <v>203</v>
      </c>
      <c r="D86" s="9" t="s">
        <v>125</v>
      </c>
      <c r="E86" s="9" t="s">
        <v>126</v>
      </c>
      <c r="F86" s="9" t="s">
        <v>204</v>
      </c>
    </row>
    <row r="87" customFormat="false" ht="15" hidden="false" customHeight="false" outlineLevel="0" collapsed="false">
      <c r="A87" s="9" t="s">
        <v>134</v>
      </c>
      <c r="B87" s="9" t="s">
        <v>212</v>
      </c>
      <c r="C87" s="9" t="s">
        <v>203</v>
      </c>
      <c r="D87" s="9" t="s">
        <v>136</v>
      </c>
      <c r="E87" s="9" t="s">
        <v>126</v>
      </c>
      <c r="F87" s="9" t="s">
        <v>204</v>
      </c>
    </row>
    <row r="88" customFormat="false" ht="15" hidden="false" customHeight="false" outlineLevel="0" collapsed="false">
      <c r="A88" s="9" t="s">
        <v>137</v>
      </c>
      <c r="B88" s="9" t="s">
        <v>213</v>
      </c>
      <c r="C88" s="9" t="s">
        <v>203</v>
      </c>
      <c r="D88" s="9" t="s">
        <v>136</v>
      </c>
      <c r="E88" s="9" t="s">
        <v>126</v>
      </c>
      <c r="F88" s="9" t="s">
        <v>204</v>
      </c>
    </row>
    <row r="89" customFormat="false" ht="15" hidden="false" customHeight="false" outlineLevel="0" collapsed="false">
      <c r="A89" s="9" t="s">
        <v>139</v>
      </c>
      <c r="B89" s="9" t="s">
        <v>214</v>
      </c>
      <c r="C89" s="9" t="s">
        <v>203</v>
      </c>
      <c r="D89" s="9" t="s">
        <v>141</v>
      </c>
      <c r="E89" s="9" t="s">
        <v>126</v>
      </c>
      <c r="F89" s="9" t="s">
        <v>204</v>
      </c>
    </row>
    <row r="90" customFormat="false" ht="15" hidden="false" customHeight="false" outlineLevel="0" collapsed="false">
      <c r="A90" s="9" t="s">
        <v>142</v>
      </c>
      <c r="B90" s="9" t="s">
        <v>215</v>
      </c>
      <c r="C90" s="9" t="s">
        <v>203</v>
      </c>
      <c r="D90" s="9" t="s">
        <v>141</v>
      </c>
      <c r="E90" s="9" t="s">
        <v>126</v>
      </c>
      <c r="F90" s="9" t="s">
        <v>204</v>
      </c>
    </row>
    <row r="91" customFormat="false" ht="15" hidden="false" customHeight="false" outlineLevel="0" collapsed="false">
      <c r="A91" s="9" t="s">
        <v>144</v>
      </c>
      <c r="B91" s="9" t="s">
        <v>216</v>
      </c>
      <c r="C91" s="9" t="s">
        <v>203</v>
      </c>
      <c r="D91" s="9" t="s">
        <v>141</v>
      </c>
      <c r="E91" s="9" t="s">
        <v>126</v>
      </c>
      <c r="F91" s="9" t="s">
        <v>204</v>
      </c>
    </row>
    <row r="92" customFormat="false" ht="15" hidden="false" customHeight="false" outlineLevel="0" collapsed="false">
      <c r="A92" s="9" t="s">
        <v>146</v>
      </c>
      <c r="B92" s="9" t="s">
        <v>217</v>
      </c>
      <c r="C92" s="9" t="s">
        <v>203</v>
      </c>
      <c r="D92" s="9" t="s">
        <v>141</v>
      </c>
      <c r="E92" s="9" t="s">
        <v>126</v>
      </c>
      <c r="F92" s="9" t="s">
        <v>204</v>
      </c>
    </row>
    <row r="93" customFormat="false" ht="15" hidden="false" customHeight="false" outlineLevel="0" collapsed="false">
      <c r="A93" s="9" t="s">
        <v>149</v>
      </c>
      <c r="B93" s="9" t="s">
        <v>218</v>
      </c>
      <c r="C93" s="9" t="s">
        <v>203</v>
      </c>
      <c r="D93" s="9" t="s">
        <v>141</v>
      </c>
      <c r="E93" s="9" t="s">
        <v>126</v>
      </c>
      <c r="F93" s="9" t="s">
        <v>204</v>
      </c>
    </row>
    <row r="94" customFormat="false" ht="15" hidden="false" customHeight="false" outlineLevel="0" collapsed="false">
      <c r="A94" s="9" t="s">
        <v>151</v>
      </c>
      <c r="B94" s="9" t="s">
        <v>219</v>
      </c>
      <c r="C94" s="9" t="s">
        <v>203</v>
      </c>
      <c r="D94" s="9" t="s">
        <v>141</v>
      </c>
      <c r="E94" s="9" t="s">
        <v>126</v>
      </c>
      <c r="F94" s="9" t="s">
        <v>204</v>
      </c>
    </row>
    <row r="95" customFormat="false" ht="15" hidden="false" customHeight="false" outlineLevel="0" collapsed="false">
      <c r="A95" s="9" t="s">
        <v>153</v>
      </c>
      <c r="B95" s="9" t="s">
        <v>220</v>
      </c>
      <c r="C95" s="9" t="s">
        <v>203</v>
      </c>
      <c r="D95" s="9" t="s">
        <v>141</v>
      </c>
      <c r="E95" s="9" t="s">
        <v>126</v>
      </c>
      <c r="F95" s="9" t="s">
        <v>204</v>
      </c>
    </row>
    <row r="96" customFormat="false" ht="15" hidden="false" customHeight="false" outlineLevel="0" collapsed="false">
      <c r="A96" s="9" t="s">
        <v>155</v>
      </c>
      <c r="B96" s="9" t="s">
        <v>221</v>
      </c>
      <c r="C96" s="9" t="s">
        <v>203</v>
      </c>
      <c r="D96" s="9" t="s">
        <v>141</v>
      </c>
      <c r="E96" s="9" t="s">
        <v>126</v>
      </c>
      <c r="F96" s="9" t="s">
        <v>204</v>
      </c>
    </row>
    <row r="97" customFormat="false" ht="15" hidden="false" customHeight="false" outlineLevel="0" collapsed="false">
      <c r="A97" s="9" t="s">
        <v>222</v>
      </c>
      <c r="B97" s="9" t="s">
        <v>223</v>
      </c>
      <c r="C97" s="9" t="s">
        <v>203</v>
      </c>
      <c r="D97" s="9" t="s">
        <v>141</v>
      </c>
      <c r="E97" s="9" t="s">
        <v>126</v>
      </c>
      <c r="F97" s="9" t="s">
        <v>204</v>
      </c>
    </row>
    <row r="98" customFormat="false" ht="15" hidden="false" customHeight="false" outlineLevel="0" collapsed="false">
      <c r="A98" s="9" t="s">
        <v>157</v>
      </c>
      <c r="B98" s="9" t="s">
        <v>224</v>
      </c>
      <c r="C98" s="9" t="s">
        <v>203</v>
      </c>
      <c r="D98" s="9" t="s">
        <v>159</v>
      </c>
      <c r="E98" s="9" t="s">
        <v>126</v>
      </c>
      <c r="F98" s="9" t="s">
        <v>204</v>
      </c>
    </row>
    <row r="99" customFormat="false" ht="15" hidden="false" customHeight="false" outlineLevel="0" collapsed="false">
      <c r="A99" s="9" t="s">
        <v>160</v>
      </c>
      <c r="B99" s="9" t="s">
        <v>225</v>
      </c>
      <c r="C99" s="9" t="s">
        <v>203</v>
      </c>
      <c r="D99" s="9" t="s">
        <v>159</v>
      </c>
      <c r="E99" s="9" t="s">
        <v>126</v>
      </c>
      <c r="F99" s="9" t="s">
        <v>204</v>
      </c>
    </row>
    <row r="100" customFormat="false" ht="15" hidden="false" customHeight="false" outlineLevel="0" collapsed="false">
      <c r="A100" s="9" t="s">
        <v>162</v>
      </c>
      <c r="B100" s="9" t="s">
        <v>226</v>
      </c>
      <c r="C100" s="9" t="s">
        <v>203</v>
      </c>
      <c r="D100" s="9" t="s">
        <v>159</v>
      </c>
      <c r="E100" s="9" t="s">
        <v>126</v>
      </c>
      <c r="F100" s="9" t="s">
        <v>204</v>
      </c>
    </row>
    <row r="101" customFormat="false" ht="15" hidden="false" customHeight="false" outlineLevel="0" collapsed="false">
      <c r="A101" s="9" t="s">
        <v>164</v>
      </c>
      <c r="B101" s="9" t="s">
        <v>227</v>
      </c>
      <c r="C101" s="9" t="s">
        <v>203</v>
      </c>
      <c r="D101" s="9" t="s">
        <v>159</v>
      </c>
      <c r="E101" s="9" t="s">
        <v>126</v>
      </c>
      <c r="F101" s="9" t="s">
        <v>204</v>
      </c>
    </row>
    <row r="102" customFormat="false" ht="15" hidden="false" customHeight="false" outlineLevel="0" collapsed="false">
      <c r="A102" s="9" t="s">
        <v>166</v>
      </c>
      <c r="B102" s="9" t="s">
        <v>228</v>
      </c>
      <c r="C102" s="9" t="s">
        <v>203</v>
      </c>
      <c r="D102" s="9" t="s">
        <v>159</v>
      </c>
      <c r="E102" s="9" t="s">
        <v>126</v>
      </c>
      <c r="F102" s="9" t="s">
        <v>204</v>
      </c>
    </row>
    <row r="103" customFormat="false" ht="15" hidden="false" customHeight="false" outlineLevel="0" collapsed="false">
      <c r="A103" s="9" t="s">
        <v>168</v>
      </c>
      <c r="B103" s="9" t="s">
        <v>229</v>
      </c>
      <c r="C103" s="9" t="s">
        <v>203</v>
      </c>
      <c r="D103" s="9" t="s">
        <v>170</v>
      </c>
      <c r="E103" s="9" t="s">
        <v>126</v>
      </c>
      <c r="F103" s="9" t="s">
        <v>204</v>
      </c>
    </row>
    <row r="104" customFormat="false" ht="15" hidden="false" customHeight="false" outlineLevel="0" collapsed="false">
      <c r="A104" s="9" t="s">
        <v>171</v>
      </c>
      <c r="B104" s="9" t="s">
        <v>172</v>
      </c>
      <c r="C104" s="9" t="s">
        <v>203</v>
      </c>
      <c r="D104" s="9" t="s">
        <v>170</v>
      </c>
      <c r="E104" s="9" t="s">
        <v>126</v>
      </c>
      <c r="F104" s="9" t="s">
        <v>204</v>
      </c>
    </row>
    <row r="105" customFormat="false" ht="15" hidden="false" customHeight="false" outlineLevel="0" collapsed="false">
      <c r="A105" s="9" t="s">
        <v>173</v>
      </c>
      <c r="B105" s="9" t="s">
        <v>174</v>
      </c>
      <c r="C105" s="9" t="s">
        <v>203</v>
      </c>
      <c r="D105" s="9" t="s">
        <v>170</v>
      </c>
      <c r="E105" s="9" t="s">
        <v>126</v>
      </c>
      <c r="F105" s="9" t="s">
        <v>204</v>
      </c>
    </row>
    <row r="106" customFormat="false" ht="15" hidden="false" customHeight="false" outlineLevel="0" collapsed="false">
      <c r="A106" s="9" t="s">
        <v>175</v>
      </c>
      <c r="B106" s="9" t="s">
        <v>176</v>
      </c>
      <c r="C106" s="9" t="s">
        <v>203</v>
      </c>
      <c r="D106" s="9" t="s">
        <v>170</v>
      </c>
      <c r="E106" s="9" t="s">
        <v>126</v>
      </c>
      <c r="F106" s="9" t="s">
        <v>204</v>
      </c>
    </row>
    <row r="107" customFormat="false" ht="15" hidden="false" customHeight="false" outlineLevel="0" collapsed="false">
      <c r="A107" s="9" t="s">
        <v>177</v>
      </c>
      <c r="B107" s="9" t="s">
        <v>178</v>
      </c>
      <c r="C107" s="9" t="s">
        <v>203</v>
      </c>
      <c r="D107" s="9" t="s">
        <v>170</v>
      </c>
      <c r="E107" s="9" t="s">
        <v>126</v>
      </c>
      <c r="F107" s="9" t="s">
        <v>204</v>
      </c>
    </row>
    <row r="108" customFormat="false" ht="15" hidden="false" customHeight="false" outlineLevel="0" collapsed="false">
      <c r="A108" s="9" t="s">
        <v>179</v>
      </c>
      <c r="B108" s="9" t="s">
        <v>230</v>
      </c>
      <c r="C108" s="9" t="s">
        <v>203</v>
      </c>
      <c r="D108" s="9" t="s">
        <v>170</v>
      </c>
      <c r="E108" s="9" t="s">
        <v>126</v>
      </c>
      <c r="F108" s="9" t="s">
        <v>204</v>
      </c>
    </row>
    <row r="109" customFormat="false" ht="15" hidden="false" customHeight="false" outlineLevel="0" collapsed="false">
      <c r="A109" s="9" t="s">
        <v>181</v>
      </c>
      <c r="B109" s="9" t="s">
        <v>231</v>
      </c>
      <c r="C109" s="9" t="s">
        <v>203</v>
      </c>
      <c r="D109" s="9" t="s">
        <v>170</v>
      </c>
      <c r="E109" s="9" t="s">
        <v>126</v>
      </c>
      <c r="F109" s="9" t="s">
        <v>204</v>
      </c>
    </row>
    <row r="110" customFormat="false" ht="15" hidden="false" customHeight="false" outlineLevel="0" collapsed="false">
      <c r="A110" s="9" t="s">
        <v>183</v>
      </c>
      <c r="B110" s="9" t="s">
        <v>232</v>
      </c>
      <c r="C110" s="9" t="s">
        <v>203</v>
      </c>
      <c r="D110" s="9" t="s">
        <v>170</v>
      </c>
      <c r="E110" s="9" t="s">
        <v>148</v>
      </c>
      <c r="F110" s="9" t="s">
        <v>204</v>
      </c>
    </row>
    <row r="111" customFormat="false" ht="15" hidden="false" customHeight="false" outlineLevel="0" collapsed="false">
      <c r="A111" s="9" t="s">
        <v>233</v>
      </c>
      <c r="B111" s="9" t="s">
        <v>234</v>
      </c>
      <c r="C111" s="9" t="s">
        <v>203</v>
      </c>
      <c r="D111" s="9" t="s">
        <v>170</v>
      </c>
      <c r="E111" s="9" t="s">
        <v>148</v>
      </c>
      <c r="F111" s="9" t="s">
        <v>204</v>
      </c>
    </row>
    <row r="112" customFormat="false" ht="15" hidden="false" customHeight="false" outlineLevel="0" collapsed="false">
      <c r="A112" s="9" t="s">
        <v>235</v>
      </c>
      <c r="B112" s="9" t="s">
        <v>184</v>
      </c>
      <c r="C112" s="9" t="s">
        <v>203</v>
      </c>
      <c r="D112" s="9" t="s">
        <v>170</v>
      </c>
      <c r="E112" s="9" t="s">
        <v>126</v>
      </c>
      <c r="F112" s="9" t="s">
        <v>204</v>
      </c>
    </row>
    <row r="113" customFormat="false" ht="15" hidden="false" customHeight="false" outlineLevel="0" collapsed="false">
      <c r="A113" s="9" t="s">
        <v>185</v>
      </c>
      <c r="B113" s="9" t="s">
        <v>186</v>
      </c>
      <c r="C113" s="9" t="s">
        <v>203</v>
      </c>
      <c r="D113" s="9" t="s">
        <v>187</v>
      </c>
      <c r="E113" s="9" t="s">
        <v>126</v>
      </c>
      <c r="F113" s="9" t="s">
        <v>204</v>
      </c>
    </row>
    <row r="114" customFormat="false" ht="15" hidden="false" customHeight="false" outlineLevel="0" collapsed="false">
      <c r="A114" s="9" t="s">
        <v>188</v>
      </c>
      <c r="B114" s="9" t="s">
        <v>236</v>
      </c>
      <c r="C114" s="9" t="s">
        <v>203</v>
      </c>
      <c r="D114" s="9" t="s">
        <v>187</v>
      </c>
      <c r="E114" s="9" t="s">
        <v>126</v>
      </c>
      <c r="F114" s="9" t="s">
        <v>204</v>
      </c>
    </row>
    <row r="115" customFormat="false" ht="15" hidden="false" customHeight="false" outlineLevel="0" collapsed="false">
      <c r="A115" s="9" t="s">
        <v>190</v>
      </c>
      <c r="B115" s="9" t="s">
        <v>189</v>
      </c>
      <c r="C115" s="9" t="s">
        <v>203</v>
      </c>
      <c r="D115" s="9" t="s">
        <v>187</v>
      </c>
      <c r="E115" s="9" t="s">
        <v>126</v>
      </c>
      <c r="F115" s="9" t="s">
        <v>204</v>
      </c>
    </row>
    <row r="116" customFormat="false" ht="15" hidden="false" customHeight="false" outlineLevel="0" collapsed="false">
      <c r="A116" s="9" t="s">
        <v>192</v>
      </c>
      <c r="B116" s="9" t="s">
        <v>193</v>
      </c>
      <c r="C116" s="9" t="s">
        <v>203</v>
      </c>
      <c r="D116" s="9" t="s">
        <v>194</v>
      </c>
      <c r="E116" s="9" t="s">
        <v>126</v>
      </c>
      <c r="F116" s="9" t="s">
        <v>204</v>
      </c>
    </row>
    <row r="117" customFormat="false" ht="15" hidden="false" customHeight="false" outlineLevel="0" collapsed="false">
      <c r="A117" s="9" t="s">
        <v>195</v>
      </c>
      <c r="B117" s="9" t="s">
        <v>237</v>
      </c>
      <c r="C117" s="9" t="s">
        <v>203</v>
      </c>
      <c r="D117" s="9" t="s">
        <v>194</v>
      </c>
      <c r="E117" s="9" t="s">
        <v>126</v>
      </c>
      <c r="F117" s="9" t="s">
        <v>204</v>
      </c>
    </row>
    <row r="118" customFormat="false" ht="15" hidden="false" customHeight="false" outlineLevel="0" collapsed="false">
      <c r="A118" s="9" t="s">
        <v>197</v>
      </c>
      <c r="B118" s="9" t="s">
        <v>198</v>
      </c>
      <c r="C118" s="9" t="s">
        <v>203</v>
      </c>
      <c r="D118" s="9" t="s">
        <v>194</v>
      </c>
      <c r="E118" s="9" t="s">
        <v>126</v>
      </c>
      <c r="F118" s="9" t="s">
        <v>204</v>
      </c>
    </row>
    <row r="119" customFormat="false" ht="15" hidden="false" customHeight="false" outlineLevel="0" collapsed="false">
      <c r="A119" s="9" t="s">
        <v>199</v>
      </c>
      <c r="B119" s="9" t="s">
        <v>238</v>
      </c>
      <c r="C119" s="9" t="s">
        <v>203</v>
      </c>
      <c r="D119" s="9" t="s">
        <v>201</v>
      </c>
      <c r="E119" s="9" t="s">
        <v>126</v>
      </c>
      <c r="F119" s="9" t="s">
        <v>204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26"/>
  </cols>
  <sheetData>
    <row r="1" customFormat="false" ht="18" hidden="false" customHeight="true" outlineLevel="0" collapsed="false">
      <c r="A1" s="10" t="s">
        <v>239</v>
      </c>
    </row>
    <row r="2" customFormat="false" ht="15" hidden="false" customHeight="true" outlineLevel="0" collapsed="false">
      <c r="A2" s="11" t="s">
        <v>240</v>
      </c>
    </row>
    <row r="3" customFormat="false" ht="15" hidden="false" customHeight="true" outlineLevel="0" collapsed="false">
      <c r="A3" s="12" t="s">
        <v>241</v>
      </c>
      <c r="B3" s="12"/>
    </row>
    <row r="5" customFormat="false" ht="15" hidden="false" customHeight="true" outlineLevel="0" collapsed="false">
      <c r="A5" s="1" t="s">
        <v>242</v>
      </c>
      <c r="B5" s="13"/>
    </row>
    <row r="6" customFormat="false" ht="15" hidden="false" customHeight="true" outlineLevel="0" collapsed="false">
      <c r="A6" s="1" t="s">
        <v>243</v>
      </c>
      <c r="B6" s="13"/>
    </row>
    <row r="8" customFormat="false" ht="15" hidden="false" customHeight="true" outlineLevel="0" collapsed="false">
      <c r="A8" s="1" t="s">
        <v>244</v>
      </c>
      <c r="B8" s="13" t="s">
        <v>245</v>
      </c>
    </row>
    <row r="9" customFormat="false" ht="15" hidden="false" customHeight="true" outlineLevel="0" collapsed="false">
      <c r="A9" s="1" t="s">
        <v>246</v>
      </c>
      <c r="B9" s="13" t="s">
        <v>247</v>
      </c>
    </row>
    <row r="11" customFormat="false" ht="15" hidden="false" customHeight="true" outlineLevel="0" collapsed="false">
      <c r="A11" s="12" t="s">
        <v>248</v>
      </c>
      <c r="B11" s="12"/>
    </row>
    <row r="13" customFormat="false" ht="15" hidden="false" customHeight="true" outlineLevel="0" collapsed="false">
      <c r="A13" s="1" t="s">
        <v>249</v>
      </c>
      <c r="B13" s="14" t="n">
        <v>60</v>
      </c>
    </row>
    <row r="14" customFormat="false" ht="15" hidden="false" customHeight="true" outlineLevel="0" collapsed="false">
      <c r="A14" s="1" t="s">
        <v>250</v>
      </c>
      <c r="B14" s="15"/>
    </row>
    <row r="15" customFormat="false" ht="15" hidden="false" customHeight="true" outlineLevel="0" collapsed="false">
      <c r="A15" s="1" t="s">
        <v>251</v>
      </c>
      <c r="B15" s="15" t="n">
        <v>0.27</v>
      </c>
    </row>
    <row r="16" customFormat="false" ht="15" hidden="false" customHeight="true" outlineLevel="0" collapsed="false">
      <c r="A16" s="16" t="s">
        <v>252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0.91"/>
  </cols>
  <sheetData>
    <row r="1" customFormat="false" ht="18" hidden="false" customHeight="true" outlineLevel="0" collapsed="false">
      <c r="A1" s="17" t="s">
        <v>253</v>
      </c>
    </row>
    <row r="3" customFormat="false" ht="15" hidden="false" customHeight="true" outlineLevel="0" collapsed="false">
      <c r="A3" s="18" t="s">
        <v>254</v>
      </c>
    </row>
    <row r="4" customFormat="false" ht="15" hidden="false" customHeight="true" outlineLevel="0" collapsed="false">
      <c r="A4" s="1" t="s">
        <v>255</v>
      </c>
      <c r="B4" s="19"/>
    </row>
    <row r="5" customFormat="false" ht="15" hidden="false" customHeight="true" outlineLevel="0" collapsed="false">
      <c r="A5" s="1" t="s">
        <v>256</v>
      </c>
      <c r="B5" s="19"/>
    </row>
    <row r="6" customFormat="false" ht="15" hidden="false" customHeight="true" outlineLevel="0" collapsed="false">
      <c r="A6" s="1" t="s">
        <v>257</v>
      </c>
      <c r="B6" s="19"/>
    </row>
    <row r="8" customFormat="false" ht="15" hidden="false" customHeight="true" outlineLevel="0" collapsed="false">
      <c r="A8" s="18" t="s">
        <v>258</v>
      </c>
    </row>
    <row r="9" customFormat="false" ht="15" hidden="false" customHeight="true" outlineLevel="0" collapsed="false">
      <c r="A9" s="1" t="s">
        <v>259</v>
      </c>
      <c r="B9" s="19"/>
    </row>
    <row r="10" customFormat="false" ht="15" hidden="false" customHeight="true" outlineLevel="0" collapsed="false">
      <c r="A10" s="1" t="s">
        <v>260</v>
      </c>
      <c r="B10" s="15"/>
    </row>
    <row r="12" customFormat="false" ht="15" hidden="false" customHeight="true" outlineLevel="0" collapsed="false">
      <c r="A12" s="18" t="s">
        <v>261</v>
      </c>
    </row>
    <row r="13" customFormat="false" ht="15" hidden="false" customHeight="true" outlineLevel="0" collapsed="false">
      <c r="A13" s="1" t="s">
        <v>262</v>
      </c>
      <c r="B13" s="15"/>
    </row>
    <row r="15" customFormat="false" ht="15" hidden="false" customHeight="true" outlineLevel="0" collapsed="false">
      <c r="A15" s="18" t="s">
        <v>263</v>
      </c>
    </row>
    <row r="16" customFormat="false" ht="15" hidden="false" customHeight="true" outlineLevel="0" collapsed="false">
      <c r="A16" s="1" t="s">
        <v>264</v>
      </c>
      <c r="B16" s="19"/>
    </row>
    <row r="17" customFormat="false" ht="15" hidden="false" customHeight="true" outlineLevel="0" collapsed="false">
      <c r="A17" s="1" t="s">
        <v>265</v>
      </c>
      <c r="B17" s="19"/>
    </row>
    <row r="18" customFormat="false" ht="15" hidden="false" customHeight="true" outlineLevel="0" collapsed="false">
      <c r="A18" s="1" t="s">
        <v>266</v>
      </c>
      <c r="B18" s="19"/>
    </row>
    <row r="19" customFormat="false" ht="15" hidden="false" customHeight="true" outlineLevel="0" collapsed="false">
      <c r="A19" s="1" t="s">
        <v>267</v>
      </c>
      <c r="B19" s="19"/>
    </row>
    <row r="20" customFormat="false" ht="15" hidden="false" customHeight="true" outlineLevel="0" collapsed="false">
      <c r="A20" s="1" t="s">
        <v>268</v>
      </c>
      <c r="B20" s="19"/>
    </row>
    <row r="22" customFormat="false" ht="15" hidden="false" customHeight="true" outlineLevel="0" collapsed="false">
      <c r="A22" s="18" t="s">
        <v>269</v>
      </c>
    </row>
    <row r="23" customFormat="false" ht="15" hidden="false" customHeight="true" outlineLevel="0" collapsed="false">
      <c r="A23" s="1" t="s">
        <v>270</v>
      </c>
      <c r="B23" s="13"/>
    </row>
    <row r="24" customFormat="false" ht="15" hidden="false" customHeight="true" outlineLevel="0" collapsed="false">
      <c r="A24" s="1" t="s">
        <v>271</v>
      </c>
      <c r="B24" s="13" t="s">
        <v>272</v>
      </c>
    </row>
    <row r="26" customFormat="false" ht="15" hidden="false" customHeight="true" outlineLevel="0" collapsed="false">
      <c r="A26" s="18" t="s">
        <v>273</v>
      </c>
    </row>
    <row r="27" customFormat="false" ht="15" hidden="false" customHeight="true" outlineLevel="0" collapsed="false">
      <c r="A27" s="1" t="s">
        <v>274</v>
      </c>
      <c r="B27" s="19"/>
    </row>
    <row r="28" customFormat="false" ht="15" hidden="false" customHeight="true" outlineLevel="0" collapsed="false">
      <c r="A28" s="1" t="s">
        <v>275</v>
      </c>
      <c r="B28" s="15"/>
    </row>
    <row r="29" customFormat="false" ht="15" hidden="false" customHeight="true" outlineLevel="0" collapsed="false">
      <c r="A29" s="1" t="s">
        <v>276</v>
      </c>
      <c r="B29" s="13"/>
    </row>
    <row r="31" customFormat="false" ht="15" hidden="false" customHeight="true" outlineLevel="0" collapsed="false">
      <c r="A31" s="18" t="s">
        <v>277</v>
      </c>
    </row>
    <row r="32" customFormat="false" ht="15" hidden="false" customHeight="true" outlineLevel="0" collapsed="false">
      <c r="A32" s="1" t="s">
        <v>278</v>
      </c>
      <c r="B32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3" min="2" style="1" width="18"/>
    <col collapsed="false" customWidth="true" hidden="false" outlineLevel="0" max="4" min="4" style="1" width="10"/>
    <col collapsed="false" customWidth="true" hidden="false" outlineLevel="0" max="5" min="5" style="1" width="60"/>
  </cols>
  <sheetData>
    <row r="1" customFormat="false" ht="18" hidden="false" customHeight="true" outlineLevel="0" collapsed="false">
      <c r="A1" s="10" t="s">
        <v>279</v>
      </c>
    </row>
    <row r="2" customFormat="false" ht="15" hidden="false" customHeight="true" outlineLevel="0" collapsed="false">
      <c r="A2" s="11" t="s">
        <v>280</v>
      </c>
    </row>
    <row r="4" customFormat="false" ht="15" hidden="false" customHeight="true" outlineLevel="0" collapsed="false">
      <c r="A4" s="20" t="s">
        <v>24</v>
      </c>
      <c r="B4" s="8" t="s">
        <v>281</v>
      </c>
      <c r="C4" s="8" t="s">
        <v>282</v>
      </c>
      <c r="D4" s="8" t="s">
        <v>23</v>
      </c>
      <c r="E4" s="8"/>
    </row>
    <row r="5" customFormat="false" ht="15" hidden="false" customHeight="true" outlineLevel="0" collapsed="false">
      <c r="A5" s="12" t="s">
        <v>283</v>
      </c>
      <c r="B5" s="12"/>
      <c r="C5" s="12"/>
      <c r="D5" s="12"/>
      <c r="E5" s="12"/>
    </row>
    <row r="6" customFormat="false" ht="15" hidden="false" customHeight="true" outlineLevel="0" collapsed="false">
      <c r="A6" s="1" t="s">
        <v>30</v>
      </c>
      <c r="B6" s="21"/>
      <c r="C6" s="21"/>
      <c r="D6" s="16" t="s">
        <v>29</v>
      </c>
    </row>
    <row r="7" customFormat="false" ht="15" hidden="false" customHeight="true" outlineLevel="0" collapsed="false">
      <c r="A7" s="1" t="s">
        <v>35</v>
      </c>
      <c r="B7" s="21"/>
      <c r="C7" s="21"/>
      <c r="D7" s="16" t="s">
        <v>34</v>
      </c>
    </row>
    <row r="8" customFormat="false" ht="15" hidden="false" customHeight="true" outlineLevel="0" collapsed="false">
      <c r="A8" s="1" t="s">
        <v>37</v>
      </c>
      <c r="B8" s="21"/>
      <c r="C8" s="21"/>
      <c r="D8" s="16" t="s">
        <v>36</v>
      </c>
    </row>
    <row r="9" customFormat="false" ht="15" hidden="false" customHeight="true" outlineLevel="0" collapsed="false">
      <c r="A9" s="1" t="s">
        <v>39</v>
      </c>
      <c r="B9" s="21"/>
      <c r="C9" s="21"/>
      <c r="D9" s="16" t="s">
        <v>38</v>
      </c>
    </row>
    <row r="10" customFormat="false" ht="15" hidden="false" customHeight="true" outlineLevel="0" collapsed="false">
      <c r="A10" s="1" t="s">
        <v>41</v>
      </c>
      <c r="B10" s="21"/>
      <c r="C10" s="21"/>
      <c r="D10" s="16" t="s">
        <v>40</v>
      </c>
    </row>
    <row r="11" customFormat="false" ht="15" hidden="false" customHeight="true" outlineLevel="0" collapsed="false">
      <c r="A11" s="1" t="s">
        <v>43</v>
      </c>
      <c r="B11" s="21"/>
      <c r="C11" s="21"/>
      <c r="D11" s="16" t="s">
        <v>42</v>
      </c>
    </row>
    <row r="12" customFormat="false" ht="15" hidden="false" customHeight="true" outlineLevel="0" collapsed="false">
      <c r="A12" s="1" t="s">
        <v>45</v>
      </c>
      <c r="B12" s="21"/>
      <c r="C12" s="21"/>
      <c r="D12" s="16" t="s">
        <v>44</v>
      </c>
    </row>
    <row r="13" customFormat="false" ht="15" hidden="false" customHeight="true" outlineLevel="0" collapsed="false">
      <c r="A13" s="1" t="s">
        <v>47</v>
      </c>
      <c r="B13" s="21"/>
      <c r="C13" s="21"/>
      <c r="D13" s="16" t="s">
        <v>46</v>
      </c>
    </row>
    <row r="14" customFormat="false" ht="15" hidden="false" customHeight="true" outlineLevel="0" collapsed="false">
      <c r="A14" s="1" t="s">
        <v>49</v>
      </c>
      <c r="B14" s="21"/>
      <c r="C14" s="21"/>
      <c r="D14" s="16" t="s">
        <v>48</v>
      </c>
    </row>
    <row r="15" customFormat="false" ht="15" hidden="false" customHeight="true" outlineLevel="0" collapsed="false">
      <c r="A15" s="1" t="s">
        <v>51</v>
      </c>
      <c r="B15" s="21"/>
      <c r="C15" s="21"/>
      <c r="D15" s="16" t="s">
        <v>50</v>
      </c>
    </row>
    <row r="16" customFormat="false" ht="15" hidden="false" customHeight="true" outlineLevel="0" collapsed="false">
      <c r="A16" s="1" t="s">
        <v>53</v>
      </c>
      <c r="B16" s="21"/>
      <c r="C16" s="21"/>
      <c r="D16" s="16" t="s">
        <v>52</v>
      </c>
    </row>
    <row r="17" customFormat="false" ht="15" hidden="false" customHeight="true" outlineLevel="0" collapsed="false">
      <c r="A17" s="1" t="s">
        <v>55</v>
      </c>
      <c r="B17" s="21"/>
      <c r="C17" s="21"/>
      <c r="D17" s="16" t="s">
        <v>54</v>
      </c>
    </row>
    <row r="18" customFormat="false" ht="15" hidden="false" customHeight="true" outlineLevel="0" collapsed="false">
      <c r="A18" s="22" t="s">
        <v>284</v>
      </c>
      <c r="B18" s="23" t="n">
        <f aca="false">SUM(B6:B17)</f>
        <v>0</v>
      </c>
      <c r="C18" s="23" t="n">
        <f aca="false">SUM(C6:C17)</f>
        <v>0</v>
      </c>
      <c r="D18" s="24"/>
      <c r="E18" s="24"/>
    </row>
    <row r="20" customFormat="false" ht="15" hidden="false" customHeight="true" outlineLevel="0" collapsed="false">
      <c r="A20" s="12" t="s">
        <v>285</v>
      </c>
      <c r="B20" s="12"/>
      <c r="C20" s="12"/>
      <c r="D20" s="12"/>
      <c r="E20" s="12"/>
    </row>
    <row r="21" customFormat="false" ht="15" hidden="false" customHeight="true" outlineLevel="0" collapsed="false">
      <c r="A21" s="1" t="s">
        <v>57</v>
      </c>
      <c r="B21" s="21"/>
      <c r="C21" s="21"/>
      <c r="D21" s="16" t="s">
        <v>56</v>
      </c>
    </row>
    <row r="22" customFormat="false" ht="15" hidden="false" customHeight="true" outlineLevel="0" collapsed="false">
      <c r="A22" s="1" t="s">
        <v>60</v>
      </c>
      <c r="B22" s="21"/>
      <c r="C22" s="21"/>
      <c r="D22" s="16" t="s">
        <v>59</v>
      </c>
    </row>
    <row r="23" customFormat="false" ht="15" hidden="false" customHeight="true" outlineLevel="0" collapsed="false">
      <c r="A23" s="1" t="s">
        <v>62</v>
      </c>
      <c r="B23" s="21"/>
      <c r="C23" s="21"/>
      <c r="D23" s="16" t="s">
        <v>61</v>
      </c>
    </row>
    <row r="24" customFormat="false" ht="15" hidden="false" customHeight="true" outlineLevel="0" collapsed="false">
      <c r="A24" s="1" t="s">
        <v>64</v>
      </c>
      <c r="B24" s="21"/>
      <c r="C24" s="21"/>
      <c r="D24" s="16" t="s">
        <v>63</v>
      </c>
    </row>
    <row r="25" customFormat="false" ht="15" hidden="false" customHeight="true" outlineLevel="0" collapsed="false">
      <c r="A25" s="1" t="s">
        <v>66</v>
      </c>
      <c r="B25" s="21"/>
      <c r="C25" s="21"/>
      <c r="D25" s="16" t="s">
        <v>65</v>
      </c>
    </row>
    <row r="26" customFormat="false" ht="15" hidden="false" customHeight="true" outlineLevel="0" collapsed="false">
      <c r="A26" s="1" t="s">
        <v>68</v>
      </c>
      <c r="B26" s="21"/>
      <c r="C26" s="21"/>
      <c r="D26" s="16" t="s">
        <v>67</v>
      </c>
    </row>
    <row r="27" customFormat="false" ht="15" hidden="false" customHeight="true" outlineLevel="0" collapsed="false">
      <c r="A27" s="1" t="s">
        <v>70</v>
      </c>
      <c r="B27" s="21"/>
      <c r="C27" s="21"/>
      <c r="D27" s="16" t="s">
        <v>69</v>
      </c>
    </row>
    <row r="28" customFormat="false" ht="15" hidden="false" customHeight="true" outlineLevel="0" collapsed="false">
      <c r="A28" s="1" t="s">
        <v>72</v>
      </c>
      <c r="B28" s="21"/>
      <c r="C28" s="21"/>
      <c r="D28" s="16" t="s">
        <v>71</v>
      </c>
    </row>
    <row r="29" customFormat="false" ht="15" hidden="false" customHeight="true" outlineLevel="0" collapsed="false">
      <c r="A29" s="1" t="s">
        <v>74</v>
      </c>
      <c r="B29" s="21"/>
      <c r="C29" s="21"/>
      <c r="D29" s="16" t="s">
        <v>73</v>
      </c>
    </row>
    <row r="30" customFormat="false" ht="15" hidden="false" customHeight="true" outlineLevel="0" collapsed="false">
      <c r="A30" s="1" t="s">
        <v>76</v>
      </c>
      <c r="B30" s="21"/>
      <c r="C30" s="21"/>
      <c r="D30" s="16" t="s">
        <v>75</v>
      </c>
    </row>
    <row r="31" customFormat="false" ht="15" hidden="false" customHeight="true" outlineLevel="0" collapsed="false">
      <c r="A31" s="22" t="s">
        <v>286</v>
      </c>
      <c r="B31" s="23" t="n">
        <f aca="false">SUM(B21:B30)</f>
        <v>0</v>
      </c>
      <c r="C31" s="23" t="n">
        <f aca="false">SUM(C21:C30)</f>
        <v>0</v>
      </c>
      <c r="D31" s="24"/>
      <c r="E31" s="24"/>
    </row>
    <row r="33" customFormat="false" ht="15" hidden="false" customHeight="true" outlineLevel="0" collapsed="false">
      <c r="A33" s="12" t="s">
        <v>287</v>
      </c>
      <c r="B33" s="12"/>
      <c r="C33" s="12"/>
      <c r="D33" s="12"/>
      <c r="E33" s="12"/>
    </row>
    <row r="34" customFormat="false" ht="15" hidden="false" customHeight="true" outlineLevel="0" collapsed="false">
      <c r="A34" s="1" t="s">
        <v>78</v>
      </c>
      <c r="B34" s="21"/>
      <c r="C34" s="21"/>
      <c r="D34" s="16" t="s">
        <v>77</v>
      </c>
    </row>
    <row r="35" customFormat="false" ht="15" hidden="false" customHeight="true" outlineLevel="0" collapsed="false">
      <c r="A35" s="1" t="s">
        <v>82</v>
      </c>
      <c r="B35" s="21"/>
      <c r="C35" s="21"/>
      <c r="D35" s="16" t="s">
        <v>81</v>
      </c>
    </row>
    <row r="36" customFormat="false" ht="15" hidden="false" customHeight="true" outlineLevel="0" collapsed="false">
      <c r="A36" s="1" t="s">
        <v>84</v>
      </c>
      <c r="B36" s="21"/>
      <c r="C36" s="21"/>
      <c r="D36" s="16" t="s">
        <v>83</v>
      </c>
    </row>
    <row r="37" customFormat="false" ht="15" hidden="false" customHeight="true" outlineLevel="0" collapsed="false">
      <c r="A37" s="1" t="s">
        <v>86</v>
      </c>
      <c r="B37" s="21"/>
      <c r="C37" s="21"/>
      <c r="D37" s="16" t="s">
        <v>85</v>
      </c>
    </row>
    <row r="38" customFormat="false" ht="15" hidden="false" customHeight="true" outlineLevel="0" collapsed="false">
      <c r="A38" s="1" t="s">
        <v>88</v>
      </c>
      <c r="B38" s="21"/>
      <c r="C38" s="21"/>
      <c r="D38" s="16" t="s">
        <v>87</v>
      </c>
    </row>
    <row r="39" customFormat="false" ht="15" hidden="false" customHeight="true" outlineLevel="0" collapsed="false">
      <c r="A39" s="1" t="s">
        <v>90</v>
      </c>
      <c r="B39" s="21"/>
      <c r="C39" s="21"/>
      <c r="D39" s="16" t="s">
        <v>89</v>
      </c>
    </row>
    <row r="40" customFormat="false" ht="15" hidden="false" customHeight="true" outlineLevel="0" collapsed="false">
      <c r="A40" s="1" t="s">
        <v>92</v>
      </c>
      <c r="B40" s="21"/>
      <c r="C40" s="21"/>
      <c r="D40" s="16" t="s">
        <v>91</v>
      </c>
    </row>
    <row r="41" customFormat="false" ht="15" hidden="false" customHeight="true" outlineLevel="0" collapsed="false">
      <c r="A41" s="1" t="s">
        <v>94</v>
      </c>
      <c r="B41" s="21"/>
      <c r="C41" s="21"/>
      <c r="D41" s="16" t="s">
        <v>93</v>
      </c>
    </row>
    <row r="42" customFormat="false" ht="15" hidden="false" customHeight="true" outlineLevel="0" collapsed="false">
      <c r="A42" s="1" t="s">
        <v>96</v>
      </c>
      <c r="B42" s="21"/>
      <c r="C42" s="21"/>
      <c r="D42" s="16" t="s">
        <v>95</v>
      </c>
    </row>
    <row r="43" customFormat="false" ht="15" hidden="false" customHeight="true" outlineLevel="0" collapsed="false">
      <c r="A43" s="1" t="s">
        <v>98</v>
      </c>
      <c r="B43" s="21"/>
      <c r="C43" s="21"/>
      <c r="D43" s="16" t="s">
        <v>97</v>
      </c>
    </row>
    <row r="44" customFormat="false" ht="15" hidden="false" customHeight="true" outlineLevel="0" collapsed="false">
      <c r="A44" s="1" t="s">
        <v>100</v>
      </c>
      <c r="B44" s="21"/>
      <c r="C44" s="21"/>
      <c r="D44" s="16" t="s">
        <v>99</v>
      </c>
    </row>
    <row r="45" customFormat="false" ht="15" hidden="false" customHeight="true" outlineLevel="0" collapsed="false">
      <c r="A45" s="22" t="s">
        <v>288</v>
      </c>
      <c r="B45" s="23" t="n">
        <f aca="false">SUM(B34:B44)</f>
        <v>0</v>
      </c>
      <c r="C45" s="23" t="n">
        <f aca="false">SUM(C34:C44)</f>
        <v>0</v>
      </c>
      <c r="D45" s="24"/>
      <c r="E45" s="24"/>
    </row>
    <row r="47" customFormat="false" ht="15" hidden="false" customHeight="true" outlineLevel="0" collapsed="false">
      <c r="A47" s="12" t="s">
        <v>289</v>
      </c>
      <c r="B47" s="12"/>
      <c r="C47" s="12"/>
      <c r="D47" s="12"/>
      <c r="E47" s="12"/>
    </row>
    <row r="48" customFormat="false" ht="15" hidden="false" customHeight="true" outlineLevel="0" collapsed="false">
      <c r="A48" s="1" t="s">
        <v>102</v>
      </c>
      <c r="B48" s="21"/>
      <c r="C48" s="21"/>
      <c r="D48" s="16" t="s">
        <v>101</v>
      </c>
    </row>
    <row r="49" customFormat="false" ht="15" hidden="false" customHeight="true" outlineLevel="0" collapsed="false">
      <c r="A49" s="1" t="s">
        <v>105</v>
      </c>
      <c r="B49" s="21"/>
      <c r="C49" s="21"/>
      <c r="D49" s="16" t="s">
        <v>104</v>
      </c>
    </row>
    <row r="50" customFormat="false" ht="15" hidden="false" customHeight="true" outlineLevel="0" collapsed="false">
      <c r="A50" s="1" t="s">
        <v>107</v>
      </c>
      <c r="B50" s="21"/>
      <c r="C50" s="21"/>
      <c r="D50" s="16" t="s">
        <v>106</v>
      </c>
    </row>
    <row r="51" customFormat="false" ht="15" hidden="false" customHeight="true" outlineLevel="0" collapsed="false">
      <c r="A51" s="1" t="s">
        <v>109</v>
      </c>
      <c r="B51" s="21"/>
      <c r="C51" s="21"/>
      <c r="D51" s="16" t="s">
        <v>108</v>
      </c>
    </row>
    <row r="52" customFormat="false" ht="15" hidden="false" customHeight="true" outlineLevel="0" collapsed="false">
      <c r="A52" s="22" t="s">
        <v>290</v>
      </c>
      <c r="B52" s="23" t="n">
        <f aca="false">SUM(B48:B51)</f>
        <v>0</v>
      </c>
      <c r="C52" s="23" t="n">
        <f aca="false">SUM(C48:C51)</f>
        <v>0</v>
      </c>
      <c r="D52" s="24"/>
      <c r="E52" s="24"/>
    </row>
    <row r="54" customFormat="false" ht="15" hidden="false" customHeight="true" outlineLevel="0" collapsed="false">
      <c r="A54" s="12" t="s">
        <v>291</v>
      </c>
      <c r="B54" s="12"/>
      <c r="C54" s="12"/>
      <c r="D54" s="12"/>
      <c r="E54" s="12"/>
    </row>
    <row r="55" customFormat="false" ht="15" hidden="false" customHeight="true" outlineLevel="0" collapsed="false">
      <c r="A55" s="1" t="s">
        <v>111</v>
      </c>
      <c r="B55" s="21"/>
      <c r="C55" s="21"/>
      <c r="D55" s="16" t="s">
        <v>110</v>
      </c>
    </row>
    <row r="56" customFormat="false" ht="15" hidden="false" customHeight="true" outlineLevel="0" collapsed="false">
      <c r="A56" s="1" t="s">
        <v>115</v>
      </c>
      <c r="B56" s="21"/>
      <c r="C56" s="21"/>
      <c r="D56" s="16" t="s">
        <v>114</v>
      </c>
    </row>
    <row r="57" customFormat="false" ht="15" hidden="false" customHeight="true" outlineLevel="0" collapsed="false">
      <c r="A57" s="1" t="s">
        <v>117</v>
      </c>
      <c r="B57" s="21"/>
      <c r="C57" s="21"/>
      <c r="D57" s="16" t="s">
        <v>116</v>
      </c>
    </row>
    <row r="58" customFormat="false" ht="15" hidden="false" customHeight="true" outlineLevel="0" collapsed="false">
      <c r="A58" s="1" t="s">
        <v>119</v>
      </c>
      <c r="B58" s="21"/>
      <c r="C58" s="21"/>
      <c r="D58" s="16" t="s">
        <v>118</v>
      </c>
    </row>
    <row r="59" customFormat="false" ht="15" hidden="false" customHeight="true" outlineLevel="0" collapsed="false">
      <c r="A59" s="1" t="s">
        <v>121</v>
      </c>
      <c r="B59" s="21"/>
      <c r="C59" s="21"/>
      <c r="D59" s="16" t="s">
        <v>120</v>
      </c>
    </row>
    <row r="60" customFormat="false" ht="15" hidden="false" customHeight="true" outlineLevel="0" collapsed="false">
      <c r="A60" s="22" t="s">
        <v>292</v>
      </c>
      <c r="B60" s="23" t="n">
        <f aca="false">SUM(B55:B59)</f>
        <v>0</v>
      </c>
      <c r="C60" s="23" t="n">
        <f aca="false">SUM(C55:C59)</f>
        <v>0</v>
      </c>
      <c r="D60" s="24"/>
      <c r="E60" s="24"/>
    </row>
    <row r="62" customFormat="false" ht="15" hidden="false" customHeight="true" outlineLevel="0" collapsed="false">
      <c r="A62" s="25" t="s">
        <v>293</v>
      </c>
      <c r="B62" s="26" t="n">
        <f aca="false">(N(B6)+N(B7)+N(B8)+N(B9)+N(B10)+N(B11)+-N(B12)+N(B13)+N(B14)+N(B15)+N(B16)+N(B17)+N(B21)+N(B22)+N(B23)+N(B24)+N(B25)+N(B26)+-N(B27)+N(B28)+N(B29)+N(B30))-(N(B34)+N(B35)+N(B36)+N(B37)+N(B38)+N(B39)+N(B40)+N(B41)+N(B42)+N(B43)+N(B44)+N(B48)+N(B49)+N(B50)+N(B51))-(N(B55)+N(B56)+N(B57)+N(B58)+-N(B59))</f>
        <v>0</v>
      </c>
      <c r="C62" s="26" t="n">
        <f aca="false">(N(C6)+N(C7)+N(C8)+N(C9)+N(C10)+N(C11)+-N(C12)+N(C13)+N(C14)+N(C15)+N(C16)+N(C17)+N(C21)+N(C22)+N(C23)+N(C24)+N(C25)+N(C26)+-N(C27)+N(C28)+N(C29)+N(C30))-(N(C34)+N(C35)+N(C36)+N(C37)+N(C38)+N(C39)+N(C40)+N(C41)+N(C42)+N(C43)+N(C44)+N(C48)+N(C49)+N(C50)+N(C51))-(N(C55)+N(C56)+N(C57)+N(C58)+-N(C59))</f>
        <v>0</v>
      </c>
    </row>
    <row r="63" customFormat="false" ht="15" hidden="false" customHeight="true" outlineLevel="0" collapsed="false">
      <c r="A63" s="16" t="s">
        <v>294</v>
      </c>
    </row>
    <row r="65" customFormat="false" ht="15" hidden="false" customHeight="true" outlineLevel="0" collapsed="false">
      <c r="A65" s="12" t="s">
        <v>295</v>
      </c>
      <c r="B65" s="12"/>
      <c r="C65" s="12"/>
      <c r="D65" s="12"/>
      <c r="E65" s="12"/>
    </row>
    <row r="66" customFormat="false" ht="15" hidden="false" customHeight="true" outlineLevel="0" collapsed="false">
      <c r="A66" s="1" t="s">
        <v>296</v>
      </c>
      <c r="B66" s="14"/>
      <c r="E66" s="16" t="s">
        <v>297</v>
      </c>
    </row>
    <row r="67" customFormat="false" ht="15" hidden="false" customHeight="true" outlineLevel="0" collapsed="false">
      <c r="A67" s="1" t="s">
        <v>298</v>
      </c>
      <c r="B67" s="14"/>
      <c r="E67" s="16" t="s">
        <v>299</v>
      </c>
    </row>
    <row r="68" customFormat="false" ht="15" hidden="false" customHeight="true" outlineLevel="0" collapsed="false">
      <c r="A68" s="1" t="s">
        <v>300</v>
      </c>
      <c r="B68" s="14"/>
      <c r="E68" s="16" t="s">
        <v>301</v>
      </c>
    </row>
    <row r="69" customFormat="false" ht="15" hidden="false" customHeight="true" outlineLevel="0" collapsed="false">
      <c r="A69" s="1" t="s">
        <v>302</v>
      </c>
      <c r="B69" s="15"/>
      <c r="E69" s="16" t="s">
        <v>303</v>
      </c>
    </row>
    <row r="70" customFormat="false" ht="15" hidden="false" customHeight="true" outlineLevel="0" collapsed="false">
      <c r="A70" s="1" t="s">
        <v>304</v>
      </c>
      <c r="B70" s="27"/>
      <c r="E70" s="16" t="s">
        <v>305</v>
      </c>
    </row>
    <row r="71" customFormat="false" ht="15" hidden="false" customHeight="true" outlineLevel="0" collapsed="false">
      <c r="A71" s="1" t="s">
        <v>306</v>
      </c>
      <c r="B71" s="15"/>
      <c r="E71" s="16" t="s">
        <v>307</v>
      </c>
    </row>
    <row r="72" customFormat="false" ht="15" hidden="false" customHeight="true" outlineLevel="0" collapsed="false">
      <c r="A72" s="1" t="s">
        <v>308</v>
      </c>
      <c r="B72" s="15"/>
      <c r="E72" s="16" t="s">
        <v>309</v>
      </c>
    </row>
    <row r="73" customFormat="false" ht="15" hidden="false" customHeight="true" outlineLevel="0" collapsed="false">
      <c r="A73" s="1" t="s">
        <v>310</v>
      </c>
      <c r="B73" s="15"/>
      <c r="E73" s="16" t="s">
        <v>311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14" min="2" style="1" width="13"/>
  </cols>
  <sheetData>
    <row r="1" customFormat="false" ht="18" hidden="false" customHeight="true" outlineLevel="0" collapsed="false">
      <c r="A1" s="10" t="s">
        <v>312</v>
      </c>
    </row>
    <row r="2" customFormat="false" ht="15" hidden="false" customHeight="true" outlineLevel="0" collapsed="false">
      <c r="A2" s="11" t="s">
        <v>313</v>
      </c>
    </row>
    <row r="3" customFormat="false" ht="15" hidden="false" customHeight="true" outlineLevel="0" collapsed="false">
      <c r="A3" s="20" t="s">
        <v>314</v>
      </c>
      <c r="B3" s="8" t="s">
        <v>315</v>
      </c>
      <c r="C3" s="8" t="s">
        <v>316</v>
      </c>
      <c r="D3" s="8" t="s">
        <v>317</v>
      </c>
      <c r="E3" s="8" t="s">
        <v>318</v>
      </c>
      <c r="F3" s="8" t="s">
        <v>319</v>
      </c>
      <c r="G3" s="8" t="s">
        <v>320</v>
      </c>
      <c r="H3" s="8" t="s">
        <v>321</v>
      </c>
      <c r="I3" s="8" t="s">
        <v>322</v>
      </c>
      <c r="J3" s="8" t="s">
        <v>323</v>
      </c>
      <c r="K3" s="8" t="s">
        <v>324</v>
      </c>
      <c r="L3" s="8" t="s">
        <v>325</v>
      </c>
      <c r="M3" s="8" t="s">
        <v>326</v>
      </c>
      <c r="N3" s="8" t="s">
        <v>327</v>
      </c>
    </row>
    <row r="4" customFormat="false" ht="15" hidden="false" customHeight="true" outlineLevel="0" collapsed="false">
      <c r="A4" s="12" t="s">
        <v>328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customFormat="false" ht="15" hidden="false" customHeight="true" outlineLevel="0" collapsed="false">
      <c r="A5" s="1" t="s">
        <v>329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8" t="n">
        <f aca="false">SUM(B5:M5)</f>
        <v>0</v>
      </c>
    </row>
    <row r="6" customFormat="false" ht="15" hidden="false" customHeight="true" outlineLevel="0" collapsed="false">
      <c r="A6" s="1" t="s">
        <v>330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8" t="n">
        <f aca="false">SUM(B6:M6)</f>
        <v>0</v>
      </c>
    </row>
    <row r="7" customFormat="false" ht="15" hidden="false" customHeight="true" outlineLevel="0" collapsed="false">
      <c r="A7" s="1" t="s">
        <v>331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8" t="n">
        <f aca="false">SUM(B7:M7)</f>
        <v>0</v>
      </c>
    </row>
    <row r="8" customFormat="false" ht="15" hidden="false" customHeight="true" outlineLevel="0" collapsed="false">
      <c r="A8" s="1" t="s">
        <v>332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8" t="n">
        <f aca="false">SUM(B8:M8)</f>
        <v>0</v>
      </c>
    </row>
    <row r="9" customFormat="false" ht="15" hidden="false" customHeight="true" outlineLevel="0" collapsed="false">
      <c r="A9" s="1" t="s">
        <v>333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8" t="n">
        <f aca="false">SUM(B9:M9)</f>
        <v>0</v>
      </c>
    </row>
    <row r="10" customFormat="false" ht="15" hidden="false" customHeight="true" outlineLevel="0" collapsed="false">
      <c r="A10" s="1" t="s">
        <v>334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8" t="n">
        <f aca="false">SUM(B10:M10)</f>
        <v>0</v>
      </c>
    </row>
    <row r="11" customFormat="false" ht="15" hidden="false" customHeight="true" outlineLevel="0" collapsed="false">
      <c r="A11" s="22" t="s">
        <v>335</v>
      </c>
      <c r="B11" s="23" t="n">
        <f aca="false">SUM(B5:B10)</f>
        <v>0</v>
      </c>
      <c r="C11" s="23" t="n">
        <f aca="false">SUM(C5:C10)</f>
        <v>0</v>
      </c>
      <c r="D11" s="23" t="n">
        <f aca="false">SUM(D5:D10)</f>
        <v>0</v>
      </c>
      <c r="E11" s="23" t="n">
        <f aca="false">SUM(E5:E10)</f>
        <v>0</v>
      </c>
      <c r="F11" s="23" t="n">
        <f aca="false">SUM(F5:F10)</f>
        <v>0</v>
      </c>
      <c r="G11" s="23" t="n">
        <f aca="false">SUM(G5:G10)</f>
        <v>0</v>
      </c>
      <c r="H11" s="23" t="n">
        <f aca="false">SUM(H5:H10)</f>
        <v>0</v>
      </c>
      <c r="I11" s="23" t="n">
        <f aca="false">SUM(I5:I10)</f>
        <v>0</v>
      </c>
      <c r="J11" s="23" t="n">
        <f aca="false">SUM(J5:J10)</f>
        <v>0</v>
      </c>
      <c r="K11" s="23" t="n">
        <f aca="false">SUM(K5:K10)</f>
        <v>0</v>
      </c>
      <c r="L11" s="23" t="n">
        <f aca="false">SUM(L5:L10)</f>
        <v>0</v>
      </c>
      <c r="M11" s="23" t="n">
        <f aca="false">SUM(M5:M10)</f>
        <v>0</v>
      </c>
      <c r="N11" s="23" t="n">
        <f aca="false">SUM(B11:M11)</f>
        <v>0</v>
      </c>
    </row>
    <row r="12" customFormat="false" ht="15" hidden="false" customHeight="true" outlineLevel="0" collapsed="false">
      <c r="A12" s="12" t="s">
        <v>336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customFormat="false" ht="15" hidden="false" customHeight="true" outlineLevel="0" collapsed="false">
      <c r="A13" s="1" t="s">
        <v>337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8" t="n">
        <f aca="false">SUM(B13:M13)</f>
        <v>0</v>
      </c>
    </row>
    <row r="14" customFormat="false" ht="15" hidden="false" customHeight="true" outlineLevel="0" collapsed="false">
      <c r="A14" s="1" t="s">
        <v>338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8" t="n">
        <f aca="false">SUM(B14:M14)</f>
        <v>0</v>
      </c>
    </row>
    <row r="15" customFormat="false" ht="15" hidden="false" customHeight="true" outlineLevel="0" collapsed="false">
      <c r="A15" s="1" t="s">
        <v>339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8" t="n">
        <f aca="false">SUM(B15:M15)</f>
        <v>0</v>
      </c>
    </row>
    <row r="16" customFormat="false" ht="15" hidden="false" customHeight="true" outlineLevel="0" collapsed="false">
      <c r="A16" s="22" t="s">
        <v>340</v>
      </c>
      <c r="B16" s="23" t="n">
        <f aca="false">SUM(B13:B15)</f>
        <v>0</v>
      </c>
      <c r="C16" s="23" t="n">
        <f aca="false">SUM(C13:C15)</f>
        <v>0</v>
      </c>
      <c r="D16" s="23" t="n">
        <f aca="false">SUM(D13:D15)</f>
        <v>0</v>
      </c>
      <c r="E16" s="23" t="n">
        <f aca="false">SUM(E13:E15)</f>
        <v>0</v>
      </c>
      <c r="F16" s="23" t="n">
        <f aca="false">SUM(F13:F15)</f>
        <v>0</v>
      </c>
      <c r="G16" s="23" t="n">
        <f aca="false">SUM(G13:G15)</f>
        <v>0</v>
      </c>
      <c r="H16" s="23" t="n">
        <f aca="false">SUM(H13:H15)</f>
        <v>0</v>
      </c>
      <c r="I16" s="23" t="n">
        <f aca="false">SUM(I13:I15)</f>
        <v>0</v>
      </c>
      <c r="J16" s="23" t="n">
        <f aca="false">SUM(J13:J15)</f>
        <v>0</v>
      </c>
      <c r="K16" s="23" t="n">
        <f aca="false">SUM(K13:K15)</f>
        <v>0</v>
      </c>
      <c r="L16" s="23" t="n">
        <f aca="false">SUM(L13:L15)</f>
        <v>0</v>
      </c>
      <c r="M16" s="23" t="n">
        <f aca="false">SUM(M13:M15)</f>
        <v>0</v>
      </c>
      <c r="N16" s="23" t="n">
        <f aca="false">SUM(B16:M16)</f>
        <v>0</v>
      </c>
    </row>
    <row r="17" customFormat="false" ht="15" hidden="false" customHeight="true" outlineLevel="0" collapsed="false">
      <c r="A17" s="12" t="s">
        <v>341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</row>
    <row r="18" customFormat="false" ht="15" hidden="false" customHeight="true" outlineLevel="0" collapsed="false">
      <c r="A18" s="1" t="s">
        <v>342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8" t="n">
        <f aca="false">SUM(B18:M18)</f>
        <v>0</v>
      </c>
    </row>
    <row r="19" customFormat="false" ht="15" hidden="false" customHeight="true" outlineLevel="0" collapsed="false">
      <c r="A19" s="1" t="s">
        <v>343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8" t="n">
        <f aca="false">SUM(B19:M19)</f>
        <v>0</v>
      </c>
    </row>
    <row r="20" customFormat="false" ht="15" hidden="false" customHeight="true" outlineLevel="0" collapsed="false">
      <c r="A20" s="1" t="s">
        <v>344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8" t="n">
        <f aca="false">SUM(B20:M20)</f>
        <v>0</v>
      </c>
    </row>
    <row r="21" customFormat="false" ht="15" hidden="false" customHeight="true" outlineLevel="0" collapsed="false">
      <c r="A21" s="1" t="s">
        <v>345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8" t="n">
        <f aca="false">SUM(B21:M21)</f>
        <v>0</v>
      </c>
    </row>
    <row r="22" customFormat="false" ht="15" hidden="false" customHeight="true" outlineLevel="0" collapsed="false">
      <c r="A22" s="22" t="s">
        <v>346</v>
      </c>
      <c r="B22" s="23" t="n">
        <f aca="false">SUM(B18:B21)</f>
        <v>0</v>
      </c>
      <c r="C22" s="23" t="n">
        <f aca="false">SUM(C18:C21)</f>
        <v>0</v>
      </c>
      <c r="D22" s="23" t="n">
        <f aca="false">SUM(D18:D21)</f>
        <v>0</v>
      </c>
      <c r="E22" s="23" t="n">
        <f aca="false">SUM(E18:E21)</f>
        <v>0</v>
      </c>
      <c r="F22" s="23" t="n">
        <f aca="false">SUM(F18:F21)</f>
        <v>0</v>
      </c>
      <c r="G22" s="23" t="n">
        <f aca="false">SUM(G18:G21)</f>
        <v>0</v>
      </c>
      <c r="H22" s="23" t="n">
        <f aca="false">SUM(H18:H21)</f>
        <v>0</v>
      </c>
      <c r="I22" s="23" t="n">
        <f aca="false">SUM(I18:I21)</f>
        <v>0</v>
      </c>
      <c r="J22" s="23" t="n">
        <f aca="false">SUM(J18:J21)</f>
        <v>0</v>
      </c>
      <c r="K22" s="23" t="n">
        <f aca="false">SUM(K18:K21)</f>
        <v>0</v>
      </c>
      <c r="L22" s="23" t="n">
        <f aca="false">SUM(L18:L21)</f>
        <v>0</v>
      </c>
      <c r="M22" s="23" t="n">
        <f aca="false">SUM(M18:M21)</f>
        <v>0</v>
      </c>
      <c r="N22" s="23" t="n">
        <f aca="false">SUM(B22:M22)</f>
        <v>0</v>
      </c>
    </row>
    <row r="23" customFormat="false" ht="15" hidden="false" customHeight="true" outlineLevel="0" collapsed="false">
      <c r="A23" s="22" t="s">
        <v>347</v>
      </c>
      <c r="B23" s="23" t="n">
        <f aca="false">B11+B16+B22</f>
        <v>0</v>
      </c>
      <c r="C23" s="23" t="n">
        <f aca="false">C11+C16+C22</f>
        <v>0</v>
      </c>
      <c r="D23" s="23" t="n">
        <f aca="false">D11+D16+D22</f>
        <v>0</v>
      </c>
      <c r="E23" s="23" t="n">
        <f aca="false">E11+E16+E22</f>
        <v>0</v>
      </c>
      <c r="F23" s="23" t="n">
        <f aca="false">F11+F16+F22</f>
        <v>0</v>
      </c>
      <c r="G23" s="23" t="n">
        <f aca="false">G11+G16+G22</f>
        <v>0</v>
      </c>
      <c r="H23" s="23" t="n">
        <f aca="false">H11+H16+H22</f>
        <v>0</v>
      </c>
      <c r="I23" s="23" t="n">
        <f aca="false">I11+I16+I22</f>
        <v>0</v>
      </c>
      <c r="J23" s="23" t="n">
        <f aca="false">J11+J16+J22</f>
        <v>0</v>
      </c>
      <c r="K23" s="23" t="n">
        <f aca="false">K11+K16+K22</f>
        <v>0</v>
      </c>
      <c r="L23" s="23" t="n">
        <f aca="false">L11+L16+L22</f>
        <v>0</v>
      </c>
      <c r="M23" s="23" t="n">
        <f aca="false">M11+M16+M22</f>
        <v>0</v>
      </c>
      <c r="N23" s="23" t="n">
        <f aca="false">SUM(B23:M23)</f>
        <v>0</v>
      </c>
    </row>
    <row r="24" customFormat="false" ht="15" hidden="false" customHeight="true" outlineLevel="0" collapsed="false">
      <c r="A24" s="1" t="s">
        <v>348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8"/>
    </row>
    <row r="25" customFormat="false" ht="15" hidden="false" customHeight="true" outlineLevel="0" collapsed="false">
      <c r="A25" s="1" t="s">
        <v>349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8"/>
    </row>
    <row r="26" customFormat="false" ht="15" hidden="false" customHeight="true" outlineLevel="0" collapsed="false">
      <c r="A26" s="12" t="s">
        <v>350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customFormat="false" ht="15" hidden="false" customHeight="true" outlineLevel="0" collapsed="false">
      <c r="A27" s="1" t="s">
        <v>351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8" t="n">
        <f aca="false">SUM(B27:M27)</f>
        <v>0</v>
      </c>
    </row>
    <row r="28" customFormat="false" ht="15" hidden="false" customHeight="true" outlineLevel="0" collapsed="false">
      <c r="A28" s="1" t="s">
        <v>352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8" t="n">
        <f aca="false">SUM(B28:M28)</f>
        <v>0</v>
      </c>
    </row>
    <row r="29" customFormat="false" ht="15" hidden="false" customHeight="true" outlineLevel="0" collapsed="false">
      <c r="A29" s="1" t="s">
        <v>353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8" t="n">
        <f aca="false">SUM(B29:M29)</f>
        <v>0</v>
      </c>
    </row>
    <row r="30" customFormat="false" ht="15" hidden="false" customHeight="true" outlineLevel="0" collapsed="false">
      <c r="A30" s="1" t="s">
        <v>354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8" t="n">
        <f aca="false">SUM(B30:M30)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8"/>
    <col collapsed="false" customWidth="true" hidden="false" outlineLevel="0" max="3" min="3" style="1" width="70"/>
  </cols>
  <sheetData>
    <row r="1" customFormat="false" ht="18" hidden="false" customHeight="true" outlineLevel="0" collapsed="false">
      <c r="A1" s="10" t="s">
        <v>355</v>
      </c>
    </row>
    <row r="2" customFormat="false" ht="15" hidden="false" customHeight="true" outlineLevel="0" collapsed="false">
      <c r="A2" s="11" t="s">
        <v>356</v>
      </c>
    </row>
    <row r="4" customFormat="false" ht="15" hidden="false" customHeight="true" outlineLevel="0" collapsed="false">
      <c r="A4" s="12" t="s">
        <v>357</v>
      </c>
      <c r="B4" s="12"/>
      <c r="C4" s="12"/>
    </row>
    <row r="5" customFormat="false" ht="15" hidden="false" customHeight="true" outlineLevel="0" collapsed="false">
      <c r="A5" s="1" t="s">
        <v>358</v>
      </c>
      <c r="B5" s="27"/>
      <c r="C5" s="16" t="s">
        <v>359</v>
      </c>
    </row>
    <row r="6" customFormat="false" ht="15" hidden="false" customHeight="true" outlineLevel="0" collapsed="false">
      <c r="A6" s="1" t="s">
        <v>360</v>
      </c>
      <c r="B6" s="15"/>
      <c r="C6" s="16" t="s">
        <v>361</v>
      </c>
    </row>
    <row r="7" customFormat="false" ht="15" hidden="false" customHeight="true" outlineLevel="0" collapsed="false">
      <c r="A7" s="1" t="s">
        <v>362</v>
      </c>
      <c r="B7" s="15"/>
      <c r="C7" s="16" t="s">
        <v>363</v>
      </c>
    </row>
    <row r="8" customFormat="false" ht="15" hidden="false" customHeight="true" outlineLevel="0" collapsed="false">
      <c r="A8" s="1" t="s">
        <v>364</v>
      </c>
      <c r="B8" s="15"/>
      <c r="C8" s="16" t="s">
        <v>365</v>
      </c>
    </row>
    <row r="9" customFormat="false" ht="15" hidden="false" customHeight="true" outlineLevel="0" collapsed="false">
      <c r="A9" s="1" t="s">
        <v>366</v>
      </c>
      <c r="B9" s="15"/>
      <c r="C9" s="16" t="s">
        <v>303</v>
      </c>
    </row>
    <row r="10" customFormat="false" ht="15" hidden="false" customHeight="true" outlineLevel="0" collapsed="false">
      <c r="A10" s="1" t="s">
        <v>367</v>
      </c>
      <c r="B10" s="15"/>
      <c r="C10" s="16" t="s">
        <v>368</v>
      </c>
    </row>
    <row r="11" customFormat="false" ht="15" hidden="false" customHeight="true" outlineLevel="0" collapsed="false">
      <c r="A11" s="1" t="s">
        <v>310</v>
      </c>
      <c r="B11" s="15"/>
      <c r="C11" s="16" t="s">
        <v>369</v>
      </c>
    </row>
    <row r="12" customFormat="false" ht="15" hidden="false" customHeight="true" outlineLevel="0" collapsed="false">
      <c r="A12" s="1" t="s">
        <v>370</v>
      </c>
      <c r="B12" s="14"/>
      <c r="C12" s="16" t="s">
        <v>371</v>
      </c>
    </row>
    <row r="14" customFormat="false" ht="15" hidden="false" customHeight="true" outlineLevel="0" collapsed="false">
      <c r="A14" s="12" t="s">
        <v>372</v>
      </c>
      <c r="B14" s="12"/>
      <c r="C14" s="12"/>
    </row>
    <row r="15" customFormat="false" ht="15" hidden="false" customHeight="true" outlineLevel="0" collapsed="false">
      <c r="A15" s="1" t="s">
        <v>373</v>
      </c>
      <c r="B15" s="15"/>
      <c r="C15" s="16" t="s">
        <v>374</v>
      </c>
    </row>
    <row r="16" customFormat="false" ht="15" hidden="false" customHeight="true" outlineLevel="0" collapsed="false">
      <c r="A16" s="1" t="s">
        <v>375</v>
      </c>
      <c r="B16" s="15"/>
      <c r="C16" s="16" t="s">
        <v>376</v>
      </c>
    </row>
    <row r="17" customFormat="false" ht="15" hidden="false" customHeight="true" outlineLevel="0" collapsed="false">
      <c r="A17" s="1" t="s">
        <v>377</v>
      </c>
      <c r="B17" s="29"/>
      <c r="C17" s="16" t="s">
        <v>378</v>
      </c>
    </row>
    <row r="18" customFormat="false" ht="15" hidden="false" customHeight="true" outlineLevel="0" collapsed="false">
      <c r="A18" s="1" t="s">
        <v>379</v>
      </c>
      <c r="B18" s="15"/>
      <c r="C18" s="16" t="s">
        <v>380</v>
      </c>
    </row>
    <row r="19" customFormat="false" ht="15" hidden="false" customHeight="true" outlineLevel="0" collapsed="false">
      <c r="A19" s="1" t="s">
        <v>381</v>
      </c>
      <c r="B19" s="15"/>
      <c r="C19" s="16" t="s">
        <v>382</v>
      </c>
    </row>
    <row r="20" customFormat="false" ht="15" hidden="false" customHeight="true" outlineLevel="0" collapsed="false">
      <c r="A20" s="1" t="s">
        <v>383</v>
      </c>
      <c r="B20" s="15"/>
      <c r="C20" s="16" t="s">
        <v>384</v>
      </c>
    </row>
    <row r="21" customFormat="false" ht="15" hidden="false" customHeight="true" outlineLevel="0" collapsed="false">
      <c r="A21" s="1" t="s">
        <v>385</v>
      </c>
      <c r="B21" s="15"/>
      <c r="C21" s="16" t="s">
        <v>386</v>
      </c>
    </row>
    <row r="22" customFormat="false" ht="15" hidden="false" customHeight="true" outlineLevel="0" collapsed="false">
      <c r="A22" s="1" t="s">
        <v>387</v>
      </c>
      <c r="B22" s="15"/>
      <c r="C22" s="16" t="s">
        <v>388</v>
      </c>
    </row>
    <row r="24" customFormat="false" ht="15" hidden="false" customHeight="true" outlineLevel="0" collapsed="false">
      <c r="A24" s="12" t="s">
        <v>389</v>
      </c>
      <c r="B24" s="12"/>
      <c r="C24" s="12"/>
    </row>
    <row r="25" customFormat="false" ht="15" hidden="false" customHeight="true" outlineLevel="0" collapsed="false">
      <c r="A25" s="1" t="s">
        <v>390</v>
      </c>
      <c r="B25" s="30"/>
      <c r="C25" s="16" t="s">
        <v>391</v>
      </c>
    </row>
    <row r="26" customFormat="false" ht="15" hidden="false" customHeight="true" outlineLevel="0" collapsed="false">
      <c r="A26" s="1" t="s">
        <v>392</v>
      </c>
      <c r="B26" s="27"/>
      <c r="C26" s="16" t="s">
        <v>393</v>
      </c>
    </row>
    <row r="27" customFormat="false" ht="15" hidden="false" customHeight="true" outlineLevel="0" collapsed="false">
      <c r="A27" s="1" t="s">
        <v>394</v>
      </c>
      <c r="B27" s="27"/>
      <c r="C27" s="16" t="s">
        <v>395</v>
      </c>
    </row>
    <row r="28" customFormat="false" ht="15" hidden="false" customHeight="true" outlineLevel="0" collapsed="false">
      <c r="A28" s="1" t="s">
        <v>396</v>
      </c>
      <c r="B28" s="27"/>
      <c r="C28" s="16" t="s">
        <v>397</v>
      </c>
    </row>
    <row r="29" customFormat="false" ht="15" hidden="false" customHeight="true" outlineLevel="0" collapsed="false">
      <c r="A29" s="1" t="s">
        <v>398</v>
      </c>
      <c r="B29" s="14"/>
      <c r="C29" s="16" t="s">
        <v>399</v>
      </c>
    </row>
    <row r="30" customFormat="false" ht="15" hidden="false" customHeight="true" outlineLevel="0" collapsed="false">
      <c r="A30" s="1" t="s">
        <v>400</v>
      </c>
      <c r="B30" s="27"/>
      <c r="C30" s="16" t="s">
        <v>401</v>
      </c>
    </row>
    <row r="31" customFormat="false" ht="15" hidden="false" customHeight="true" outlineLevel="0" collapsed="false">
      <c r="A31" s="1" t="s">
        <v>402</v>
      </c>
      <c r="B31" s="15"/>
      <c r="C31" s="16" t="s">
        <v>403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9B3C"/>
    <pageSetUpPr fitToPage="false"/>
  </sheetPr>
  <dimension ref="A1:O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4"/>
    <col collapsed="false" customWidth="true" hidden="false" outlineLevel="0" max="15" min="15" style="0" width="11"/>
  </cols>
  <sheetData>
    <row r="1" customFormat="false" ht="17.25" hidden="false" customHeight="true" outlineLevel="0" collapsed="false">
      <c r="A1" s="31" t="s">
        <v>404</v>
      </c>
    </row>
    <row r="2" customFormat="false" ht="15" hidden="false" customHeight="true" outlineLevel="0" collapsed="false">
      <c r="A2" s="32" t="s">
        <v>405</v>
      </c>
    </row>
    <row r="3" customFormat="false" ht="15" hidden="false" customHeight="true" outlineLevel="0" collapsed="false">
      <c r="A3" s="33" t="s">
        <v>406</v>
      </c>
    </row>
    <row r="5" customFormat="false" ht="15" hidden="false" customHeight="true" outlineLevel="0" collapsed="false">
      <c r="A5" s="34" t="s">
        <v>314</v>
      </c>
      <c r="B5" s="35" t="s">
        <v>407</v>
      </c>
      <c r="C5" s="35" t="s">
        <v>408</v>
      </c>
      <c r="D5" s="35" t="s">
        <v>409</v>
      </c>
      <c r="E5" s="35" t="s">
        <v>410</v>
      </c>
      <c r="F5" s="35" t="s">
        <v>411</v>
      </c>
      <c r="G5" s="35" t="s">
        <v>412</v>
      </c>
      <c r="H5" s="35" t="s">
        <v>413</v>
      </c>
      <c r="I5" s="35" t="s">
        <v>414</v>
      </c>
      <c r="J5" s="35" t="s">
        <v>415</v>
      </c>
      <c r="K5" s="35" t="s">
        <v>416</v>
      </c>
      <c r="L5" s="35" t="s">
        <v>417</v>
      </c>
      <c r="M5" s="35" t="s">
        <v>418</v>
      </c>
      <c r="N5" s="35" t="s">
        <v>419</v>
      </c>
      <c r="O5" s="36" t="s">
        <v>23</v>
      </c>
    </row>
    <row r="6" customFormat="false" ht="15" hidden="false" customHeight="true" outlineLevel="0" collapsed="false">
      <c r="A6" s="37" t="s">
        <v>420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</row>
    <row r="7" customFormat="false" ht="15" hidden="false" customHeight="true" outlineLevel="0" collapsed="false">
      <c r="A7" s="38" t="s">
        <v>123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 t="n">
        <f aca="false">SUM(B7:M7)</f>
        <v>0</v>
      </c>
      <c r="O7" s="40" t="s">
        <v>122</v>
      </c>
    </row>
    <row r="8" customFormat="false" ht="15" hidden="false" customHeight="true" outlineLevel="0" collapsed="false">
      <c r="A8" s="38" t="s">
        <v>129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 t="n">
        <f aca="false">SUM(B8:M8)</f>
        <v>0</v>
      </c>
      <c r="O8" s="40" t="s">
        <v>128</v>
      </c>
    </row>
    <row r="9" customFormat="false" ht="15" hidden="false" customHeight="true" outlineLevel="0" collapsed="false">
      <c r="A9" s="38" t="s">
        <v>131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 t="n">
        <f aca="false">SUM(B9:M9)</f>
        <v>0</v>
      </c>
      <c r="O9" s="40" t="s">
        <v>130</v>
      </c>
    </row>
    <row r="10" customFormat="false" ht="15" hidden="false" customHeight="true" outlineLevel="0" collapsed="false">
      <c r="A10" s="38" t="s">
        <v>133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41" t="n">
        <f aca="false">SUM(B10:M10)</f>
        <v>0</v>
      </c>
      <c r="O10" s="40" t="s">
        <v>132</v>
      </c>
    </row>
    <row r="11" customFormat="false" ht="15" hidden="false" customHeight="true" outlineLevel="0" collapsed="false">
      <c r="A11" s="38" t="s">
        <v>421</v>
      </c>
      <c r="B11" s="42" t="n">
        <f aca="false">SUM(B7:B10)</f>
        <v>0</v>
      </c>
      <c r="C11" s="42" t="n">
        <f aca="false">SUM(C7:C10)</f>
        <v>0</v>
      </c>
      <c r="D11" s="42" t="n">
        <f aca="false">SUM(D7:D10)</f>
        <v>0</v>
      </c>
      <c r="E11" s="42" t="n">
        <f aca="false">SUM(E7:E10)</f>
        <v>0</v>
      </c>
      <c r="F11" s="42" t="n">
        <f aca="false">SUM(F7:F10)</f>
        <v>0</v>
      </c>
      <c r="G11" s="42" t="n">
        <f aca="false">SUM(G7:G10)</f>
        <v>0</v>
      </c>
      <c r="H11" s="42" t="n">
        <f aca="false">SUM(H7:H10)</f>
        <v>0</v>
      </c>
      <c r="I11" s="42" t="n">
        <f aca="false">SUM(I7:I10)</f>
        <v>0</v>
      </c>
      <c r="J11" s="42" t="n">
        <f aca="false">SUM(J7:J10)</f>
        <v>0</v>
      </c>
      <c r="K11" s="42" t="n">
        <f aca="false">SUM(K7:K10)</f>
        <v>0</v>
      </c>
      <c r="L11" s="42" t="n">
        <f aca="false">SUM(L7:L10)</f>
        <v>0</v>
      </c>
      <c r="M11" s="42" t="n">
        <f aca="false">SUM(M7:M10)</f>
        <v>0</v>
      </c>
      <c r="N11" s="42" t="n">
        <f aca="false">SUM(B11:M11)</f>
        <v>0</v>
      </c>
    </row>
    <row r="12" customFormat="false" ht="15" hidden="false" customHeight="true" outlineLevel="0" collapsed="false">
      <c r="A12" s="38" t="s">
        <v>135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 t="n">
        <f aca="false">SUM(B12:M12)</f>
        <v>0</v>
      </c>
      <c r="O12" s="40" t="s">
        <v>134</v>
      </c>
    </row>
    <row r="13" customFormat="false" ht="15" hidden="false" customHeight="true" outlineLevel="0" collapsed="false">
      <c r="A13" s="38" t="s">
        <v>138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41" t="n">
        <f aca="false">SUM(B13:M13)</f>
        <v>0</v>
      </c>
      <c r="O13" s="40" t="s">
        <v>137</v>
      </c>
    </row>
    <row r="14" customFormat="false" ht="15" hidden="false" customHeight="true" outlineLevel="0" collapsed="false">
      <c r="A14" s="37" t="s">
        <v>422</v>
      </c>
      <c r="B14" s="43" t="n">
        <f aca="false">B11-B12-B13</f>
        <v>0</v>
      </c>
      <c r="C14" s="43" t="n">
        <f aca="false">C11-C12-C13</f>
        <v>0</v>
      </c>
      <c r="D14" s="43" t="n">
        <f aca="false">D11-D12-D13</f>
        <v>0</v>
      </c>
      <c r="E14" s="43" t="n">
        <f aca="false">E11-E12-E13</f>
        <v>0</v>
      </c>
      <c r="F14" s="43" t="n">
        <f aca="false">F11-F12-F13</f>
        <v>0</v>
      </c>
      <c r="G14" s="43" t="n">
        <f aca="false">G11-G12-G13</f>
        <v>0</v>
      </c>
      <c r="H14" s="43" t="n">
        <f aca="false">H11-H12-H13</f>
        <v>0</v>
      </c>
      <c r="I14" s="43" t="n">
        <f aca="false">I11-I12-I13</f>
        <v>0</v>
      </c>
      <c r="J14" s="43" t="n">
        <f aca="false">J11-J12-J13</f>
        <v>0</v>
      </c>
      <c r="K14" s="43" t="n">
        <f aca="false">K11-K12-K13</f>
        <v>0</v>
      </c>
      <c r="L14" s="43" t="n">
        <f aca="false">L11-L12-L13</f>
        <v>0</v>
      </c>
      <c r="M14" s="43" t="n">
        <f aca="false">M11-M12-M13</f>
        <v>0</v>
      </c>
      <c r="N14" s="43" t="n">
        <f aca="false">SUM(B14:M14)</f>
        <v>0</v>
      </c>
    </row>
    <row r="15" customFormat="false" ht="15" hidden="false" customHeight="true" outlineLevel="0" collapsed="false">
      <c r="A15" s="37" t="s">
        <v>423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</row>
    <row r="16" customFormat="false" ht="15" hidden="false" customHeight="true" outlineLevel="0" collapsed="false">
      <c r="A16" s="38" t="s">
        <v>140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 t="n">
        <f aca="false">SUM(B16:M16)</f>
        <v>0</v>
      </c>
      <c r="O16" s="40" t="s">
        <v>139</v>
      </c>
    </row>
    <row r="17" customFormat="false" ht="15" hidden="false" customHeight="true" outlineLevel="0" collapsed="false">
      <c r="A17" s="38" t="s">
        <v>143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 t="n">
        <f aca="false">SUM(B17:M17)</f>
        <v>0</v>
      </c>
      <c r="O17" s="40" t="s">
        <v>142</v>
      </c>
    </row>
    <row r="18" customFormat="false" ht="15" hidden="false" customHeight="true" outlineLevel="0" collapsed="false">
      <c r="A18" s="38" t="s">
        <v>145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 t="n">
        <f aca="false">SUM(B18:M18)</f>
        <v>0</v>
      </c>
      <c r="O18" s="40" t="s">
        <v>144</v>
      </c>
    </row>
    <row r="19" customFormat="false" ht="15" hidden="false" customHeight="true" outlineLevel="0" collapsed="false">
      <c r="A19" s="38" t="s">
        <v>424</v>
      </c>
      <c r="B19" s="44" t="n">
        <f aca="false">SUM(B20:B23)</f>
        <v>0</v>
      </c>
      <c r="C19" s="44" t="n">
        <f aca="false">SUM(C20:C23)</f>
        <v>0</v>
      </c>
      <c r="D19" s="44" t="n">
        <f aca="false">SUM(D20:D23)</f>
        <v>0</v>
      </c>
      <c r="E19" s="44" t="n">
        <f aca="false">SUM(E20:E23)</f>
        <v>0</v>
      </c>
      <c r="F19" s="44" t="n">
        <f aca="false">SUM(F20:F23)</f>
        <v>0</v>
      </c>
      <c r="G19" s="44" t="n">
        <f aca="false">SUM(G20:G23)</f>
        <v>0</v>
      </c>
      <c r="H19" s="44" t="n">
        <f aca="false">SUM(H20:H23)</f>
        <v>0</v>
      </c>
      <c r="I19" s="44" t="n">
        <f aca="false">SUM(I20:I23)</f>
        <v>0</v>
      </c>
      <c r="J19" s="44" t="n">
        <f aca="false">SUM(J20:J23)</f>
        <v>0</v>
      </c>
      <c r="K19" s="44" t="n">
        <f aca="false">SUM(K20:K23)</f>
        <v>0</v>
      </c>
      <c r="L19" s="44" t="n">
        <f aca="false">SUM(L20:L23)</f>
        <v>0</v>
      </c>
      <c r="M19" s="44" t="n">
        <f aca="false">SUM(M20:M23)</f>
        <v>0</v>
      </c>
      <c r="N19" s="44" t="n">
        <f aca="false">SUM(B19:M19)</f>
        <v>0</v>
      </c>
    </row>
    <row r="20" customFormat="false" ht="15" hidden="false" customHeight="true" outlineLevel="0" collapsed="false">
      <c r="A20" s="38" t="s">
        <v>425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 t="n">
        <f aca="false">SUM(B20:M20)</f>
        <v>0</v>
      </c>
      <c r="O20" s="40" t="s">
        <v>146</v>
      </c>
    </row>
    <row r="21" customFormat="false" ht="15" hidden="false" customHeight="true" outlineLevel="0" collapsed="false">
      <c r="A21" s="38" t="s">
        <v>426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 t="n">
        <f aca="false">SUM(B21:M21)</f>
        <v>0</v>
      </c>
      <c r="O21" s="40" t="s">
        <v>149</v>
      </c>
    </row>
    <row r="22" customFormat="false" ht="15" hidden="false" customHeight="true" outlineLevel="0" collapsed="false">
      <c r="A22" s="38" t="s">
        <v>427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 t="n">
        <f aca="false">SUM(B22:M22)</f>
        <v>0</v>
      </c>
      <c r="O22" s="40" t="s">
        <v>151</v>
      </c>
    </row>
    <row r="23" customFormat="false" ht="15" hidden="false" customHeight="true" outlineLevel="0" collapsed="false">
      <c r="A23" s="38" t="s">
        <v>428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 t="n">
        <f aca="false">SUM(B23:M23)</f>
        <v>0</v>
      </c>
      <c r="O23" s="40" t="s">
        <v>153</v>
      </c>
    </row>
    <row r="24" customFormat="false" ht="15" hidden="false" customHeight="true" outlineLevel="0" collapsed="false">
      <c r="A24" s="38" t="s">
        <v>156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 t="n">
        <f aca="false">SUM(B24:M24)</f>
        <v>0</v>
      </c>
      <c r="O24" s="40" t="s">
        <v>155</v>
      </c>
    </row>
    <row r="25" customFormat="false" ht="15" hidden="false" customHeight="true" outlineLevel="0" collapsed="false">
      <c r="A25" s="37" t="s">
        <v>429</v>
      </c>
      <c r="B25" s="43" t="n">
        <f aca="false">B16+B17+B18+B19-B24</f>
        <v>0</v>
      </c>
      <c r="C25" s="43" t="n">
        <f aca="false">C16+C17+C18+C19-C24</f>
        <v>0</v>
      </c>
      <c r="D25" s="43" t="n">
        <f aca="false">D16+D17+D18+D19-D24</f>
        <v>0</v>
      </c>
      <c r="E25" s="43" t="n">
        <f aca="false">E16+E17+E18+E19-E24</f>
        <v>0</v>
      </c>
      <c r="F25" s="43" t="n">
        <f aca="false">F16+F17+F18+F19-F24</f>
        <v>0</v>
      </c>
      <c r="G25" s="43" t="n">
        <f aca="false">G16+G17+G18+G19-G24</f>
        <v>0</v>
      </c>
      <c r="H25" s="43" t="n">
        <f aca="false">H16+H17+H18+H19-H24</f>
        <v>0</v>
      </c>
      <c r="I25" s="43" t="n">
        <f aca="false">I16+I17+I18+I19-I24</f>
        <v>0</v>
      </c>
      <c r="J25" s="43" t="n">
        <f aca="false">J16+J17+J18+J19-J24</f>
        <v>0</v>
      </c>
      <c r="K25" s="43" t="n">
        <f aca="false">K16+K17+K18+K19-K24</f>
        <v>0</v>
      </c>
      <c r="L25" s="43" t="n">
        <f aca="false">L16+L17+L18+L19-L24</f>
        <v>0</v>
      </c>
      <c r="M25" s="43" t="n">
        <f aca="false">M16+M17+M18+M19-M24</f>
        <v>0</v>
      </c>
      <c r="N25" s="43" t="n">
        <f aca="false">SUM(B25:M25)</f>
        <v>0</v>
      </c>
    </row>
    <row r="26" customFormat="false" ht="15" hidden="false" customHeight="true" outlineLevel="0" collapsed="false">
      <c r="A26" s="37" t="s">
        <v>430</v>
      </c>
      <c r="B26" s="45" t="n">
        <f aca="false">B14-B25</f>
        <v>0</v>
      </c>
      <c r="C26" s="45" t="n">
        <f aca="false">C14-C25</f>
        <v>0</v>
      </c>
      <c r="D26" s="45" t="n">
        <f aca="false">D14-D25</f>
        <v>0</v>
      </c>
      <c r="E26" s="45" t="n">
        <f aca="false">E14-E25</f>
        <v>0</v>
      </c>
      <c r="F26" s="45" t="n">
        <f aca="false">F14-F25</f>
        <v>0</v>
      </c>
      <c r="G26" s="45" t="n">
        <f aca="false">G14-G25</f>
        <v>0</v>
      </c>
      <c r="H26" s="45" t="n">
        <f aca="false">H14-H25</f>
        <v>0</v>
      </c>
      <c r="I26" s="45" t="n">
        <f aca="false">I14-I25</f>
        <v>0</v>
      </c>
      <c r="J26" s="45" t="n">
        <f aca="false">J14-J25</f>
        <v>0</v>
      </c>
      <c r="K26" s="45" t="n">
        <f aca="false">K14-K25</f>
        <v>0</v>
      </c>
      <c r="L26" s="45" t="n">
        <f aca="false">L14-L25</f>
        <v>0</v>
      </c>
      <c r="M26" s="45" t="n">
        <f aca="false">M14-M25</f>
        <v>0</v>
      </c>
      <c r="N26" s="45" t="n">
        <f aca="false">SUM(B26:M26)</f>
        <v>0</v>
      </c>
    </row>
    <row r="27" customFormat="false" ht="15" hidden="false" customHeight="true" outlineLevel="0" collapsed="false">
      <c r="A27" s="38" t="s">
        <v>431</v>
      </c>
      <c r="B27" s="46" t="n">
        <f aca="false">IFERROR(B26/B14,0)</f>
        <v>0</v>
      </c>
      <c r="C27" s="46" t="n">
        <f aca="false">IFERROR(C26/C14,0)</f>
        <v>0</v>
      </c>
      <c r="D27" s="46" t="n">
        <f aca="false">IFERROR(D26/D14,0)</f>
        <v>0</v>
      </c>
      <c r="E27" s="46" t="n">
        <f aca="false">IFERROR(E26/E14,0)</f>
        <v>0</v>
      </c>
      <c r="F27" s="46" t="n">
        <f aca="false">IFERROR(F26/F14,0)</f>
        <v>0</v>
      </c>
      <c r="G27" s="46" t="n">
        <f aca="false">IFERROR(G26/G14,0)</f>
        <v>0</v>
      </c>
      <c r="H27" s="46" t="n">
        <f aca="false">IFERROR(H26/H14,0)</f>
        <v>0</v>
      </c>
      <c r="I27" s="46" t="n">
        <f aca="false">IFERROR(I26/I14,0)</f>
        <v>0</v>
      </c>
      <c r="J27" s="46" t="n">
        <f aca="false">IFERROR(J26/J14,0)</f>
        <v>0</v>
      </c>
      <c r="K27" s="46" t="n">
        <f aca="false">IFERROR(K26/K14,0)</f>
        <v>0</v>
      </c>
      <c r="L27" s="46" t="n">
        <f aca="false">IFERROR(L26/L14,0)</f>
        <v>0</v>
      </c>
      <c r="M27" s="46" t="n">
        <f aca="false">IFERROR(M26/M14,0)</f>
        <v>0</v>
      </c>
      <c r="N27" s="46" t="n">
        <f aca="false">IFERROR(N26/N14,0)</f>
        <v>0</v>
      </c>
    </row>
    <row r="28" customFormat="false" ht="15" hidden="false" customHeight="true" outlineLevel="0" collapsed="false">
      <c r="A28" s="37" t="s">
        <v>432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</row>
    <row r="29" customFormat="false" ht="15" hidden="false" customHeight="true" outlineLevel="0" collapsed="false">
      <c r="A29" s="38" t="s">
        <v>433</v>
      </c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</row>
    <row r="30" customFormat="false" ht="15" hidden="false" customHeight="true" outlineLevel="0" collapsed="false">
      <c r="A30" s="38" t="s">
        <v>434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 t="n">
        <f aca="false">SUM(B30:M30)</f>
        <v>0</v>
      </c>
      <c r="O30" s="40" t="s">
        <v>157</v>
      </c>
    </row>
    <row r="31" customFormat="false" ht="15" hidden="false" customHeight="true" outlineLevel="0" collapsed="false">
      <c r="A31" s="38" t="s">
        <v>435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 t="n">
        <f aca="false">SUM(B31:M31)</f>
        <v>0</v>
      </c>
      <c r="O31" s="40" t="s">
        <v>160</v>
      </c>
    </row>
    <row r="32" customFormat="false" ht="15" hidden="false" customHeight="true" outlineLevel="0" collapsed="false">
      <c r="A32" s="38" t="s">
        <v>436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 t="n">
        <f aca="false">SUM(B32:M32)</f>
        <v>0</v>
      </c>
      <c r="O32" s="40" t="s">
        <v>162</v>
      </c>
    </row>
    <row r="33" customFormat="false" ht="15" hidden="false" customHeight="true" outlineLevel="0" collapsed="false">
      <c r="A33" s="38" t="s">
        <v>437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 t="n">
        <f aca="false">SUM(B33:M33)</f>
        <v>0</v>
      </c>
      <c r="O33" s="40" t="s">
        <v>164</v>
      </c>
    </row>
    <row r="34" customFormat="false" ht="15" hidden="false" customHeight="true" outlineLevel="0" collapsed="false">
      <c r="A34" s="38" t="s">
        <v>438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 t="n">
        <f aca="false">SUM(B34:M34)</f>
        <v>0</v>
      </c>
      <c r="O34" s="40" t="s">
        <v>166</v>
      </c>
    </row>
    <row r="35" customFormat="false" ht="15" hidden="false" customHeight="true" outlineLevel="0" collapsed="false">
      <c r="A35" s="38" t="s">
        <v>439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</row>
    <row r="36" customFormat="false" ht="15" hidden="false" customHeight="true" outlineLevel="0" collapsed="false">
      <c r="A36" s="38" t="s">
        <v>440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 t="n">
        <f aca="false">SUM(B36:M36)</f>
        <v>0</v>
      </c>
      <c r="O36" s="40" t="s">
        <v>168</v>
      </c>
    </row>
    <row r="37" customFormat="false" ht="15" hidden="false" customHeight="true" outlineLevel="0" collapsed="false">
      <c r="A37" s="38" t="s">
        <v>441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 t="n">
        <f aca="false">SUM(B37:M37)</f>
        <v>0</v>
      </c>
      <c r="O37" s="40" t="s">
        <v>171</v>
      </c>
    </row>
    <row r="38" customFormat="false" ht="15" hidden="false" customHeight="true" outlineLevel="0" collapsed="false">
      <c r="A38" s="38" t="s">
        <v>442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 t="n">
        <f aca="false">SUM(B38:M38)</f>
        <v>0</v>
      </c>
      <c r="O38" s="40" t="s">
        <v>173</v>
      </c>
    </row>
    <row r="39" customFormat="false" ht="15" hidden="false" customHeight="true" outlineLevel="0" collapsed="false">
      <c r="A39" s="38" t="s">
        <v>443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 t="n">
        <f aca="false">SUM(B39:M39)</f>
        <v>0</v>
      </c>
      <c r="O39" s="40" t="s">
        <v>175</v>
      </c>
    </row>
    <row r="40" customFormat="false" ht="15" hidden="false" customHeight="true" outlineLevel="0" collapsed="false">
      <c r="A40" s="38" t="s">
        <v>444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 t="n">
        <f aca="false">SUM(B40:M40)</f>
        <v>0</v>
      </c>
      <c r="O40" s="40" t="s">
        <v>177</v>
      </c>
    </row>
    <row r="41" customFormat="false" ht="15" hidden="false" customHeight="true" outlineLevel="0" collapsed="false">
      <c r="A41" s="38" t="s">
        <v>445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 t="n">
        <f aca="false">SUM(B41:M41)</f>
        <v>0</v>
      </c>
      <c r="O41" s="40" t="s">
        <v>179</v>
      </c>
    </row>
    <row r="42" customFormat="false" ht="15" hidden="false" customHeight="true" outlineLevel="0" collapsed="false">
      <c r="A42" s="38" t="s">
        <v>446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 t="n">
        <f aca="false">SUM(B42:M42)</f>
        <v>0</v>
      </c>
      <c r="O42" s="40" t="s">
        <v>181</v>
      </c>
    </row>
    <row r="43" customFormat="false" ht="15" hidden="false" customHeight="true" outlineLevel="0" collapsed="false">
      <c r="A43" s="38" t="s">
        <v>447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 t="n">
        <f aca="false">SUM(B43:M43)</f>
        <v>0</v>
      </c>
      <c r="O43" s="40" t="s">
        <v>183</v>
      </c>
    </row>
    <row r="44" customFormat="false" ht="15" hidden="false" customHeight="true" outlineLevel="0" collapsed="false">
      <c r="A44" s="37" t="s">
        <v>448</v>
      </c>
      <c r="B44" s="43" t="n">
        <f aca="false">SUM(B29:B43)</f>
        <v>0</v>
      </c>
      <c r="C44" s="43" t="n">
        <f aca="false">SUM(C29:C43)</f>
        <v>0</v>
      </c>
      <c r="D44" s="43" t="n">
        <f aca="false">SUM(D29:D43)</f>
        <v>0</v>
      </c>
      <c r="E44" s="43" t="n">
        <f aca="false">SUM(E29:E43)</f>
        <v>0</v>
      </c>
      <c r="F44" s="43" t="n">
        <f aca="false">SUM(F29:F43)</f>
        <v>0</v>
      </c>
      <c r="G44" s="43" t="n">
        <f aca="false">SUM(G29:G43)</f>
        <v>0</v>
      </c>
      <c r="H44" s="43" t="n">
        <f aca="false">SUM(H29:H43)</f>
        <v>0</v>
      </c>
      <c r="I44" s="43" t="n">
        <f aca="false">SUM(I29:I43)</f>
        <v>0</v>
      </c>
      <c r="J44" s="43" t="n">
        <f aca="false">SUM(J29:J43)</f>
        <v>0</v>
      </c>
      <c r="K44" s="43" t="n">
        <f aca="false">SUM(K29:K43)</f>
        <v>0</v>
      </c>
      <c r="L44" s="43" t="n">
        <f aca="false">SUM(L29:L43)</f>
        <v>0</v>
      </c>
      <c r="M44" s="43" t="n">
        <f aca="false">SUM(M29:M43)</f>
        <v>0</v>
      </c>
      <c r="N44" s="43" t="n">
        <f aca="false">SUM(B44:M44)</f>
        <v>0</v>
      </c>
    </row>
    <row r="45" customFormat="false" ht="15" hidden="false" customHeight="true" outlineLevel="0" collapsed="false">
      <c r="A45" s="37" t="s">
        <v>449</v>
      </c>
      <c r="B45" s="45" t="n">
        <f aca="false">B26-B44</f>
        <v>0</v>
      </c>
      <c r="C45" s="45" t="n">
        <f aca="false">C26-C44</f>
        <v>0</v>
      </c>
      <c r="D45" s="45" t="n">
        <f aca="false">D26-D44</f>
        <v>0</v>
      </c>
      <c r="E45" s="45" t="n">
        <f aca="false">E26-E44</f>
        <v>0</v>
      </c>
      <c r="F45" s="45" t="n">
        <f aca="false">F26-F44</f>
        <v>0</v>
      </c>
      <c r="G45" s="45" t="n">
        <f aca="false">G26-G44</f>
        <v>0</v>
      </c>
      <c r="H45" s="45" t="n">
        <f aca="false">H26-H44</f>
        <v>0</v>
      </c>
      <c r="I45" s="45" t="n">
        <f aca="false">I26-I44</f>
        <v>0</v>
      </c>
      <c r="J45" s="45" t="n">
        <f aca="false">J26-J44</f>
        <v>0</v>
      </c>
      <c r="K45" s="45" t="n">
        <f aca="false">K26-K44</f>
        <v>0</v>
      </c>
      <c r="L45" s="45" t="n">
        <f aca="false">L26-L44</f>
        <v>0</v>
      </c>
      <c r="M45" s="45" t="n">
        <f aca="false">M26-M44</f>
        <v>0</v>
      </c>
      <c r="N45" s="49" t="n">
        <f aca="false">SUM(B45:M45)</f>
        <v>0</v>
      </c>
    </row>
    <row r="46" customFormat="false" ht="15" hidden="false" customHeight="true" outlineLevel="0" collapsed="false">
      <c r="A46" s="38" t="s">
        <v>450</v>
      </c>
      <c r="B46" s="46" t="n">
        <f aca="false">IFERROR(B45/B14,0)</f>
        <v>0</v>
      </c>
      <c r="C46" s="46" t="n">
        <f aca="false">IFERROR(C45/C14,0)</f>
        <v>0</v>
      </c>
      <c r="D46" s="46" t="n">
        <f aca="false">IFERROR(D45/D14,0)</f>
        <v>0</v>
      </c>
      <c r="E46" s="46" t="n">
        <f aca="false">IFERROR(E45/E14,0)</f>
        <v>0</v>
      </c>
      <c r="F46" s="46" t="n">
        <f aca="false">IFERROR(F45/F14,0)</f>
        <v>0</v>
      </c>
      <c r="G46" s="46" t="n">
        <f aca="false">IFERROR(G45/G14,0)</f>
        <v>0</v>
      </c>
      <c r="H46" s="46" t="n">
        <f aca="false">IFERROR(H45/H14,0)</f>
        <v>0</v>
      </c>
      <c r="I46" s="46" t="n">
        <f aca="false">IFERROR(I45/I14,0)</f>
        <v>0</v>
      </c>
      <c r="J46" s="46" t="n">
        <f aca="false">IFERROR(J45/J14,0)</f>
        <v>0</v>
      </c>
      <c r="K46" s="46" t="n">
        <f aca="false">IFERROR(K45/K14,0)</f>
        <v>0</v>
      </c>
      <c r="L46" s="46" t="n">
        <f aca="false">IFERROR(L45/L14,0)</f>
        <v>0</v>
      </c>
      <c r="M46" s="46" t="n">
        <f aca="false">IFERROR(M45/M14,0)</f>
        <v>0</v>
      </c>
      <c r="N46" s="46" t="n">
        <f aca="false">IFERROR(N45/N14,0)</f>
        <v>0</v>
      </c>
    </row>
    <row r="47" customFormat="false" ht="15" hidden="false" customHeight="true" outlineLevel="0" collapsed="false">
      <c r="A47" s="37" t="s">
        <v>451</v>
      </c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</row>
    <row r="48" customFormat="false" ht="15" hidden="false" customHeight="true" outlineLevel="0" collapsed="false">
      <c r="A48" s="38" t="s">
        <v>186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 t="n">
        <f aca="false">SUM(B48:M48)</f>
        <v>0</v>
      </c>
      <c r="O48" s="40" t="s">
        <v>185</v>
      </c>
    </row>
    <row r="49" customFormat="false" ht="15" hidden="false" customHeight="true" outlineLevel="0" collapsed="false">
      <c r="A49" s="38" t="s">
        <v>189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 t="n">
        <f aca="false">SUM(B49:M49)</f>
        <v>0</v>
      </c>
      <c r="O49" s="40" t="s">
        <v>188</v>
      </c>
    </row>
    <row r="50" customFormat="false" ht="15" hidden="false" customHeight="true" outlineLevel="0" collapsed="false">
      <c r="A50" s="38" t="s">
        <v>191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 t="n">
        <f aca="false">SUM(B50:M50)</f>
        <v>0</v>
      </c>
      <c r="O50" s="40" t="s">
        <v>190</v>
      </c>
    </row>
    <row r="51" customFormat="false" ht="15" hidden="false" customHeight="true" outlineLevel="0" collapsed="false">
      <c r="A51" s="38" t="s">
        <v>193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 t="n">
        <f aca="false">SUM(B51:M51)</f>
        <v>0</v>
      </c>
      <c r="O51" s="40" t="s">
        <v>192</v>
      </c>
    </row>
    <row r="52" customFormat="false" ht="15" hidden="false" customHeight="true" outlineLevel="0" collapsed="false">
      <c r="A52" s="38" t="s">
        <v>196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 t="n">
        <f aca="false">SUM(B52:M52)</f>
        <v>0</v>
      </c>
      <c r="O52" s="40" t="s">
        <v>195</v>
      </c>
    </row>
    <row r="53" customFormat="false" ht="15" hidden="false" customHeight="true" outlineLevel="0" collapsed="false">
      <c r="A53" s="38" t="s">
        <v>198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 t="n">
        <f aca="false">SUM(B53:M53)</f>
        <v>0</v>
      </c>
      <c r="O53" s="40" t="s">
        <v>197</v>
      </c>
    </row>
    <row r="54" customFormat="false" ht="15" hidden="false" customHeight="true" outlineLevel="0" collapsed="false">
      <c r="A54" s="37" t="s">
        <v>452</v>
      </c>
      <c r="B54" s="43" t="n">
        <f aca="false">B48+B49+B50-B51-B52-B53</f>
        <v>0</v>
      </c>
      <c r="C54" s="43" t="n">
        <f aca="false">C48+C49+C50-C51-C52-C53</f>
        <v>0</v>
      </c>
      <c r="D54" s="43" t="n">
        <f aca="false">D48+D49+D50-D51-D52-D53</f>
        <v>0</v>
      </c>
      <c r="E54" s="43" t="n">
        <f aca="false">E48+E49+E50-E51-E52-E53</f>
        <v>0</v>
      </c>
      <c r="F54" s="43" t="n">
        <f aca="false">F48+F49+F50-F51-F52-F53</f>
        <v>0</v>
      </c>
      <c r="G54" s="43" t="n">
        <f aca="false">G48+G49+G50-G51-G52-G53</f>
        <v>0</v>
      </c>
      <c r="H54" s="43" t="n">
        <f aca="false">H48+H49+H50-H51-H52-H53</f>
        <v>0</v>
      </c>
      <c r="I54" s="43" t="n">
        <f aca="false">I48+I49+I50-I51-I52-I53</f>
        <v>0</v>
      </c>
      <c r="J54" s="43" t="n">
        <f aca="false">J48+J49+J50-J51-J52-J53</f>
        <v>0</v>
      </c>
      <c r="K54" s="43" t="n">
        <f aca="false">K48+K49+K50-K51-K52-K53</f>
        <v>0</v>
      </c>
      <c r="L54" s="43" t="n">
        <f aca="false">L48+L49+L50-L51-L52-L53</f>
        <v>0</v>
      </c>
      <c r="M54" s="43" t="n">
        <f aca="false">M48+M49+M50-M51-M52-M53</f>
        <v>0</v>
      </c>
      <c r="N54" s="43" t="n">
        <f aca="false">SUM(B54:M54)</f>
        <v>0</v>
      </c>
    </row>
    <row r="55" customFormat="false" ht="15" hidden="false" customHeight="true" outlineLevel="0" collapsed="false">
      <c r="A55" s="37" t="s">
        <v>453</v>
      </c>
      <c r="B55" s="45" t="n">
        <f aca="false">B45+B54</f>
        <v>0</v>
      </c>
      <c r="C55" s="45" t="n">
        <f aca="false">C45+C54</f>
        <v>0</v>
      </c>
      <c r="D55" s="45" t="n">
        <f aca="false">D45+D54</f>
        <v>0</v>
      </c>
      <c r="E55" s="45" t="n">
        <f aca="false">E45+E54</f>
        <v>0</v>
      </c>
      <c r="F55" s="45" t="n">
        <f aca="false">F45+F54</f>
        <v>0</v>
      </c>
      <c r="G55" s="45" t="n">
        <f aca="false">G45+G54</f>
        <v>0</v>
      </c>
      <c r="H55" s="45" t="n">
        <f aca="false">H45+H54</f>
        <v>0</v>
      </c>
      <c r="I55" s="45" t="n">
        <f aca="false">I45+I54</f>
        <v>0</v>
      </c>
      <c r="J55" s="45" t="n">
        <f aca="false">J45+J54</f>
        <v>0</v>
      </c>
      <c r="K55" s="45" t="n">
        <f aca="false">K45+K54</f>
        <v>0</v>
      </c>
      <c r="L55" s="45" t="n">
        <f aca="false">L45+L54</f>
        <v>0</v>
      </c>
      <c r="M55" s="45" t="n">
        <f aca="false">M45+M54</f>
        <v>0</v>
      </c>
      <c r="N55" s="45" t="n">
        <f aca="false">SUM(B55:M55)</f>
        <v>0</v>
      </c>
    </row>
    <row r="56" customFormat="false" ht="15" hidden="false" customHeight="true" outlineLevel="0" collapsed="false">
      <c r="A56" s="38" t="s">
        <v>200</v>
      </c>
      <c r="B56" s="42" t="n">
        <f aca="false">MAX(0,B55)*0.27</f>
        <v>0</v>
      </c>
      <c r="C56" s="42" t="n">
        <f aca="false">MAX(0,C55)*0.27</f>
        <v>0</v>
      </c>
      <c r="D56" s="42" t="n">
        <f aca="false">MAX(0,D55)*0.27</f>
        <v>0</v>
      </c>
      <c r="E56" s="42" t="n">
        <f aca="false">MAX(0,E55)*0.27</f>
        <v>0</v>
      </c>
      <c r="F56" s="42" t="n">
        <f aca="false">MAX(0,F55)*0.27</f>
        <v>0</v>
      </c>
      <c r="G56" s="42" t="n">
        <f aca="false">MAX(0,G55)*0.27</f>
        <v>0</v>
      </c>
      <c r="H56" s="42" t="n">
        <f aca="false">MAX(0,H55)*0.27</f>
        <v>0</v>
      </c>
      <c r="I56" s="42" t="n">
        <f aca="false">MAX(0,I55)*0.27</f>
        <v>0</v>
      </c>
      <c r="J56" s="42" t="n">
        <f aca="false">MAX(0,J55)*0.27</f>
        <v>0</v>
      </c>
      <c r="K56" s="42" t="n">
        <f aca="false">MAX(0,K55)*0.27</f>
        <v>0</v>
      </c>
      <c r="L56" s="42" t="n">
        <f aca="false">MAX(0,L55)*0.27</f>
        <v>0</v>
      </c>
      <c r="M56" s="42" t="n">
        <f aca="false">MAX(0,M55)*0.27</f>
        <v>0</v>
      </c>
      <c r="N56" s="42" t="n">
        <f aca="false">SUM(B56:M56)</f>
        <v>0</v>
      </c>
      <c r="O56" s="0" t="s">
        <v>199</v>
      </c>
    </row>
    <row r="57" customFormat="false" ht="15" hidden="false" customHeight="true" outlineLevel="0" collapsed="false">
      <c r="A57" s="37" t="s">
        <v>454</v>
      </c>
      <c r="B57" s="45" t="n">
        <f aca="false">B55-B56</f>
        <v>0</v>
      </c>
      <c r="C57" s="45" t="n">
        <f aca="false">C55-C56</f>
        <v>0</v>
      </c>
      <c r="D57" s="45" t="n">
        <f aca="false">D55-D56</f>
        <v>0</v>
      </c>
      <c r="E57" s="45" t="n">
        <f aca="false">E55-E56</f>
        <v>0</v>
      </c>
      <c r="F57" s="45" t="n">
        <f aca="false">F55-F56</f>
        <v>0</v>
      </c>
      <c r="G57" s="45" t="n">
        <f aca="false">G55-G56</f>
        <v>0</v>
      </c>
      <c r="H57" s="45" t="n">
        <f aca="false">H55-H56</f>
        <v>0</v>
      </c>
      <c r="I57" s="45" t="n">
        <f aca="false">I55-I56</f>
        <v>0</v>
      </c>
      <c r="J57" s="45" t="n">
        <f aca="false">J55-J56</f>
        <v>0</v>
      </c>
      <c r="K57" s="45" t="n">
        <f aca="false">K55-K56</f>
        <v>0</v>
      </c>
      <c r="L57" s="45" t="n">
        <f aca="false">L55-L56</f>
        <v>0</v>
      </c>
      <c r="M57" s="45" t="n">
        <f aca="false">M55-M56</f>
        <v>0</v>
      </c>
      <c r="N57" s="49" t="n">
        <f aca="false">SUM(B57:M57)</f>
        <v>0</v>
      </c>
    </row>
    <row r="58" customFormat="false" ht="15" hidden="false" customHeight="true" outlineLevel="0" collapsed="false">
      <c r="A58" s="38" t="s">
        <v>455</v>
      </c>
      <c r="B58" s="46" t="n">
        <f aca="false">IFERROR(B57/B14,0)</f>
        <v>0</v>
      </c>
      <c r="C58" s="46" t="n">
        <f aca="false">IFERROR(C57/C14,0)</f>
        <v>0</v>
      </c>
      <c r="D58" s="46" t="n">
        <f aca="false">IFERROR(D57/D14,0)</f>
        <v>0</v>
      </c>
      <c r="E58" s="46" t="n">
        <f aca="false">IFERROR(E57/E14,0)</f>
        <v>0</v>
      </c>
      <c r="F58" s="46" t="n">
        <f aca="false">IFERROR(F57/F14,0)</f>
        <v>0</v>
      </c>
      <c r="G58" s="46" t="n">
        <f aca="false">IFERROR(G57/G14,0)</f>
        <v>0</v>
      </c>
      <c r="H58" s="46" t="n">
        <f aca="false">IFERROR(H57/H14,0)</f>
        <v>0</v>
      </c>
      <c r="I58" s="46" t="n">
        <f aca="false">IFERROR(I57/I14,0)</f>
        <v>0</v>
      </c>
      <c r="J58" s="46" t="n">
        <f aca="false">IFERROR(J57/J14,0)</f>
        <v>0</v>
      </c>
      <c r="K58" s="46" t="n">
        <f aca="false">IFERROR(K57/K14,0)</f>
        <v>0</v>
      </c>
      <c r="L58" s="46" t="n">
        <f aca="false">IFERROR(L57/L14,0)</f>
        <v>0</v>
      </c>
      <c r="M58" s="46" t="n">
        <f aca="false">IFERROR(M57/M14,0)</f>
        <v>0</v>
      </c>
      <c r="N58" s="46" t="n">
        <f aca="false">IFERROR(N57/N14,0)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9B3C"/>
    <pageSetUpPr fitToPage="false"/>
  </sheetPr>
  <dimension ref="A1:O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4"/>
    <col collapsed="false" customWidth="true" hidden="false" outlineLevel="0" max="15" min="15" style="0" width="11"/>
  </cols>
  <sheetData>
    <row r="1" customFormat="false" ht="17.25" hidden="false" customHeight="true" outlineLevel="0" collapsed="false">
      <c r="A1" s="31" t="s">
        <v>404</v>
      </c>
    </row>
    <row r="2" customFormat="false" ht="15" hidden="false" customHeight="true" outlineLevel="0" collapsed="false">
      <c r="A2" s="32" t="s">
        <v>456</v>
      </c>
    </row>
    <row r="3" customFormat="false" ht="15" hidden="false" customHeight="true" outlineLevel="0" collapsed="false">
      <c r="A3" s="33" t="s">
        <v>406</v>
      </c>
    </row>
    <row r="5" customFormat="false" ht="15" hidden="false" customHeight="true" outlineLevel="0" collapsed="false">
      <c r="A5" s="34" t="s">
        <v>314</v>
      </c>
      <c r="B5" s="35" t="s">
        <v>407</v>
      </c>
      <c r="C5" s="35" t="s">
        <v>408</v>
      </c>
      <c r="D5" s="35" t="s">
        <v>409</v>
      </c>
      <c r="E5" s="35" t="s">
        <v>410</v>
      </c>
      <c r="F5" s="35" t="s">
        <v>411</v>
      </c>
      <c r="G5" s="35" t="s">
        <v>412</v>
      </c>
      <c r="H5" s="35" t="s">
        <v>413</v>
      </c>
      <c r="I5" s="35" t="s">
        <v>414</v>
      </c>
      <c r="J5" s="35" t="s">
        <v>415</v>
      </c>
      <c r="K5" s="35" t="s">
        <v>416</v>
      </c>
      <c r="L5" s="35" t="s">
        <v>417</v>
      </c>
      <c r="M5" s="35" t="s">
        <v>418</v>
      </c>
      <c r="N5" s="35" t="s">
        <v>419</v>
      </c>
      <c r="O5" s="36" t="s">
        <v>23</v>
      </c>
    </row>
    <row r="6" customFormat="false" ht="15" hidden="false" customHeight="true" outlineLevel="0" collapsed="false">
      <c r="A6" s="37" t="s">
        <v>420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</row>
    <row r="7" customFormat="false" ht="15" hidden="false" customHeight="true" outlineLevel="0" collapsed="false">
      <c r="A7" s="38" t="s">
        <v>123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 t="n">
        <f aca="false">SUM(B7:M7)</f>
        <v>0</v>
      </c>
      <c r="O7" s="40" t="s">
        <v>122</v>
      </c>
    </row>
    <row r="8" customFormat="false" ht="15" hidden="false" customHeight="true" outlineLevel="0" collapsed="false">
      <c r="A8" s="38" t="s">
        <v>129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 t="n">
        <f aca="false">SUM(B8:M8)</f>
        <v>0</v>
      </c>
      <c r="O8" s="40" t="s">
        <v>128</v>
      </c>
    </row>
    <row r="9" customFormat="false" ht="15" hidden="false" customHeight="true" outlineLevel="0" collapsed="false">
      <c r="A9" s="38" t="s">
        <v>131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 t="n">
        <f aca="false">SUM(B9:M9)</f>
        <v>0</v>
      </c>
      <c r="O9" s="40" t="s">
        <v>130</v>
      </c>
    </row>
    <row r="10" customFormat="false" ht="15" hidden="false" customHeight="true" outlineLevel="0" collapsed="false">
      <c r="A10" s="38" t="s">
        <v>133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41" t="n">
        <f aca="false">SUM(B10:M10)</f>
        <v>0</v>
      </c>
      <c r="O10" s="40" t="s">
        <v>132</v>
      </c>
    </row>
    <row r="11" customFormat="false" ht="15" hidden="false" customHeight="true" outlineLevel="0" collapsed="false">
      <c r="A11" s="38" t="s">
        <v>421</v>
      </c>
      <c r="B11" s="42" t="n">
        <f aca="false">SUM(B7:B10)</f>
        <v>0</v>
      </c>
      <c r="C11" s="42" t="n">
        <f aca="false">SUM(C7:C10)</f>
        <v>0</v>
      </c>
      <c r="D11" s="42" t="n">
        <f aca="false">SUM(D7:D10)</f>
        <v>0</v>
      </c>
      <c r="E11" s="42" t="n">
        <f aca="false">SUM(E7:E10)</f>
        <v>0</v>
      </c>
      <c r="F11" s="42" t="n">
        <f aca="false">SUM(F7:F10)</f>
        <v>0</v>
      </c>
      <c r="G11" s="42" t="n">
        <f aca="false">SUM(G7:G10)</f>
        <v>0</v>
      </c>
      <c r="H11" s="42" t="n">
        <f aca="false">SUM(H7:H10)</f>
        <v>0</v>
      </c>
      <c r="I11" s="42" t="n">
        <f aca="false">SUM(I7:I10)</f>
        <v>0</v>
      </c>
      <c r="J11" s="42" t="n">
        <f aca="false">SUM(J7:J10)</f>
        <v>0</v>
      </c>
      <c r="K11" s="42" t="n">
        <f aca="false">SUM(K7:K10)</f>
        <v>0</v>
      </c>
      <c r="L11" s="42" t="n">
        <f aca="false">SUM(L7:L10)</f>
        <v>0</v>
      </c>
      <c r="M11" s="42" t="n">
        <f aca="false">SUM(M7:M10)</f>
        <v>0</v>
      </c>
      <c r="N11" s="42" t="n">
        <f aca="false">SUM(B11:M11)</f>
        <v>0</v>
      </c>
    </row>
    <row r="12" customFormat="false" ht="15" hidden="false" customHeight="true" outlineLevel="0" collapsed="false">
      <c r="A12" s="38" t="s">
        <v>135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 t="n">
        <f aca="false">SUM(B12:M12)</f>
        <v>0</v>
      </c>
      <c r="O12" s="40" t="s">
        <v>134</v>
      </c>
    </row>
    <row r="13" customFormat="false" ht="15" hidden="false" customHeight="true" outlineLevel="0" collapsed="false">
      <c r="A13" s="38" t="s">
        <v>138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41" t="n">
        <f aca="false">SUM(B13:M13)</f>
        <v>0</v>
      </c>
      <c r="O13" s="40" t="s">
        <v>137</v>
      </c>
    </row>
    <row r="14" customFormat="false" ht="15" hidden="false" customHeight="true" outlineLevel="0" collapsed="false">
      <c r="A14" s="37" t="s">
        <v>422</v>
      </c>
      <c r="B14" s="43" t="n">
        <f aca="false">B11-B12-B13</f>
        <v>0</v>
      </c>
      <c r="C14" s="43" t="n">
        <f aca="false">C11-C12-C13</f>
        <v>0</v>
      </c>
      <c r="D14" s="43" t="n">
        <f aca="false">D11-D12-D13</f>
        <v>0</v>
      </c>
      <c r="E14" s="43" t="n">
        <f aca="false">E11-E12-E13</f>
        <v>0</v>
      </c>
      <c r="F14" s="43" t="n">
        <f aca="false">F11-F12-F13</f>
        <v>0</v>
      </c>
      <c r="G14" s="43" t="n">
        <f aca="false">G11-G12-G13</f>
        <v>0</v>
      </c>
      <c r="H14" s="43" t="n">
        <f aca="false">H11-H12-H13</f>
        <v>0</v>
      </c>
      <c r="I14" s="43" t="n">
        <f aca="false">I11-I12-I13</f>
        <v>0</v>
      </c>
      <c r="J14" s="43" t="n">
        <f aca="false">J11-J12-J13</f>
        <v>0</v>
      </c>
      <c r="K14" s="43" t="n">
        <f aca="false">K11-K12-K13</f>
        <v>0</v>
      </c>
      <c r="L14" s="43" t="n">
        <f aca="false">L11-L12-L13</f>
        <v>0</v>
      </c>
      <c r="M14" s="43" t="n">
        <f aca="false">M11-M12-M13</f>
        <v>0</v>
      </c>
      <c r="N14" s="43" t="n">
        <f aca="false">SUM(B14:M14)</f>
        <v>0</v>
      </c>
    </row>
    <row r="15" customFormat="false" ht="15" hidden="false" customHeight="true" outlineLevel="0" collapsed="false">
      <c r="A15" s="37" t="s">
        <v>423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</row>
    <row r="16" customFormat="false" ht="15" hidden="false" customHeight="true" outlineLevel="0" collapsed="false">
      <c r="A16" s="38" t="s">
        <v>140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 t="n">
        <f aca="false">SUM(B16:M16)</f>
        <v>0</v>
      </c>
      <c r="O16" s="40" t="s">
        <v>139</v>
      </c>
    </row>
    <row r="17" customFormat="false" ht="15" hidden="false" customHeight="true" outlineLevel="0" collapsed="false">
      <c r="A17" s="38" t="s">
        <v>143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 t="n">
        <f aca="false">SUM(B17:M17)</f>
        <v>0</v>
      </c>
      <c r="O17" s="40" t="s">
        <v>142</v>
      </c>
    </row>
    <row r="18" customFormat="false" ht="15" hidden="false" customHeight="true" outlineLevel="0" collapsed="false">
      <c r="A18" s="38" t="s">
        <v>145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 t="n">
        <f aca="false">SUM(B18:M18)</f>
        <v>0</v>
      </c>
      <c r="O18" s="40" t="s">
        <v>144</v>
      </c>
    </row>
    <row r="19" customFormat="false" ht="15" hidden="false" customHeight="true" outlineLevel="0" collapsed="false">
      <c r="A19" s="38" t="s">
        <v>424</v>
      </c>
      <c r="B19" s="44" t="n">
        <f aca="false">SUM(B20:B23)</f>
        <v>0</v>
      </c>
      <c r="C19" s="44" t="n">
        <f aca="false">SUM(C20:C23)</f>
        <v>0</v>
      </c>
      <c r="D19" s="44" t="n">
        <f aca="false">SUM(D20:D23)</f>
        <v>0</v>
      </c>
      <c r="E19" s="44" t="n">
        <f aca="false">SUM(E20:E23)</f>
        <v>0</v>
      </c>
      <c r="F19" s="44" t="n">
        <f aca="false">SUM(F20:F23)</f>
        <v>0</v>
      </c>
      <c r="G19" s="44" t="n">
        <f aca="false">SUM(G20:G23)</f>
        <v>0</v>
      </c>
      <c r="H19" s="44" t="n">
        <f aca="false">SUM(H20:H23)</f>
        <v>0</v>
      </c>
      <c r="I19" s="44" t="n">
        <f aca="false">SUM(I20:I23)</f>
        <v>0</v>
      </c>
      <c r="J19" s="44" t="n">
        <f aca="false">SUM(J20:J23)</f>
        <v>0</v>
      </c>
      <c r="K19" s="44" t="n">
        <f aca="false">SUM(K20:K23)</f>
        <v>0</v>
      </c>
      <c r="L19" s="44" t="n">
        <f aca="false">SUM(L20:L23)</f>
        <v>0</v>
      </c>
      <c r="M19" s="44" t="n">
        <f aca="false">SUM(M20:M23)</f>
        <v>0</v>
      </c>
      <c r="N19" s="44" t="n">
        <f aca="false">SUM(B19:M19)</f>
        <v>0</v>
      </c>
    </row>
    <row r="20" customFormat="false" ht="15" hidden="false" customHeight="true" outlineLevel="0" collapsed="false">
      <c r="A20" s="38" t="s">
        <v>425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 t="n">
        <f aca="false">SUM(B20:M20)</f>
        <v>0</v>
      </c>
      <c r="O20" s="40" t="s">
        <v>146</v>
      </c>
    </row>
    <row r="21" customFormat="false" ht="15" hidden="false" customHeight="true" outlineLevel="0" collapsed="false">
      <c r="A21" s="38" t="s">
        <v>426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 t="n">
        <f aca="false">SUM(B21:M21)</f>
        <v>0</v>
      </c>
      <c r="O21" s="40" t="s">
        <v>149</v>
      </c>
    </row>
    <row r="22" customFormat="false" ht="15" hidden="false" customHeight="true" outlineLevel="0" collapsed="false">
      <c r="A22" s="38" t="s">
        <v>427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 t="n">
        <f aca="false">SUM(B22:M22)</f>
        <v>0</v>
      </c>
      <c r="O22" s="40" t="s">
        <v>151</v>
      </c>
    </row>
    <row r="23" customFormat="false" ht="15" hidden="false" customHeight="true" outlineLevel="0" collapsed="false">
      <c r="A23" s="38" t="s">
        <v>428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 t="n">
        <f aca="false">SUM(B23:M23)</f>
        <v>0</v>
      </c>
      <c r="O23" s="40" t="s">
        <v>153</v>
      </c>
    </row>
    <row r="24" customFormat="false" ht="15" hidden="false" customHeight="true" outlineLevel="0" collapsed="false">
      <c r="A24" s="38" t="s">
        <v>156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 t="n">
        <f aca="false">SUM(B24:M24)</f>
        <v>0</v>
      </c>
      <c r="O24" s="40" t="s">
        <v>155</v>
      </c>
    </row>
    <row r="25" customFormat="false" ht="15" hidden="false" customHeight="true" outlineLevel="0" collapsed="false">
      <c r="A25" s="37" t="s">
        <v>429</v>
      </c>
      <c r="B25" s="43" t="n">
        <f aca="false">B16+B17+B18+B19-B24</f>
        <v>0</v>
      </c>
      <c r="C25" s="43" t="n">
        <f aca="false">C16+C17+C18+C19-C24</f>
        <v>0</v>
      </c>
      <c r="D25" s="43" t="n">
        <f aca="false">D16+D17+D18+D19-D24</f>
        <v>0</v>
      </c>
      <c r="E25" s="43" t="n">
        <f aca="false">E16+E17+E18+E19-E24</f>
        <v>0</v>
      </c>
      <c r="F25" s="43" t="n">
        <f aca="false">F16+F17+F18+F19-F24</f>
        <v>0</v>
      </c>
      <c r="G25" s="43" t="n">
        <f aca="false">G16+G17+G18+G19-G24</f>
        <v>0</v>
      </c>
      <c r="H25" s="43" t="n">
        <f aca="false">H16+H17+H18+H19-H24</f>
        <v>0</v>
      </c>
      <c r="I25" s="43" t="n">
        <f aca="false">I16+I17+I18+I19-I24</f>
        <v>0</v>
      </c>
      <c r="J25" s="43" t="n">
        <f aca="false">J16+J17+J18+J19-J24</f>
        <v>0</v>
      </c>
      <c r="K25" s="43" t="n">
        <f aca="false">K16+K17+K18+K19-K24</f>
        <v>0</v>
      </c>
      <c r="L25" s="43" t="n">
        <f aca="false">L16+L17+L18+L19-L24</f>
        <v>0</v>
      </c>
      <c r="M25" s="43" t="n">
        <f aca="false">M16+M17+M18+M19-M24</f>
        <v>0</v>
      </c>
      <c r="N25" s="43" t="n">
        <f aca="false">SUM(B25:M25)</f>
        <v>0</v>
      </c>
    </row>
    <row r="26" customFormat="false" ht="15" hidden="false" customHeight="true" outlineLevel="0" collapsed="false">
      <c r="A26" s="37" t="s">
        <v>430</v>
      </c>
      <c r="B26" s="45" t="n">
        <f aca="false">B14-B25</f>
        <v>0</v>
      </c>
      <c r="C26" s="45" t="n">
        <f aca="false">C14-C25</f>
        <v>0</v>
      </c>
      <c r="D26" s="45" t="n">
        <f aca="false">D14-D25</f>
        <v>0</v>
      </c>
      <c r="E26" s="45" t="n">
        <f aca="false">E14-E25</f>
        <v>0</v>
      </c>
      <c r="F26" s="45" t="n">
        <f aca="false">F14-F25</f>
        <v>0</v>
      </c>
      <c r="G26" s="45" t="n">
        <f aca="false">G14-G25</f>
        <v>0</v>
      </c>
      <c r="H26" s="45" t="n">
        <f aca="false">H14-H25</f>
        <v>0</v>
      </c>
      <c r="I26" s="45" t="n">
        <f aca="false">I14-I25</f>
        <v>0</v>
      </c>
      <c r="J26" s="45" t="n">
        <f aca="false">J14-J25</f>
        <v>0</v>
      </c>
      <c r="K26" s="45" t="n">
        <f aca="false">K14-K25</f>
        <v>0</v>
      </c>
      <c r="L26" s="45" t="n">
        <f aca="false">L14-L25</f>
        <v>0</v>
      </c>
      <c r="M26" s="45" t="n">
        <f aca="false">M14-M25</f>
        <v>0</v>
      </c>
      <c r="N26" s="45" t="n">
        <f aca="false">SUM(B26:M26)</f>
        <v>0</v>
      </c>
    </row>
    <row r="27" customFormat="false" ht="15" hidden="false" customHeight="true" outlineLevel="0" collapsed="false">
      <c r="A27" s="38" t="s">
        <v>431</v>
      </c>
      <c r="B27" s="46" t="n">
        <f aca="false">IFERROR(B26/B14,0)</f>
        <v>0</v>
      </c>
      <c r="C27" s="46" t="n">
        <f aca="false">IFERROR(C26/C14,0)</f>
        <v>0</v>
      </c>
      <c r="D27" s="46" t="n">
        <f aca="false">IFERROR(D26/D14,0)</f>
        <v>0</v>
      </c>
      <c r="E27" s="46" t="n">
        <f aca="false">IFERROR(E26/E14,0)</f>
        <v>0</v>
      </c>
      <c r="F27" s="46" t="n">
        <f aca="false">IFERROR(F26/F14,0)</f>
        <v>0</v>
      </c>
      <c r="G27" s="46" t="n">
        <f aca="false">IFERROR(G26/G14,0)</f>
        <v>0</v>
      </c>
      <c r="H27" s="46" t="n">
        <f aca="false">IFERROR(H26/H14,0)</f>
        <v>0</v>
      </c>
      <c r="I27" s="46" t="n">
        <f aca="false">IFERROR(I26/I14,0)</f>
        <v>0</v>
      </c>
      <c r="J27" s="46" t="n">
        <f aca="false">IFERROR(J26/J14,0)</f>
        <v>0</v>
      </c>
      <c r="K27" s="46" t="n">
        <f aca="false">IFERROR(K26/K14,0)</f>
        <v>0</v>
      </c>
      <c r="L27" s="46" t="n">
        <f aca="false">IFERROR(L26/L14,0)</f>
        <v>0</v>
      </c>
      <c r="M27" s="46" t="n">
        <f aca="false">IFERROR(M26/M14,0)</f>
        <v>0</v>
      </c>
      <c r="N27" s="46" t="n">
        <f aca="false">IFERROR(N26/N14,0)</f>
        <v>0</v>
      </c>
    </row>
    <row r="28" customFormat="false" ht="15" hidden="false" customHeight="true" outlineLevel="0" collapsed="false">
      <c r="A28" s="37" t="s">
        <v>432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</row>
    <row r="29" customFormat="false" ht="15" hidden="false" customHeight="true" outlineLevel="0" collapsed="false">
      <c r="A29" s="38" t="s">
        <v>433</v>
      </c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</row>
    <row r="30" customFormat="false" ht="15" hidden="false" customHeight="true" outlineLevel="0" collapsed="false">
      <c r="A30" s="38" t="s">
        <v>434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 t="n">
        <f aca="false">SUM(B30:M30)</f>
        <v>0</v>
      </c>
      <c r="O30" s="40" t="s">
        <v>157</v>
      </c>
    </row>
    <row r="31" customFormat="false" ht="15" hidden="false" customHeight="true" outlineLevel="0" collapsed="false">
      <c r="A31" s="38" t="s">
        <v>435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 t="n">
        <f aca="false">SUM(B31:M31)</f>
        <v>0</v>
      </c>
      <c r="O31" s="40" t="s">
        <v>160</v>
      </c>
    </row>
    <row r="32" customFormat="false" ht="15" hidden="false" customHeight="true" outlineLevel="0" collapsed="false">
      <c r="A32" s="38" t="s">
        <v>436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 t="n">
        <f aca="false">SUM(B32:M32)</f>
        <v>0</v>
      </c>
      <c r="O32" s="40" t="s">
        <v>162</v>
      </c>
    </row>
    <row r="33" customFormat="false" ht="15" hidden="false" customHeight="true" outlineLevel="0" collapsed="false">
      <c r="A33" s="38" t="s">
        <v>437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 t="n">
        <f aca="false">SUM(B33:M33)</f>
        <v>0</v>
      </c>
      <c r="O33" s="40" t="s">
        <v>164</v>
      </c>
    </row>
    <row r="34" customFormat="false" ht="15" hidden="false" customHeight="true" outlineLevel="0" collapsed="false">
      <c r="A34" s="38" t="s">
        <v>438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 t="n">
        <f aca="false">SUM(B34:M34)</f>
        <v>0</v>
      </c>
      <c r="O34" s="40" t="s">
        <v>166</v>
      </c>
    </row>
    <row r="35" customFormat="false" ht="15" hidden="false" customHeight="true" outlineLevel="0" collapsed="false">
      <c r="A35" s="38" t="s">
        <v>439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</row>
    <row r="36" customFormat="false" ht="15" hidden="false" customHeight="true" outlineLevel="0" collapsed="false">
      <c r="A36" s="38" t="s">
        <v>440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 t="n">
        <f aca="false">SUM(B36:M36)</f>
        <v>0</v>
      </c>
      <c r="O36" s="40" t="s">
        <v>168</v>
      </c>
    </row>
    <row r="37" customFormat="false" ht="15" hidden="false" customHeight="true" outlineLevel="0" collapsed="false">
      <c r="A37" s="38" t="s">
        <v>441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 t="n">
        <f aca="false">SUM(B37:M37)</f>
        <v>0</v>
      </c>
      <c r="O37" s="40" t="s">
        <v>171</v>
      </c>
    </row>
    <row r="38" customFormat="false" ht="15" hidden="false" customHeight="true" outlineLevel="0" collapsed="false">
      <c r="A38" s="38" t="s">
        <v>442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 t="n">
        <f aca="false">SUM(B38:M38)</f>
        <v>0</v>
      </c>
      <c r="O38" s="40" t="s">
        <v>173</v>
      </c>
    </row>
    <row r="39" customFormat="false" ht="15" hidden="false" customHeight="true" outlineLevel="0" collapsed="false">
      <c r="A39" s="38" t="s">
        <v>443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 t="n">
        <f aca="false">SUM(B39:M39)</f>
        <v>0</v>
      </c>
      <c r="O39" s="40" t="s">
        <v>175</v>
      </c>
    </row>
    <row r="40" customFormat="false" ht="15" hidden="false" customHeight="true" outlineLevel="0" collapsed="false">
      <c r="A40" s="38" t="s">
        <v>444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 t="n">
        <f aca="false">SUM(B40:M40)</f>
        <v>0</v>
      </c>
      <c r="O40" s="40" t="s">
        <v>177</v>
      </c>
    </row>
    <row r="41" customFormat="false" ht="15" hidden="false" customHeight="true" outlineLevel="0" collapsed="false">
      <c r="A41" s="38" t="s">
        <v>445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 t="n">
        <f aca="false">SUM(B41:M41)</f>
        <v>0</v>
      </c>
      <c r="O41" s="40" t="s">
        <v>179</v>
      </c>
    </row>
    <row r="42" customFormat="false" ht="15" hidden="false" customHeight="true" outlineLevel="0" collapsed="false">
      <c r="A42" s="38" t="s">
        <v>446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 t="n">
        <f aca="false">SUM(B42:M42)</f>
        <v>0</v>
      </c>
      <c r="O42" s="40" t="s">
        <v>181</v>
      </c>
    </row>
    <row r="43" customFormat="false" ht="15" hidden="false" customHeight="true" outlineLevel="0" collapsed="false">
      <c r="A43" s="38" t="s">
        <v>447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 t="n">
        <f aca="false">SUM(B43:M43)</f>
        <v>0</v>
      </c>
      <c r="O43" s="40" t="s">
        <v>183</v>
      </c>
    </row>
    <row r="44" customFormat="false" ht="15" hidden="false" customHeight="true" outlineLevel="0" collapsed="false">
      <c r="A44" s="37" t="s">
        <v>448</v>
      </c>
      <c r="B44" s="43" t="n">
        <f aca="false">SUM(B29:B43)</f>
        <v>0</v>
      </c>
      <c r="C44" s="43" t="n">
        <f aca="false">SUM(C29:C43)</f>
        <v>0</v>
      </c>
      <c r="D44" s="43" t="n">
        <f aca="false">SUM(D29:D43)</f>
        <v>0</v>
      </c>
      <c r="E44" s="43" t="n">
        <f aca="false">SUM(E29:E43)</f>
        <v>0</v>
      </c>
      <c r="F44" s="43" t="n">
        <f aca="false">SUM(F29:F43)</f>
        <v>0</v>
      </c>
      <c r="G44" s="43" t="n">
        <f aca="false">SUM(G29:G43)</f>
        <v>0</v>
      </c>
      <c r="H44" s="43" t="n">
        <f aca="false">SUM(H29:H43)</f>
        <v>0</v>
      </c>
      <c r="I44" s="43" t="n">
        <f aca="false">SUM(I29:I43)</f>
        <v>0</v>
      </c>
      <c r="J44" s="43" t="n">
        <f aca="false">SUM(J29:J43)</f>
        <v>0</v>
      </c>
      <c r="K44" s="43" t="n">
        <f aca="false">SUM(K29:K43)</f>
        <v>0</v>
      </c>
      <c r="L44" s="43" t="n">
        <f aca="false">SUM(L29:L43)</f>
        <v>0</v>
      </c>
      <c r="M44" s="43" t="n">
        <f aca="false">SUM(M29:M43)</f>
        <v>0</v>
      </c>
      <c r="N44" s="43" t="n">
        <f aca="false">SUM(B44:M44)</f>
        <v>0</v>
      </c>
    </row>
    <row r="45" customFormat="false" ht="15" hidden="false" customHeight="true" outlineLevel="0" collapsed="false">
      <c r="A45" s="37" t="s">
        <v>449</v>
      </c>
      <c r="B45" s="45" t="n">
        <f aca="false">B26-B44</f>
        <v>0</v>
      </c>
      <c r="C45" s="45" t="n">
        <f aca="false">C26-C44</f>
        <v>0</v>
      </c>
      <c r="D45" s="45" t="n">
        <f aca="false">D26-D44</f>
        <v>0</v>
      </c>
      <c r="E45" s="45" t="n">
        <f aca="false">E26-E44</f>
        <v>0</v>
      </c>
      <c r="F45" s="45" t="n">
        <f aca="false">F26-F44</f>
        <v>0</v>
      </c>
      <c r="G45" s="45" t="n">
        <f aca="false">G26-G44</f>
        <v>0</v>
      </c>
      <c r="H45" s="45" t="n">
        <f aca="false">H26-H44</f>
        <v>0</v>
      </c>
      <c r="I45" s="45" t="n">
        <f aca="false">I26-I44</f>
        <v>0</v>
      </c>
      <c r="J45" s="45" t="n">
        <f aca="false">J26-J44</f>
        <v>0</v>
      </c>
      <c r="K45" s="45" t="n">
        <f aca="false">K26-K44</f>
        <v>0</v>
      </c>
      <c r="L45" s="45" t="n">
        <f aca="false">L26-L44</f>
        <v>0</v>
      </c>
      <c r="M45" s="45" t="n">
        <f aca="false">M26-M44</f>
        <v>0</v>
      </c>
      <c r="N45" s="45" t="n">
        <f aca="false">SUM(B45:M45)</f>
        <v>0</v>
      </c>
    </row>
    <row r="46" customFormat="false" ht="15" hidden="false" customHeight="true" outlineLevel="0" collapsed="false">
      <c r="A46" s="38" t="s">
        <v>450</v>
      </c>
      <c r="B46" s="46" t="n">
        <f aca="false">IFERROR(B45/B14,0)</f>
        <v>0</v>
      </c>
      <c r="C46" s="46" t="n">
        <f aca="false">IFERROR(C45/C14,0)</f>
        <v>0</v>
      </c>
      <c r="D46" s="46" t="n">
        <f aca="false">IFERROR(D45/D14,0)</f>
        <v>0</v>
      </c>
      <c r="E46" s="46" t="n">
        <f aca="false">IFERROR(E45/E14,0)</f>
        <v>0</v>
      </c>
      <c r="F46" s="46" t="n">
        <f aca="false">IFERROR(F45/F14,0)</f>
        <v>0</v>
      </c>
      <c r="G46" s="46" t="n">
        <f aca="false">IFERROR(G45/G14,0)</f>
        <v>0</v>
      </c>
      <c r="H46" s="46" t="n">
        <f aca="false">IFERROR(H45/H14,0)</f>
        <v>0</v>
      </c>
      <c r="I46" s="46" t="n">
        <f aca="false">IFERROR(I45/I14,0)</f>
        <v>0</v>
      </c>
      <c r="J46" s="46" t="n">
        <f aca="false">IFERROR(J45/J14,0)</f>
        <v>0</v>
      </c>
      <c r="K46" s="46" t="n">
        <f aca="false">IFERROR(K45/K14,0)</f>
        <v>0</v>
      </c>
      <c r="L46" s="46" t="n">
        <f aca="false">IFERROR(L45/L14,0)</f>
        <v>0</v>
      </c>
      <c r="M46" s="46" t="n">
        <f aca="false">IFERROR(M45/M14,0)</f>
        <v>0</v>
      </c>
      <c r="N46" s="46" t="n">
        <f aca="false">IFERROR(N45/N14,0)</f>
        <v>0</v>
      </c>
    </row>
    <row r="47" customFormat="false" ht="15" hidden="false" customHeight="true" outlineLevel="0" collapsed="false">
      <c r="A47" s="37" t="s">
        <v>451</v>
      </c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</row>
    <row r="48" customFormat="false" ht="15" hidden="false" customHeight="true" outlineLevel="0" collapsed="false">
      <c r="A48" s="38" t="s">
        <v>186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 t="n">
        <f aca="false">SUM(B48:M48)</f>
        <v>0</v>
      </c>
      <c r="O48" s="40" t="s">
        <v>185</v>
      </c>
    </row>
    <row r="49" customFormat="false" ht="15" hidden="false" customHeight="true" outlineLevel="0" collapsed="false">
      <c r="A49" s="38" t="s">
        <v>189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 t="n">
        <f aca="false">SUM(B49:M49)</f>
        <v>0</v>
      </c>
      <c r="O49" s="40" t="s">
        <v>188</v>
      </c>
    </row>
    <row r="50" customFormat="false" ht="15" hidden="false" customHeight="true" outlineLevel="0" collapsed="false">
      <c r="A50" s="38" t="s">
        <v>191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 t="n">
        <f aca="false">SUM(B50:M50)</f>
        <v>0</v>
      </c>
      <c r="O50" s="40" t="s">
        <v>190</v>
      </c>
    </row>
    <row r="51" customFormat="false" ht="15" hidden="false" customHeight="true" outlineLevel="0" collapsed="false">
      <c r="A51" s="38" t="s">
        <v>193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 t="n">
        <f aca="false">SUM(B51:M51)</f>
        <v>0</v>
      </c>
      <c r="O51" s="40" t="s">
        <v>192</v>
      </c>
    </row>
    <row r="52" customFormat="false" ht="15" hidden="false" customHeight="true" outlineLevel="0" collapsed="false">
      <c r="A52" s="38" t="s">
        <v>196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 t="n">
        <f aca="false">SUM(B52:M52)</f>
        <v>0</v>
      </c>
      <c r="O52" s="40" t="s">
        <v>195</v>
      </c>
    </row>
    <row r="53" customFormat="false" ht="15" hidden="false" customHeight="true" outlineLevel="0" collapsed="false">
      <c r="A53" s="38" t="s">
        <v>198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 t="n">
        <f aca="false">SUM(B53:M53)</f>
        <v>0</v>
      </c>
      <c r="O53" s="40" t="s">
        <v>197</v>
      </c>
    </row>
    <row r="54" customFormat="false" ht="15" hidden="false" customHeight="true" outlineLevel="0" collapsed="false">
      <c r="A54" s="37" t="s">
        <v>452</v>
      </c>
      <c r="B54" s="43" t="n">
        <f aca="false">B48+B49+B50-B51-B52-B53</f>
        <v>0</v>
      </c>
      <c r="C54" s="43" t="n">
        <f aca="false">C48+C49+C50-C51-C52-C53</f>
        <v>0</v>
      </c>
      <c r="D54" s="43" t="n">
        <f aca="false">D48+D49+D50-D51-D52-D53</f>
        <v>0</v>
      </c>
      <c r="E54" s="43" t="n">
        <f aca="false">E48+E49+E50-E51-E52-E53</f>
        <v>0</v>
      </c>
      <c r="F54" s="43" t="n">
        <f aca="false">F48+F49+F50-F51-F52-F53</f>
        <v>0</v>
      </c>
      <c r="G54" s="43" t="n">
        <f aca="false">G48+G49+G50-G51-G52-G53</f>
        <v>0</v>
      </c>
      <c r="H54" s="43" t="n">
        <f aca="false">H48+H49+H50-H51-H52-H53</f>
        <v>0</v>
      </c>
      <c r="I54" s="43" t="n">
        <f aca="false">I48+I49+I50-I51-I52-I53</f>
        <v>0</v>
      </c>
      <c r="J54" s="43" t="n">
        <f aca="false">J48+J49+J50-J51-J52-J53</f>
        <v>0</v>
      </c>
      <c r="K54" s="43" t="n">
        <f aca="false">K48+K49+K50-K51-K52-K53</f>
        <v>0</v>
      </c>
      <c r="L54" s="43" t="n">
        <f aca="false">L48+L49+L50-L51-L52-L53</f>
        <v>0</v>
      </c>
      <c r="M54" s="43" t="n">
        <f aca="false">M48+M49+M50-M51-M52-M53</f>
        <v>0</v>
      </c>
      <c r="N54" s="43" t="n">
        <f aca="false">SUM(B54:M54)</f>
        <v>0</v>
      </c>
    </row>
    <row r="55" customFormat="false" ht="15" hidden="false" customHeight="true" outlineLevel="0" collapsed="false">
      <c r="A55" s="37" t="s">
        <v>453</v>
      </c>
      <c r="B55" s="45" t="n">
        <f aca="false">B45+B54</f>
        <v>0</v>
      </c>
      <c r="C55" s="45" t="n">
        <f aca="false">C45+C54</f>
        <v>0</v>
      </c>
      <c r="D55" s="45" t="n">
        <f aca="false">D45+D54</f>
        <v>0</v>
      </c>
      <c r="E55" s="45" t="n">
        <f aca="false">E45+E54</f>
        <v>0</v>
      </c>
      <c r="F55" s="45" t="n">
        <f aca="false">F45+F54</f>
        <v>0</v>
      </c>
      <c r="G55" s="45" t="n">
        <f aca="false">G45+G54</f>
        <v>0</v>
      </c>
      <c r="H55" s="45" t="n">
        <f aca="false">H45+H54</f>
        <v>0</v>
      </c>
      <c r="I55" s="45" t="n">
        <f aca="false">I45+I54</f>
        <v>0</v>
      </c>
      <c r="J55" s="45" t="n">
        <f aca="false">J45+J54</f>
        <v>0</v>
      </c>
      <c r="K55" s="45" t="n">
        <f aca="false">K45+K54</f>
        <v>0</v>
      </c>
      <c r="L55" s="45" t="n">
        <f aca="false">L45+L54</f>
        <v>0</v>
      </c>
      <c r="M55" s="45" t="n">
        <f aca="false">M45+M54</f>
        <v>0</v>
      </c>
      <c r="N55" s="45" t="n">
        <f aca="false">SUM(B55:M55)</f>
        <v>0</v>
      </c>
    </row>
    <row r="56" customFormat="false" ht="15" hidden="false" customHeight="true" outlineLevel="0" collapsed="false">
      <c r="A56" s="38" t="s">
        <v>200</v>
      </c>
      <c r="B56" s="42" t="n">
        <f aca="false">MAX(0,B55)*0.27</f>
        <v>0</v>
      </c>
      <c r="C56" s="42" t="n">
        <f aca="false">MAX(0,C55)*0.27</f>
        <v>0</v>
      </c>
      <c r="D56" s="42" t="n">
        <f aca="false">MAX(0,D55)*0.27</f>
        <v>0</v>
      </c>
      <c r="E56" s="42" t="n">
        <f aca="false">MAX(0,E55)*0.27</f>
        <v>0</v>
      </c>
      <c r="F56" s="42" t="n">
        <f aca="false">MAX(0,F55)*0.27</f>
        <v>0</v>
      </c>
      <c r="G56" s="42" t="n">
        <f aca="false">MAX(0,G55)*0.27</f>
        <v>0</v>
      </c>
      <c r="H56" s="42" t="n">
        <f aca="false">MAX(0,H55)*0.27</f>
        <v>0</v>
      </c>
      <c r="I56" s="42" t="n">
        <f aca="false">MAX(0,I55)*0.27</f>
        <v>0</v>
      </c>
      <c r="J56" s="42" t="n">
        <f aca="false">MAX(0,J55)*0.27</f>
        <v>0</v>
      </c>
      <c r="K56" s="42" t="n">
        <f aca="false">MAX(0,K55)*0.27</f>
        <v>0</v>
      </c>
      <c r="L56" s="42" t="n">
        <f aca="false">MAX(0,L55)*0.27</f>
        <v>0</v>
      </c>
      <c r="M56" s="42" t="n">
        <f aca="false">MAX(0,M55)*0.27</f>
        <v>0</v>
      </c>
      <c r="N56" s="42" t="n">
        <f aca="false">SUM(B56:M56)</f>
        <v>0</v>
      </c>
      <c r="O56" s="0" t="s">
        <v>199</v>
      </c>
    </row>
    <row r="57" customFormat="false" ht="15" hidden="false" customHeight="true" outlineLevel="0" collapsed="false">
      <c r="A57" s="37" t="s">
        <v>454</v>
      </c>
      <c r="B57" s="45" t="n">
        <f aca="false">B55-B56</f>
        <v>0</v>
      </c>
      <c r="C57" s="45" t="n">
        <f aca="false">C55-C56</f>
        <v>0</v>
      </c>
      <c r="D57" s="45" t="n">
        <f aca="false">D55-D56</f>
        <v>0</v>
      </c>
      <c r="E57" s="45" t="n">
        <f aca="false">E55-E56</f>
        <v>0</v>
      </c>
      <c r="F57" s="45" t="n">
        <f aca="false">F55-F56</f>
        <v>0</v>
      </c>
      <c r="G57" s="45" t="n">
        <f aca="false">G55-G56</f>
        <v>0</v>
      </c>
      <c r="H57" s="45" t="n">
        <f aca="false">H55-H56</f>
        <v>0</v>
      </c>
      <c r="I57" s="45" t="n">
        <f aca="false">I55-I56</f>
        <v>0</v>
      </c>
      <c r="J57" s="45" t="n">
        <f aca="false">J55-J56</f>
        <v>0</v>
      </c>
      <c r="K57" s="45" t="n">
        <f aca="false">K55-K56</f>
        <v>0</v>
      </c>
      <c r="L57" s="45" t="n">
        <f aca="false">L55-L56</f>
        <v>0</v>
      </c>
      <c r="M57" s="45" t="n">
        <f aca="false">M55-M56</f>
        <v>0</v>
      </c>
      <c r="N57" s="45" t="n">
        <f aca="false">SUM(B57:M57)</f>
        <v>0</v>
      </c>
    </row>
    <row r="58" customFormat="false" ht="15" hidden="false" customHeight="true" outlineLevel="0" collapsed="false">
      <c r="A58" s="38" t="s">
        <v>455</v>
      </c>
      <c r="B58" s="46" t="n">
        <f aca="false">IFERROR(B57/B14,0)</f>
        <v>0</v>
      </c>
      <c r="C58" s="46" t="n">
        <f aca="false">IFERROR(C57/C14,0)</f>
        <v>0</v>
      </c>
      <c r="D58" s="46" t="n">
        <f aca="false">IFERROR(D57/D14,0)</f>
        <v>0</v>
      </c>
      <c r="E58" s="46" t="n">
        <f aca="false">IFERROR(E57/E14,0)</f>
        <v>0</v>
      </c>
      <c r="F58" s="46" t="n">
        <f aca="false">IFERROR(F57/F14,0)</f>
        <v>0</v>
      </c>
      <c r="G58" s="46" t="n">
        <f aca="false">IFERROR(G57/G14,0)</f>
        <v>0</v>
      </c>
      <c r="H58" s="46" t="n">
        <f aca="false">IFERROR(H57/H14,0)</f>
        <v>0</v>
      </c>
      <c r="I58" s="46" t="n">
        <f aca="false">IFERROR(I57/I14,0)</f>
        <v>0</v>
      </c>
      <c r="J58" s="46" t="n">
        <f aca="false">IFERROR(J57/J14,0)</f>
        <v>0</v>
      </c>
      <c r="K58" s="46" t="n">
        <f aca="false">IFERROR(K57/K14,0)</f>
        <v>0</v>
      </c>
      <c r="L58" s="46" t="n">
        <f aca="false">IFERROR(L57/L14,0)</f>
        <v>0</v>
      </c>
      <c r="M58" s="46" t="n">
        <f aca="false">IFERROR(M57/M14,0)</f>
        <v>0</v>
      </c>
      <c r="N58" s="46" t="n">
        <f aca="false">IFERROR(N57/N14,0)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9B3C"/>
    <pageSetUpPr fitToPage="false"/>
  </sheetPr>
  <dimension ref="A1:O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4"/>
    <col collapsed="false" customWidth="true" hidden="false" outlineLevel="0" max="15" min="15" style="0" width="11"/>
  </cols>
  <sheetData>
    <row r="1" customFormat="false" ht="17.25" hidden="false" customHeight="true" outlineLevel="0" collapsed="false">
      <c r="A1" s="31" t="s">
        <v>404</v>
      </c>
    </row>
    <row r="2" customFormat="false" ht="15" hidden="false" customHeight="true" outlineLevel="0" collapsed="false">
      <c r="A2" s="32" t="s">
        <v>457</v>
      </c>
    </row>
    <row r="3" customFormat="false" ht="15" hidden="false" customHeight="true" outlineLevel="0" collapsed="false">
      <c r="A3" s="33" t="s">
        <v>406</v>
      </c>
    </row>
    <row r="5" customFormat="false" ht="15" hidden="false" customHeight="true" outlineLevel="0" collapsed="false">
      <c r="A5" s="34" t="s">
        <v>314</v>
      </c>
      <c r="B5" s="35" t="s">
        <v>407</v>
      </c>
      <c r="C5" s="35" t="s">
        <v>408</v>
      </c>
      <c r="D5" s="35" t="s">
        <v>409</v>
      </c>
      <c r="E5" s="35" t="s">
        <v>410</v>
      </c>
      <c r="F5" s="35" t="s">
        <v>411</v>
      </c>
      <c r="G5" s="35" t="s">
        <v>412</v>
      </c>
      <c r="H5" s="35" t="s">
        <v>413</v>
      </c>
      <c r="I5" s="35" t="s">
        <v>414</v>
      </c>
      <c r="J5" s="35" t="s">
        <v>415</v>
      </c>
      <c r="K5" s="35" t="s">
        <v>416</v>
      </c>
      <c r="L5" s="35" t="s">
        <v>417</v>
      </c>
      <c r="M5" s="35" t="s">
        <v>418</v>
      </c>
      <c r="N5" s="35" t="s">
        <v>419</v>
      </c>
      <c r="O5" s="36" t="s">
        <v>23</v>
      </c>
    </row>
    <row r="6" customFormat="false" ht="15" hidden="false" customHeight="true" outlineLevel="0" collapsed="false">
      <c r="A6" s="37" t="s">
        <v>420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</row>
    <row r="7" customFormat="false" ht="15" hidden="false" customHeight="true" outlineLevel="0" collapsed="false">
      <c r="A7" s="38" t="s">
        <v>123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 t="n">
        <f aca="false">SUM(B7:M7)</f>
        <v>0</v>
      </c>
      <c r="O7" s="40" t="s">
        <v>122</v>
      </c>
    </row>
    <row r="8" customFormat="false" ht="15" hidden="false" customHeight="true" outlineLevel="0" collapsed="false">
      <c r="A8" s="38" t="s">
        <v>129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 t="n">
        <f aca="false">SUM(B8:M8)</f>
        <v>0</v>
      </c>
      <c r="O8" s="40" t="s">
        <v>128</v>
      </c>
    </row>
    <row r="9" customFormat="false" ht="15" hidden="false" customHeight="true" outlineLevel="0" collapsed="false">
      <c r="A9" s="38" t="s">
        <v>131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 t="n">
        <f aca="false">SUM(B9:M9)</f>
        <v>0</v>
      </c>
      <c r="O9" s="40" t="s">
        <v>130</v>
      </c>
    </row>
    <row r="10" customFormat="false" ht="15" hidden="false" customHeight="true" outlineLevel="0" collapsed="false">
      <c r="A10" s="38" t="s">
        <v>133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41" t="n">
        <f aca="false">SUM(B10:M10)</f>
        <v>0</v>
      </c>
      <c r="O10" s="40" t="s">
        <v>132</v>
      </c>
    </row>
    <row r="11" customFormat="false" ht="15" hidden="false" customHeight="true" outlineLevel="0" collapsed="false">
      <c r="A11" s="38" t="s">
        <v>421</v>
      </c>
      <c r="B11" s="42" t="n">
        <f aca="false">SUM(B7:B10)</f>
        <v>0</v>
      </c>
      <c r="C11" s="42" t="n">
        <f aca="false">SUM(C7:C10)</f>
        <v>0</v>
      </c>
      <c r="D11" s="42" t="n">
        <f aca="false">SUM(D7:D10)</f>
        <v>0</v>
      </c>
      <c r="E11" s="42" t="n">
        <f aca="false">SUM(E7:E10)</f>
        <v>0</v>
      </c>
      <c r="F11" s="42" t="n">
        <f aca="false">SUM(F7:F10)</f>
        <v>0</v>
      </c>
      <c r="G11" s="42" t="n">
        <f aca="false">SUM(G7:G10)</f>
        <v>0</v>
      </c>
      <c r="H11" s="42" t="n">
        <f aca="false">SUM(H7:H10)</f>
        <v>0</v>
      </c>
      <c r="I11" s="42" t="n">
        <f aca="false">SUM(I7:I10)</f>
        <v>0</v>
      </c>
      <c r="J11" s="42" t="n">
        <f aca="false">SUM(J7:J10)</f>
        <v>0</v>
      </c>
      <c r="K11" s="42" t="n">
        <f aca="false">SUM(K7:K10)</f>
        <v>0</v>
      </c>
      <c r="L11" s="42" t="n">
        <f aca="false">SUM(L7:L10)</f>
        <v>0</v>
      </c>
      <c r="M11" s="42" t="n">
        <f aca="false">SUM(M7:M10)</f>
        <v>0</v>
      </c>
      <c r="N11" s="42" t="n">
        <f aca="false">SUM(B11:M11)</f>
        <v>0</v>
      </c>
    </row>
    <row r="12" customFormat="false" ht="15" hidden="false" customHeight="true" outlineLevel="0" collapsed="false">
      <c r="A12" s="38" t="s">
        <v>135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 t="n">
        <f aca="false">SUM(B12:M12)</f>
        <v>0</v>
      </c>
      <c r="O12" s="40" t="s">
        <v>134</v>
      </c>
    </row>
    <row r="13" customFormat="false" ht="15" hidden="false" customHeight="true" outlineLevel="0" collapsed="false">
      <c r="A13" s="38" t="s">
        <v>138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41" t="n">
        <f aca="false">SUM(B13:M13)</f>
        <v>0</v>
      </c>
      <c r="O13" s="40" t="s">
        <v>137</v>
      </c>
    </row>
    <row r="14" customFormat="false" ht="15" hidden="false" customHeight="true" outlineLevel="0" collapsed="false">
      <c r="A14" s="37" t="s">
        <v>422</v>
      </c>
      <c r="B14" s="43" t="n">
        <f aca="false">B11-B12-B13</f>
        <v>0</v>
      </c>
      <c r="C14" s="43" t="n">
        <f aca="false">C11-C12-C13</f>
        <v>0</v>
      </c>
      <c r="D14" s="43" t="n">
        <f aca="false">D11-D12-D13</f>
        <v>0</v>
      </c>
      <c r="E14" s="43" t="n">
        <f aca="false">E11-E12-E13</f>
        <v>0</v>
      </c>
      <c r="F14" s="43" t="n">
        <f aca="false">F11-F12-F13</f>
        <v>0</v>
      </c>
      <c r="G14" s="43" t="n">
        <f aca="false">G11-G12-G13</f>
        <v>0</v>
      </c>
      <c r="H14" s="43" t="n">
        <f aca="false">H11-H12-H13</f>
        <v>0</v>
      </c>
      <c r="I14" s="43" t="n">
        <f aca="false">I11-I12-I13</f>
        <v>0</v>
      </c>
      <c r="J14" s="43" t="n">
        <f aca="false">J11-J12-J13</f>
        <v>0</v>
      </c>
      <c r="K14" s="43" t="n">
        <f aca="false">K11-K12-K13</f>
        <v>0</v>
      </c>
      <c r="L14" s="43" t="n">
        <f aca="false">L11-L12-L13</f>
        <v>0</v>
      </c>
      <c r="M14" s="43" t="n">
        <f aca="false">M11-M12-M13</f>
        <v>0</v>
      </c>
      <c r="N14" s="43" t="n">
        <f aca="false">SUM(B14:M14)</f>
        <v>0</v>
      </c>
    </row>
    <row r="15" customFormat="false" ht="15" hidden="false" customHeight="true" outlineLevel="0" collapsed="false">
      <c r="A15" s="37" t="s">
        <v>423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</row>
    <row r="16" customFormat="false" ht="15" hidden="false" customHeight="true" outlineLevel="0" collapsed="false">
      <c r="A16" s="38" t="s">
        <v>140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 t="n">
        <f aca="false">SUM(B16:M16)</f>
        <v>0</v>
      </c>
      <c r="O16" s="40" t="s">
        <v>139</v>
      </c>
    </row>
    <row r="17" customFormat="false" ht="15" hidden="false" customHeight="true" outlineLevel="0" collapsed="false">
      <c r="A17" s="38" t="s">
        <v>143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 t="n">
        <f aca="false">SUM(B17:M17)</f>
        <v>0</v>
      </c>
      <c r="O17" s="40" t="s">
        <v>142</v>
      </c>
    </row>
    <row r="18" customFormat="false" ht="15" hidden="false" customHeight="true" outlineLevel="0" collapsed="false">
      <c r="A18" s="38" t="s">
        <v>145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 t="n">
        <f aca="false">SUM(B18:M18)</f>
        <v>0</v>
      </c>
      <c r="O18" s="40" t="s">
        <v>144</v>
      </c>
    </row>
    <row r="19" customFormat="false" ht="15" hidden="false" customHeight="true" outlineLevel="0" collapsed="false">
      <c r="A19" s="38" t="s">
        <v>424</v>
      </c>
      <c r="B19" s="44" t="n">
        <f aca="false">SUM(B20:B23)</f>
        <v>0</v>
      </c>
      <c r="C19" s="44" t="n">
        <f aca="false">SUM(C20:C23)</f>
        <v>0</v>
      </c>
      <c r="D19" s="44" t="n">
        <f aca="false">SUM(D20:D23)</f>
        <v>0</v>
      </c>
      <c r="E19" s="44" t="n">
        <f aca="false">SUM(E20:E23)</f>
        <v>0</v>
      </c>
      <c r="F19" s="44" t="n">
        <f aca="false">SUM(F20:F23)</f>
        <v>0</v>
      </c>
      <c r="G19" s="44" t="n">
        <f aca="false">SUM(G20:G23)</f>
        <v>0</v>
      </c>
      <c r="H19" s="44" t="n">
        <f aca="false">SUM(H20:H23)</f>
        <v>0</v>
      </c>
      <c r="I19" s="44" t="n">
        <f aca="false">SUM(I20:I23)</f>
        <v>0</v>
      </c>
      <c r="J19" s="44" t="n">
        <f aca="false">SUM(J20:J23)</f>
        <v>0</v>
      </c>
      <c r="K19" s="44" t="n">
        <f aca="false">SUM(K20:K23)</f>
        <v>0</v>
      </c>
      <c r="L19" s="44" t="n">
        <f aca="false">SUM(L20:L23)</f>
        <v>0</v>
      </c>
      <c r="M19" s="44" t="n">
        <f aca="false">SUM(M20:M23)</f>
        <v>0</v>
      </c>
      <c r="N19" s="44" t="n">
        <f aca="false">SUM(B19:M19)</f>
        <v>0</v>
      </c>
    </row>
    <row r="20" customFormat="false" ht="15" hidden="false" customHeight="true" outlineLevel="0" collapsed="false">
      <c r="A20" s="38" t="s">
        <v>425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 t="n">
        <f aca="false">SUM(B20:M20)</f>
        <v>0</v>
      </c>
      <c r="O20" s="40" t="s">
        <v>146</v>
      </c>
    </row>
    <row r="21" customFormat="false" ht="15" hidden="false" customHeight="true" outlineLevel="0" collapsed="false">
      <c r="A21" s="38" t="s">
        <v>426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 t="n">
        <f aca="false">SUM(B21:M21)</f>
        <v>0</v>
      </c>
      <c r="O21" s="40" t="s">
        <v>149</v>
      </c>
    </row>
    <row r="22" customFormat="false" ht="15" hidden="false" customHeight="true" outlineLevel="0" collapsed="false">
      <c r="A22" s="38" t="s">
        <v>427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 t="n">
        <f aca="false">SUM(B22:M22)</f>
        <v>0</v>
      </c>
      <c r="O22" s="40" t="s">
        <v>151</v>
      </c>
    </row>
    <row r="23" customFormat="false" ht="15" hidden="false" customHeight="true" outlineLevel="0" collapsed="false">
      <c r="A23" s="38" t="s">
        <v>428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 t="n">
        <f aca="false">SUM(B23:M23)</f>
        <v>0</v>
      </c>
      <c r="O23" s="40" t="s">
        <v>153</v>
      </c>
    </row>
    <row r="24" customFormat="false" ht="15" hidden="false" customHeight="true" outlineLevel="0" collapsed="false">
      <c r="A24" s="38" t="s">
        <v>156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 t="n">
        <f aca="false">SUM(B24:M24)</f>
        <v>0</v>
      </c>
      <c r="O24" s="40" t="s">
        <v>155</v>
      </c>
    </row>
    <row r="25" customFormat="false" ht="15" hidden="false" customHeight="true" outlineLevel="0" collapsed="false">
      <c r="A25" s="37" t="s">
        <v>429</v>
      </c>
      <c r="B25" s="43" t="n">
        <f aca="false">B16+B17+B18+B19-B24</f>
        <v>0</v>
      </c>
      <c r="C25" s="43" t="n">
        <f aca="false">C16+C17+C18+C19-C24</f>
        <v>0</v>
      </c>
      <c r="D25" s="43" t="n">
        <f aca="false">D16+D17+D18+D19-D24</f>
        <v>0</v>
      </c>
      <c r="E25" s="43" t="n">
        <f aca="false">E16+E17+E18+E19-E24</f>
        <v>0</v>
      </c>
      <c r="F25" s="43" t="n">
        <f aca="false">F16+F17+F18+F19-F24</f>
        <v>0</v>
      </c>
      <c r="G25" s="43" t="n">
        <f aca="false">G16+G17+G18+G19-G24</f>
        <v>0</v>
      </c>
      <c r="H25" s="43" t="n">
        <f aca="false">H16+H17+H18+H19-H24</f>
        <v>0</v>
      </c>
      <c r="I25" s="43" t="n">
        <f aca="false">I16+I17+I18+I19-I24</f>
        <v>0</v>
      </c>
      <c r="J25" s="43" t="n">
        <f aca="false">J16+J17+J18+J19-J24</f>
        <v>0</v>
      </c>
      <c r="K25" s="43" t="n">
        <f aca="false">K16+K17+K18+K19-K24</f>
        <v>0</v>
      </c>
      <c r="L25" s="43" t="n">
        <f aca="false">L16+L17+L18+L19-L24</f>
        <v>0</v>
      </c>
      <c r="M25" s="43" t="n">
        <f aca="false">M16+M17+M18+M19-M24</f>
        <v>0</v>
      </c>
      <c r="N25" s="43" t="n">
        <f aca="false">SUM(B25:M25)</f>
        <v>0</v>
      </c>
    </row>
    <row r="26" customFormat="false" ht="15" hidden="false" customHeight="true" outlineLevel="0" collapsed="false">
      <c r="A26" s="37" t="s">
        <v>430</v>
      </c>
      <c r="B26" s="45" t="n">
        <f aca="false">B14-B25</f>
        <v>0</v>
      </c>
      <c r="C26" s="45" t="n">
        <f aca="false">C14-C25</f>
        <v>0</v>
      </c>
      <c r="D26" s="45" t="n">
        <f aca="false">D14-D25</f>
        <v>0</v>
      </c>
      <c r="E26" s="45" t="n">
        <f aca="false">E14-E25</f>
        <v>0</v>
      </c>
      <c r="F26" s="45" t="n">
        <f aca="false">F14-F25</f>
        <v>0</v>
      </c>
      <c r="G26" s="45" t="n">
        <f aca="false">G14-G25</f>
        <v>0</v>
      </c>
      <c r="H26" s="45" t="n">
        <f aca="false">H14-H25</f>
        <v>0</v>
      </c>
      <c r="I26" s="45" t="n">
        <f aca="false">I14-I25</f>
        <v>0</v>
      </c>
      <c r="J26" s="45" t="n">
        <f aca="false">J14-J25</f>
        <v>0</v>
      </c>
      <c r="K26" s="45" t="n">
        <f aca="false">K14-K25</f>
        <v>0</v>
      </c>
      <c r="L26" s="45" t="n">
        <f aca="false">L14-L25</f>
        <v>0</v>
      </c>
      <c r="M26" s="45" t="n">
        <f aca="false">M14-M25</f>
        <v>0</v>
      </c>
      <c r="N26" s="45" t="n">
        <f aca="false">SUM(B26:M26)</f>
        <v>0</v>
      </c>
    </row>
    <row r="27" customFormat="false" ht="15" hidden="false" customHeight="true" outlineLevel="0" collapsed="false">
      <c r="A27" s="38" t="s">
        <v>431</v>
      </c>
      <c r="B27" s="46" t="n">
        <f aca="false">IFERROR(B26/B14,0)</f>
        <v>0</v>
      </c>
      <c r="C27" s="46" t="n">
        <f aca="false">IFERROR(C26/C14,0)</f>
        <v>0</v>
      </c>
      <c r="D27" s="46" t="n">
        <f aca="false">IFERROR(D26/D14,0)</f>
        <v>0</v>
      </c>
      <c r="E27" s="46" t="n">
        <f aca="false">IFERROR(E26/E14,0)</f>
        <v>0</v>
      </c>
      <c r="F27" s="46" t="n">
        <f aca="false">IFERROR(F26/F14,0)</f>
        <v>0</v>
      </c>
      <c r="G27" s="46" t="n">
        <f aca="false">IFERROR(G26/G14,0)</f>
        <v>0</v>
      </c>
      <c r="H27" s="46" t="n">
        <f aca="false">IFERROR(H26/H14,0)</f>
        <v>0</v>
      </c>
      <c r="I27" s="46" t="n">
        <f aca="false">IFERROR(I26/I14,0)</f>
        <v>0</v>
      </c>
      <c r="J27" s="46" t="n">
        <f aca="false">IFERROR(J26/J14,0)</f>
        <v>0</v>
      </c>
      <c r="K27" s="46" t="n">
        <f aca="false">IFERROR(K26/K14,0)</f>
        <v>0</v>
      </c>
      <c r="L27" s="46" t="n">
        <f aca="false">IFERROR(L26/L14,0)</f>
        <v>0</v>
      </c>
      <c r="M27" s="46" t="n">
        <f aca="false">IFERROR(M26/M14,0)</f>
        <v>0</v>
      </c>
      <c r="N27" s="46" t="n">
        <f aca="false">IFERROR(N26/N14,0)</f>
        <v>0</v>
      </c>
    </row>
    <row r="28" customFormat="false" ht="15" hidden="false" customHeight="true" outlineLevel="0" collapsed="false">
      <c r="A28" s="37" t="s">
        <v>432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</row>
    <row r="29" customFormat="false" ht="15" hidden="false" customHeight="true" outlineLevel="0" collapsed="false">
      <c r="A29" s="38" t="s">
        <v>433</v>
      </c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</row>
    <row r="30" customFormat="false" ht="15" hidden="false" customHeight="true" outlineLevel="0" collapsed="false">
      <c r="A30" s="38" t="s">
        <v>434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 t="n">
        <f aca="false">SUM(B30:M30)</f>
        <v>0</v>
      </c>
      <c r="O30" s="40" t="s">
        <v>157</v>
      </c>
    </row>
    <row r="31" customFormat="false" ht="15" hidden="false" customHeight="true" outlineLevel="0" collapsed="false">
      <c r="A31" s="38" t="s">
        <v>435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 t="n">
        <f aca="false">SUM(B31:M31)</f>
        <v>0</v>
      </c>
      <c r="O31" s="40" t="s">
        <v>160</v>
      </c>
    </row>
    <row r="32" customFormat="false" ht="15" hidden="false" customHeight="true" outlineLevel="0" collapsed="false">
      <c r="A32" s="38" t="s">
        <v>436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 t="n">
        <f aca="false">SUM(B32:M32)</f>
        <v>0</v>
      </c>
      <c r="O32" s="40" t="s">
        <v>162</v>
      </c>
    </row>
    <row r="33" customFormat="false" ht="15" hidden="false" customHeight="true" outlineLevel="0" collapsed="false">
      <c r="A33" s="38" t="s">
        <v>437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 t="n">
        <f aca="false">SUM(B33:M33)</f>
        <v>0</v>
      </c>
      <c r="O33" s="40" t="s">
        <v>164</v>
      </c>
    </row>
    <row r="34" customFormat="false" ht="15" hidden="false" customHeight="true" outlineLevel="0" collapsed="false">
      <c r="A34" s="38" t="s">
        <v>438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 t="n">
        <f aca="false">SUM(B34:M34)</f>
        <v>0</v>
      </c>
      <c r="O34" s="40" t="s">
        <v>166</v>
      </c>
    </row>
    <row r="35" customFormat="false" ht="15" hidden="false" customHeight="true" outlineLevel="0" collapsed="false">
      <c r="A35" s="38" t="s">
        <v>439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</row>
    <row r="36" customFormat="false" ht="15" hidden="false" customHeight="true" outlineLevel="0" collapsed="false">
      <c r="A36" s="38" t="s">
        <v>440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 t="n">
        <f aca="false">SUM(B36:M36)</f>
        <v>0</v>
      </c>
      <c r="O36" s="40" t="s">
        <v>168</v>
      </c>
    </row>
    <row r="37" customFormat="false" ht="15" hidden="false" customHeight="true" outlineLevel="0" collapsed="false">
      <c r="A37" s="38" t="s">
        <v>441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 t="n">
        <f aca="false">SUM(B37:M37)</f>
        <v>0</v>
      </c>
      <c r="O37" s="40" t="s">
        <v>171</v>
      </c>
    </row>
    <row r="38" customFormat="false" ht="15" hidden="false" customHeight="true" outlineLevel="0" collapsed="false">
      <c r="A38" s="38" t="s">
        <v>442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 t="n">
        <f aca="false">SUM(B38:M38)</f>
        <v>0</v>
      </c>
      <c r="O38" s="40" t="s">
        <v>173</v>
      </c>
    </row>
    <row r="39" customFormat="false" ht="15" hidden="false" customHeight="true" outlineLevel="0" collapsed="false">
      <c r="A39" s="38" t="s">
        <v>443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 t="n">
        <f aca="false">SUM(B39:M39)</f>
        <v>0</v>
      </c>
      <c r="O39" s="40" t="s">
        <v>175</v>
      </c>
    </row>
    <row r="40" customFormat="false" ht="15" hidden="false" customHeight="true" outlineLevel="0" collapsed="false">
      <c r="A40" s="38" t="s">
        <v>444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 t="n">
        <f aca="false">SUM(B40:M40)</f>
        <v>0</v>
      </c>
      <c r="O40" s="40" t="s">
        <v>177</v>
      </c>
    </row>
    <row r="41" customFormat="false" ht="15" hidden="false" customHeight="true" outlineLevel="0" collapsed="false">
      <c r="A41" s="38" t="s">
        <v>445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 t="n">
        <f aca="false">SUM(B41:M41)</f>
        <v>0</v>
      </c>
      <c r="O41" s="40" t="s">
        <v>179</v>
      </c>
    </row>
    <row r="42" customFormat="false" ht="15" hidden="false" customHeight="true" outlineLevel="0" collapsed="false">
      <c r="A42" s="38" t="s">
        <v>446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 t="n">
        <f aca="false">SUM(B42:M42)</f>
        <v>0</v>
      </c>
      <c r="O42" s="40" t="s">
        <v>181</v>
      </c>
    </row>
    <row r="43" customFormat="false" ht="15" hidden="false" customHeight="true" outlineLevel="0" collapsed="false">
      <c r="A43" s="38" t="s">
        <v>447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 t="n">
        <f aca="false">SUM(B43:M43)</f>
        <v>0</v>
      </c>
      <c r="O43" s="40" t="s">
        <v>183</v>
      </c>
    </row>
    <row r="44" customFormat="false" ht="15" hidden="false" customHeight="true" outlineLevel="0" collapsed="false">
      <c r="A44" s="37" t="s">
        <v>448</v>
      </c>
      <c r="B44" s="43" t="n">
        <f aca="false">SUM(B29:B43)</f>
        <v>0</v>
      </c>
      <c r="C44" s="43" t="n">
        <f aca="false">SUM(C29:C43)</f>
        <v>0</v>
      </c>
      <c r="D44" s="43" t="n">
        <f aca="false">SUM(D29:D43)</f>
        <v>0</v>
      </c>
      <c r="E44" s="43" t="n">
        <f aca="false">SUM(E29:E43)</f>
        <v>0</v>
      </c>
      <c r="F44" s="43" t="n">
        <f aca="false">SUM(F29:F43)</f>
        <v>0</v>
      </c>
      <c r="G44" s="43" t="n">
        <f aca="false">SUM(G29:G43)</f>
        <v>0</v>
      </c>
      <c r="H44" s="43" t="n">
        <f aca="false">SUM(H29:H43)</f>
        <v>0</v>
      </c>
      <c r="I44" s="43" t="n">
        <f aca="false">SUM(I29:I43)</f>
        <v>0</v>
      </c>
      <c r="J44" s="43" t="n">
        <f aca="false">SUM(J29:J43)</f>
        <v>0</v>
      </c>
      <c r="K44" s="43" t="n">
        <f aca="false">SUM(K29:K43)</f>
        <v>0</v>
      </c>
      <c r="L44" s="43" t="n">
        <f aca="false">SUM(L29:L43)</f>
        <v>0</v>
      </c>
      <c r="M44" s="43" t="n">
        <f aca="false">SUM(M29:M43)</f>
        <v>0</v>
      </c>
      <c r="N44" s="43" t="n">
        <f aca="false">SUM(B44:M44)</f>
        <v>0</v>
      </c>
    </row>
    <row r="45" customFormat="false" ht="15" hidden="false" customHeight="true" outlineLevel="0" collapsed="false">
      <c r="A45" s="37" t="s">
        <v>449</v>
      </c>
      <c r="B45" s="45" t="n">
        <f aca="false">B26-B44</f>
        <v>0</v>
      </c>
      <c r="C45" s="45" t="n">
        <f aca="false">C26-C44</f>
        <v>0</v>
      </c>
      <c r="D45" s="45" t="n">
        <f aca="false">D26-D44</f>
        <v>0</v>
      </c>
      <c r="E45" s="45" t="n">
        <f aca="false">E26-E44</f>
        <v>0</v>
      </c>
      <c r="F45" s="45" t="n">
        <f aca="false">F26-F44</f>
        <v>0</v>
      </c>
      <c r="G45" s="45" t="n">
        <f aca="false">G26-G44</f>
        <v>0</v>
      </c>
      <c r="H45" s="45" t="n">
        <f aca="false">H26-H44</f>
        <v>0</v>
      </c>
      <c r="I45" s="45" t="n">
        <f aca="false">I26-I44</f>
        <v>0</v>
      </c>
      <c r="J45" s="45" t="n">
        <f aca="false">J26-J44</f>
        <v>0</v>
      </c>
      <c r="K45" s="45" t="n">
        <f aca="false">K26-K44</f>
        <v>0</v>
      </c>
      <c r="L45" s="45" t="n">
        <f aca="false">L26-L44</f>
        <v>0</v>
      </c>
      <c r="M45" s="45" t="n">
        <f aca="false">M26-M44</f>
        <v>0</v>
      </c>
      <c r="N45" s="45" t="n">
        <f aca="false">SUM(B45:M45)</f>
        <v>0</v>
      </c>
    </row>
    <row r="46" customFormat="false" ht="15" hidden="false" customHeight="true" outlineLevel="0" collapsed="false">
      <c r="A46" s="38" t="s">
        <v>450</v>
      </c>
      <c r="B46" s="46" t="n">
        <f aca="false">IFERROR(B45/B14,0)</f>
        <v>0</v>
      </c>
      <c r="C46" s="46" t="n">
        <f aca="false">IFERROR(C45/C14,0)</f>
        <v>0</v>
      </c>
      <c r="D46" s="46" t="n">
        <f aca="false">IFERROR(D45/D14,0)</f>
        <v>0</v>
      </c>
      <c r="E46" s="46" t="n">
        <f aca="false">IFERROR(E45/E14,0)</f>
        <v>0</v>
      </c>
      <c r="F46" s="46" t="n">
        <f aca="false">IFERROR(F45/F14,0)</f>
        <v>0</v>
      </c>
      <c r="G46" s="46" t="n">
        <f aca="false">IFERROR(G45/G14,0)</f>
        <v>0</v>
      </c>
      <c r="H46" s="46" t="n">
        <f aca="false">IFERROR(H45/H14,0)</f>
        <v>0</v>
      </c>
      <c r="I46" s="46" t="n">
        <f aca="false">IFERROR(I45/I14,0)</f>
        <v>0</v>
      </c>
      <c r="J46" s="46" t="n">
        <f aca="false">IFERROR(J45/J14,0)</f>
        <v>0</v>
      </c>
      <c r="K46" s="46" t="n">
        <f aca="false">IFERROR(K45/K14,0)</f>
        <v>0</v>
      </c>
      <c r="L46" s="46" t="n">
        <f aca="false">IFERROR(L45/L14,0)</f>
        <v>0</v>
      </c>
      <c r="M46" s="46" t="n">
        <f aca="false">IFERROR(M45/M14,0)</f>
        <v>0</v>
      </c>
      <c r="N46" s="46" t="n">
        <f aca="false">IFERROR(N45/N14,0)</f>
        <v>0</v>
      </c>
    </row>
    <row r="47" customFormat="false" ht="15" hidden="false" customHeight="true" outlineLevel="0" collapsed="false">
      <c r="A47" s="37" t="s">
        <v>451</v>
      </c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</row>
    <row r="48" customFormat="false" ht="15" hidden="false" customHeight="true" outlineLevel="0" collapsed="false">
      <c r="A48" s="38" t="s">
        <v>186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 t="n">
        <f aca="false">SUM(B48:M48)</f>
        <v>0</v>
      </c>
      <c r="O48" s="40" t="s">
        <v>185</v>
      </c>
    </row>
    <row r="49" customFormat="false" ht="15" hidden="false" customHeight="true" outlineLevel="0" collapsed="false">
      <c r="A49" s="38" t="s">
        <v>189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 t="n">
        <f aca="false">SUM(B49:M49)</f>
        <v>0</v>
      </c>
      <c r="O49" s="40" t="s">
        <v>188</v>
      </c>
    </row>
    <row r="50" customFormat="false" ht="15" hidden="false" customHeight="true" outlineLevel="0" collapsed="false">
      <c r="A50" s="38" t="s">
        <v>191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 t="n">
        <f aca="false">SUM(B50:M50)</f>
        <v>0</v>
      </c>
      <c r="O50" s="40" t="s">
        <v>190</v>
      </c>
    </row>
    <row r="51" customFormat="false" ht="15" hidden="false" customHeight="true" outlineLevel="0" collapsed="false">
      <c r="A51" s="38" t="s">
        <v>193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 t="n">
        <f aca="false">SUM(B51:M51)</f>
        <v>0</v>
      </c>
      <c r="O51" s="40" t="s">
        <v>192</v>
      </c>
    </row>
    <row r="52" customFormat="false" ht="15" hidden="false" customHeight="true" outlineLevel="0" collapsed="false">
      <c r="A52" s="38" t="s">
        <v>196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 t="n">
        <f aca="false">SUM(B52:M52)</f>
        <v>0</v>
      </c>
      <c r="O52" s="40" t="s">
        <v>195</v>
      </c>
    </row>
    <row r="53" customFormat="false" ht="15" hidden="false" customHeight="true" outlineLevel="0" collapsed="false">
      <c r="A53" s="38" t="s">
        <v>198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 t="n">
        <f aca="false">SUM(B53:M53)</f>
        <v>0</v>
      </c>
      <c r="O53" s="40" t="s">
        <v>197</v>
      </c>
    </row>
    <row r="54" customFormat="false" ht="15" hidden="false" customHeight="true" outlineLevel="0" collapsed="false">
      <c r="A54" s="37" t="s">
        <v>452</v>
      </c>
      <c r="B54" s="43" t="n">
        <f aca="false">B48+B49+B50-B51-B52-B53</f>
        <v>0</v>
      </c>
      <c r="C54" s="43" t="n">
        <f aca="false">C48+C49+C50-C51-C52-C53</f>
        <v>0</v>
      </c>
      <c r="D54" s="43" t="n">
        <f aca="false">D48+D49+D50-D51-D52-D53</f>
        <v>0</v>
      </c>
      <c r="E54" s="43" t="n">
        <f aca="false">E48+E49+E50-E51-E52-E53</f>
        <v>0</v>
      </c>
      <c r="F54" s="43" t="n">
        <f aca="false">F48+F49+F50-F51-F52-F53</f>
        <v>0</v>
      </c>
      <c r="G54" s="43" t="n">
        <f aca="false">G48+G49+G50-G51-G52-G53</f>
        <v>0</v>
      </c>
      <c r="H54" s="43" t="n">
        <f aca="false">H48+H49+H50-H51-H52-H53</f>
        <v>0</v>
      </c>
      <c r="I54" s="43" t="n">
        <f aca="false">I48+I49+I50-I51-I52-I53</f>
        <v>0</v>
      </c>
      <c r="J54" s="43" t="n">
        <f aca="false">J48+J49+J50-J51-J52-J53</f>
        <v>0</v>
      </c>
      <c r="K54" s="43" t="n">
        <f aca="false">K48+K49+K50-K51-K52-K53</f>
        <v>0</v>
      </c>
      <c r="L54" s="43" t="n">
        <f aca="false">L48+L49+L50-L51-L52-L53</f>
        <v>0</v>
      </c>
      <c r="M54" s="43" t="n">
        <f aca="false">M48+M49+M50-M51-M52-M53</f>
        <v>0</v>
      </c>
      <c r="N54" s="43" t="n">
        <f aca="false">SUM(B54:M54)</f>
        <v>0</v>
      </c>
    </row>
    <row r="55" customFormat="false" ht="15" hidden="false" customHeight="true" outlineLevel="0" collapsed="false">
      <c r="A55" s="37" t="s">
        <v>453</v>
      </c>
      <c r="B55" s="45" t="n">
        <f aca="false">B45+B54</f>
        <v>0</v>
      </c>
      <c r="C55" s="45" t="n">
        <f aca="false">C45+C54</f>
        <v>0</v>
      </c>
      <c r="D55" s="45" t="n">
        <f aca="false">D45+D54</f>
        <v>0</v>
      </c>
      <c r="E55" s="45" t="n">
        <f aca="false">E45+E54</f>
        <v>0</v>
      </c>
      <c r="F55" s="45" t="n">
        <f aca="false">F45+F54</f>
        <v>0</v>
      </c>
      <c r="G55" s="45" t="n">
        <f aca="false">G45+G54</f>
        <v>0</v>
      </c>
      <c r="H55" s="45" t="n">
        <f aca="false">H45+H54</f>
        <v>0</v>
      </c>
      <c r="I55" s="45" t="n">
        <f aca="false">I45+I54</f>
        <v>0</v>
      </c>
      <c r="J55" s="45" t="n">
        <f aca="false">J45+J54</f>
        <v>0</v>
      </c>
      <c r="K55" s="45" t="n">
        <f aca="false">K45+K54</f>
        <v>0</v>
      </c>
      <c r="L55" s="45" t="n">
        <f aca="false">L45+L54</f>
        <v>0</v>
      </c>
      <c r="M55" s="45" t="n">
        <f aca="false">M45+M54</f>
        <v>0</v>
      </c>
      <c r="N55" s="49" t="n">
        <f aca="false">SUM(B55:M55)</f>
        <v>0</v>
      </c>
    </row>
    <row r="56" customFormat="false" ht="15" hidden="false" customHeight="true" outlineLevel="0" collapsed="false">
      <c r="A56" s="38" t="s">
        <v>200</v>
      </c>
      <c r="B56" s="42" t="n">
        <f aca="false">MAX(0,B55)*0.27</f>
        <v>0</v>
      </c>
      <c r="C56" s="42" t="n">
        <f aca="false">MAX(0,C55)*0.27</f>
        <v>0</v>
      </c>
      <c r="D56" s="42" t="n">
        <f aca="false">MAX(0,D55)*0.27</f>
        <v>0</v>
      </c>
      <c r="E56" s="42" t="n">
        <f aca="false">MAX(0,E55)*0.27</f>
        <v>0</v>
      </c>
      <c r="F56" s="42" t="n">
        <f aca="false">MAX(0,F55)*0.27</f>
        <v>0</v>
      </c>
      <c r="G56" s="42" t="n">
        <f aca="false">MAX(0,G55)*0.27</f>
        <v>0</v>
      </c>
      <c r="H56" s="42" t="n">
        <f aca="false">MAX(0,H55)*0.27</f>
        <v>0</v>
      </c>
      <c r="I56" s="42" t="n">
        <f aca="false">MAX(0,I55)*0.27</f>
        <v>0</v>
      </c>
      <c r="J56" s="42" t="n">
        <f aca="false">MAX(0,J55)*0.27</f>
        <v>0</v>
      </c>
      <c r="K56" s="42" t="n">
        <f aca="false">MAX(0,K55)*0.27</f>
        <v>0</v>
      </c>
      <c r="L56" s="42" t="n">
        <f aca="false">MAX(0,L55)*0.27</f>
        <v>0</v>
      </c>
      <c r="M56" s="42" t="n">
        <f aca="false">MAX(0,M55)*0.27</f>
        <v>0</v>
      </c>
      <c r="N56" s="42" t="n">
        <f aca="false">SUM(B56:M56)</f>
        <v>0</v>
      </c>
      <c r="O56" s="0" t="s">
        <v>199</v>
      </c>
    </row>
    <row r="57" customFormat="false" ht="15" hidden="false" customHeight="true" outlineLevel="0" collapsed="false">
      <c r="A57" s="37" t="s">
        <v>454</v>
      </c>
      <c r="B57" s="45" t="n">
        <f aca="false">B55-B56</f>
        <v>0</v>
      </c>
      <c r="C57" s="45" t="n">
        <f aca="false">C55-C56</f>
        <v>0</v>
      </c>
      <c r="D57" s="45" t="n">
        <f aca="false">D55-D56</f>
        <v>0</v>
      </c>
      <c r="E57" s="45" t="n">
        <f aca="false">E55-E56</f>
        <v>0</v>
      </c>
      <c r="F57" s="45" t="n">
        <f aca="false">F55-F56</f>
        <v>0</v>
      </c>
      <c r="G57" s="45" t="n">
        <f aca="false">G55-G56</f>
        <v>0</v>
      </c>
      <c r="H57" s="45" t="n">
        <f aca="false">H55-H56</f>
        <v>0</v>
      </c>
      <c r="I57" s="45" t="n">
        <f aca="false">I55-I56</f>
        <v>0</v>
      </c>
      <c r="J57" s="45" t="n">
        <f aca="false">J55-J56</f>
        <v>0</v>
      </c>
      <c r="K57" s="45" t="n">
        <f aca="false">K55-K56</f>
        <v>0</v>
      </c>
      <c r="L57" s="45" t="n">
        <f aca="false">L55-L56</f>
        <v>0</v>
      </c>
      <c r="M57" s="45" t="n">
        <f aca="false">M55-M56</f>
        <v>0</v>
      </c>
      <c r="N57" s="45" t="n">
        <f aca="false">SUM(B57:M57)</f>
        <v>0</v>
      </c>
    </row>
    <row r="58" customFormat="false" ht="15" hidden="false" customHeight="true" outlineLevel="0" collapsed="false">
      <c r="A58" s="38" t="s">
        <v>455</v>
      </c>
      <c r="B58" s="46" t="n">
        <f aca="false">IFERROR(B57/B14,0)</f>
        <v>0</v>
      </c>
      <c r="C58" s="46" t="n">
        <f aca="false">IFERROR(C57/C14,0)</f>
        <v>0</v>
      </c>
      <c r="D58" s="46" t="n">
        <f aca="false">IFERROR(D57/D14,0)</f>
        <v>0</v>
      </c>
      <c r="E58" s="46" t="n">
        <f aca="false">IFERROR(E57/E14,0)</f>
        <v>0</v>
      </c>
      <c r="F58" s="46" t="n">
        <f aca="false">IFERROR(F57/F14,0)</f>
        <v>0</v>
      </c>
      <c r="G58" s="46" t="n">
        <f aca="false">IFERROR(G57/G14,0)</f>
        <v>0</v>
      </c>
      <c r="H58" s="46" t="n">
        <f aca="false">IFERROR(H57/H14,0)</f>
        <v>0</v>
      </c>
      <c r="I58" s="46" t="n">
        <f aca="false">IFERROR(I57/I14,0)</f>
        <v>0</v>
      </c>
      <c r="J58" s="46" t="n">
        <f aca="false">IFERROR(J57/J14,0)</f>
        <v>0</v>
      </c>
      <c r="K58" s="46" t="n">
        <f aca="false">IFERROR(K57/K14,0)</f>
        <v>0</v>
      </c>
      <c r="L58" s="46" t="n">
        <f aca="false">IFERROR(L57/L14,0)</f>
        <v>0</v>
      </c>
      <c r="M58" s="46" t="n">
        <f aca="false">IFERROR(M57/M14,0)</f>
        <v>0</v>
      </c>
      <c r="N58" s="46" t="n">
        <f aca="false">IFERROR(N57/N14,0)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9B3C"/>
    <pageSetUpPr fitToPage="false"/>
  </sheetPr>
  <dimension ref="A1:O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4"/>
    <col collapsed="false" customWidth="true" hidden="false" outlineLevel="0" max="15" min="15" style="0" width="11"/>
  </cols>
  <sheetData>
    <row r="1" customFormat="false" ht="17.25" hidden="false" customHeight="true" outlineLevel="0" collapsed="false">
      <c r="A1" s="31" t="s">
        <v>458</v>
      </c>
    </row>
    <row r="2" customFormat="false" ht="15" hidden="false" customHeight="true" outlineLevel="0" collapsed="false">
      <c r="A2" s="32" t="s">
        <v>405</v>
      </c>
    </row>
    <row r="3" customFormat="false" ht="15" hidden="false" customHeight="true" outlineLevel="0" collapsed="false">
      <c r="A3" s="33" t="s">
        <v>406</v>
      </c>
    </row>
    <row r="5" customFormat="false" ht="15" hidden="false" customHeight="true" outlineLevel="0" collapsed="false">
      <c r="A5" s="34" t="s">
        <v>314</v>
      </c>
      <c r="B5" s="35" t="s">
        <v>407</v>
      </c>
      <c r="C5" s="35" t="s">
        <v>408</v>
      </c>
      <c r="D5" s="35" t="s">
        <v>409</v>
      </c>
      <c r="E5" s="35" t="s">
        <v>410</v>
      </c>
      <c r="F5" s="35" t="s">
        <v>411</v>
      </c>
      <c r="G5" s="35" t="s">
        <v>412</v>
      </c>
      <c r="H5" s="35" t="s">
        <v>413</v>
      </c>
      <c r="I5" s="35" t="s">
        <v>414</v>
      </c>
      <c r="J5" s="35" t="s">
        <v>415</v>
      </c>
      <c r="K5" s="35" t="s">
        <v>416</v>
      </c>
      <c r="L5" s="35" t="s">
        <v>417</v>
      </c>
      <c r="M5" s="35" t="s">
        <v>418</v>
      </c>
      <c r="N5" s="35" t="s">
        <v>419</v>
      </c>
      <c r="O5" s="36" t="s">
        <v>23</v>
      </c>
    </row>
    <row r="6" customFormat="false" ht="15" hidden="false" customHeight="true" outlineLevel="0" collapsed="false">
      <c r="A6" s="37" t="s">
        <v>459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</row>
    <row r="7" customFormat="false" ht="15" hidden="false" customHeight="true" outlineLevel="0" collapsed="false">
      <c r="A7" s="38" t="s">
        <v>202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50" t="n">
        <f aca="false">SUM(B7:M7)</f>
        <v>0</v>
      </c>
      <c r="O7" s="40" t="s">
        <v>122</v>
      </c>
    </row>
    <row r="8" customFormat="false" ht="15" hidden="false" customHeight="true" outlineLevel="0" collapsed="false">
      <c r="A8" s="38" t="s">
        <v>205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50" t="n">
        <f aca="false">SUM(B8:M8)</f>
        <v>0</v>
      </c>
      <c r="O8" s="40" t="s">
        <v>128</v>
      </c>
    </row>
    <row r="9" customFormat="false" ht="15" hidden="false" customHeight="true" outlineLevel="0" collapsed="false">
      <c r="A9" s="38" t="s">
        <v>206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50" t="n">
        <f aca="false">SUM(B9:M9)</f>
        <v>0</v>
      </c>
      <c r="O9" s="40" t="s">
        <v>130</v>
      </c>
    </row>
    <row r="10" customFormat="false" ht="15" hidden="false" customHeight="true" outlineLevel="0" collapsed="false">
      <c r="A10" s="38" t="s">
        <v>207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50" t="n">
        <f aca="false">SUM(B10:M10)</f>
        <v>0</v>
      </c>
      <c r="O10" s="40" t="s">
        <v>132</v>
      </c>
    </row>
    <row r="11" customFormat="false" ht="15" hidden="false" customHeight="true" outlineLevel="0" collapsed="false">
      <c r="A11" s="38" t="s">
        <v>209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50" t="n">
        <f aca="false">SUM(B11:M11)</f>
        <v>0</v>
      </c>
      <c r="O11" s="40" t="s">
        <v>208</v>
      </c>
    </row>
    <row r="12" customFormat="false" ht="15" hidden="false" customHeight="true" outlineLevel="0" collapsed="false">
      <c r="A12" s="38" t="s">
        <v>211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41" t="n">
        <f aca="false">SUM(B12:M12)</f>
        <v>0</v>
      </c>
      <c r="O12" s="40" t="s">
        <v>210</v>
      </c>
    </row>
    <row r="13" customFormat="false" ht="15" hidden="false" customHeight="true" outlineLevel="0" collapsed="false">
      <c r="A13" s="38" t="s">
        <v>421</v>
      </c>
      <c r="B13" s="42" t="n">
        <f aca="false">SUM(B7:B12)</f>
        <v>0</v>
      </c>
      <c r="C13" s="42" t="n">
        <f aca="false">SUM(C7:C12)</f>
        <v>0</v>
      </c>
      <c r="D13" s="42" t="n">
        <f aca="false">SUM(D7:D12)</f>
        <v>0</v>
      </c>
      <c r="E13" s="42" t="n">
        <f aca="false">SUM(E7:E12)</f>
        <v>0</v>
      </c>
      <c r="F13" s="42" t="n">
        <f aca="false">SUM(F7:F12)</f>
        <v>0</v>
      </c>
      <c r="G13" s="42" t="n">
        <f aca="false">SUM(G7:G12)</f>
        <v>0</v>
      </c>
      <c r="H13" s="42" t="n">
        <f aca="false">SUM(H7:H12)</f>
        <v>0</v>
      </c>
      <c r="I13" s="42" t="n">
        <f aca="false">SUM(I7:I12)</f>
        <v>0</v>
      </c>
      <c r="J13" s="42" t="n">
        <f aca="false">SUM(J7:J12)</f>
        <v>0</v>
      </c>
      <c r="K13" s="42" t="n">
        <f aca="false">SUM(K7:K12)</f>
        <v>0</v>
      </c>
      <c r="L13" s="42" t="n">
        <f aca="false">SUM(L7:L12)</f>
        <v>0</v>
      </c>
      <c r="M13" s="42" t="n">
        <f aca="false">SUM(M7:M12)</f>
        <v>0</v>
      </c>
      <c r="N13" s="42" t="n">
        <f aca="false">SUM(B13:M13)</f>
        <v>0</v>
      </c>
    </row>
    <row r="14" customFormat="false" ht="15" hidden="false" customHeight="true" outlineLevel="0" collapsed="false">
      <c r="A14" s="38" t="s">
        <v>212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 t="n">
        <f aca="false">SUM(B14:M14)</f>
        <v>0</v>
      </c>
      <c r="O14" s="40" t="s">
        <v>134</v>
      </c>
    </row>
    <row r="15" customFormat="false" ht="15" hidden="false" customHeight="true" outlineLevel="0" collapsed="false">
      <c r="A15" s="38" t="s">
        <v>213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41" t="n">
        <f aca="false">SUM(B15:M15)</f>
        <v>0</v>
      </c>
      <c r="O15" s="40" t="s">
        <v>137</v>
      </c>
    </row>
    <row r="16" customFormat="false" ht="15" hidden="false" customHeight="true" outlineLevel="0" collapsed="false">
      <c r="A16" s="37" t="s">
        <v>422</v>
      </c>
      <c r="B16" s="43" t="n">
        <f aca="false">B13-B14-B15</f>
        <v>0</v>
      </c>
      <c r="C16" s="43" t="n">
        <f aca="false">C13-C14-C15</f>
        <v>0</v>
      </c>
      <c r="D16" s="43" t="n">
        <f aca="false">D13-D14-D15</f>
        <v>0</v>
      </c>
      <c r="E16" s="43" t="n">
        <f aca="false">E13-E14-E15</f>
        <v>0</v>
      </c>
      <c r="F16" s="43" t="n">
        <f aca="false">F13-F14-F15</f>
        <v>0</v>
      </c>
      <c r="G16" s="43" t="n">
        <f aca="false">G13-G14-G15</f>
        <v>0</v>
      </c>
      <c r="H16" s="43" t="n">
        <f aca="false">H13-H14-H15</f>
        <v>0</v>
      </c>
      <c r="I16" s="43" t="n">
        <f aca="false">I13-I14-I15</f>
        <v>0</v>
      </c>
      <c r="J16" s="43" t="n">
        <f aca="false">J13-J14-J15</f>
        <v>0</v>
      </c>
      <c r="K16" s="43" t="n">
        <f aca="false">K13-K14-K15</f>
        <v>0</v>
      </c>
      <c r="L16" s="43" t="n">
        <f aca="false">L13-L14-L15</f>
        <v>0</v>
      </c>
      <c r="M16" s="43" t="n">
        <f aca="false">M13-M14-M15</f>
        <v>0</v>
      </c>
      <c r="N16" s="43" t="n">
        <f aca="false">SUM(B16:M16)</f>
        <v>0</v>
      </c>
    </row>
    <row r="17" customFormat="false" ht="15" hidden="false" customHeight="true" outlineLevel="0" collapsed="false">
      <c r="A17" s="37" t="s">
        <v>460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</row>
    <row r="18" customFormat="false" ht="15" hidden="false" customHeight="true" outlineLevel="0" collapsed="false">
      <c r="A18" s="38" t="s">
        <v>461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</row>
    <row r="19" customFormat="false" ht="15" hidden="false" customHeight="true" outlineLevel="0" collapsed="false">
      <c r="A19" s="38" t="s">
        <v>462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50" t="n">
        <f aca="false">SUM(B19:M19)</f>
        <v>0</v>
      </c>
      <c r="O19" s="40" t="s">
        <v>139</v>
      </c>
    </row>
    <row r="20" customFormat="false" ht="15" hidden="false" customHeight="true" outlineLevel="0" collapsed="false">
      <c r="A20" s="38" t="s">
        <v>463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50" t="n">
        <f aca="false">SUM(B20:M20)</f>
        <v>0</v>
      </c>
      <c r="O20" s="40" t="s">
        <v>142</v>
      </c>
    </row>
    <row r="21" customFormat="false" ht="15" hidden="false" customHeight="true" outlineLevel="0" collapsed="false">
      <c r="A21" s="38" t="s">
        <v>464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50" t="n">
        <f aca="false">SUM(B21:M21)</f>
        <v>0</v>
      </c>
      <c r="O21" s="40" t="s">
        <v>144</v>
      </c>
    </row>
    <row r="22" customFormat="false" ht="15" hidden="false" customHeight="true" outlineLevel="0" collapsed="false">
      <c r="A22" s="38" t="s">
        <v>465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50" t="n">
        <f aca="false">SUM(B22:M22)</f>
        <v>0</v>
      </c>
      <c r="O22" s="40" t="s">
        <v>146</v>
      </c>
    </row>
    <row r="23" customFormat="false" ht="15" hidden="false" customHeight="true" outlineLevel="0" collapsed="false">
      <c r="A23" s="38" t="s">
        <v>466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</row>
    <row r="24" customFormat="false" ht="15" hidden="false" customHeight="true" outlineLevel="0" collapsed="false">
      <c r="A24" s="38" t="s">
        <v>467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50" t="n">
        <f aca="false">SUM(B24:M24)</f>
        <v>0</v>
      </c>
      <c r="O24" s="40" t="s">
        <v>149</v>
      </c>
    </row>
    <row r="25" customFormat="false" ht="15" hidden="false" customHeight="true" outlineLevel="0" collapsed="false">
      <c r="A25" s="38" t="s">
        <v>468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50" t="n">
        <f aca="false">SUM(B25:M25)</f>
        <v>0</v>
      </c>
      <c r="O25" s="40" t="s">
        <v>151</v>
      </c>
    </row>
    <row r="26" customFormat="false" ht="15" hidden="false" customHeight="true" outlineLevel="0" collapsed="false">
      <c r="A26" s="38" t="s">
        <v>469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50" t="n">
        <f aca="false">SUM(B26:M26)</f>
        <v>0</v>
      </c>
      <c r="O26" s="40" t="s">
        <v>153</v>
      </c>
    </row>
    <row r="27" customFormat="false" ht="15" hidden="false" customHeight="true" outlineLevel="0" collapsed="false">
      <c r="A27" s="38" t="s">
        <v>470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50" t="n">
        <f aca="false">SUM(B27:M27)</f>
        <v>0</v>
      </c>
      <c r="O27" s="40" t="s">
        <v>155</v>
      </c>
    </row>
    <row r="28" customFormat="false" ht="15" hidden="false" customHeight="true" outlineLevel="0" collapsed="false">
      <c r="A28" s="38" t="s">
        <v>471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50" t="n">
        <f aca="false">SUM(B28:M28)</f>
        <v>0</v>
      </c>
      <c r="O28" s="40" t="s">
        <v>222</v>
      </c>
    </row>
    <row r="29" customFormat="false" ht="15" hidden="false" customHeight="true" outlineLevel="0" collapsed="false">
      <c r="A29" s="37" t="s">
        <v>472</v>
      </c>
      <c r="B29" s="43" t="n">
        <f aca="false">SUM(B18:B28)</f>
        <v>0</v>
      </c>
      <c r="C29" s="43" t="n">
        <f aca="false">SUM(C18:C28)</f>
        <v>0</v>
      </c>
      <c r="D29" s="43" t="n">
        <f aca="false">SUM(D18:D28)</f>
        <v>0</v>
      </c>
      <c r="E29" s="43" t="n">
        <f aca="false">SUM(E18:E28)</f>
        <v>0</v>
      </c>
      <c r="F29" s="43" t="n">
        <f aca="false">SUM(F18:F28)</f>
        <v>0</v>
      </c>
      <c r="G29" s="43" t="n">
        <f aca="false">SUM(G18:G28)</f>
        <v>0</v>
      </c>
      <c r="H29" s="43" t="n">
        <f aca="false">SUM(H18:H28)</f>
        <v>0</v>
      </c>
      <c r="I29" s="43" t="n">
        <f aca="false">SUM(I18:I28)</f>
        <v>0</v>
      </c>
      <c r="J29" s="43" t="n">
        <f aca="false">SUM(J18:J28)</f>
        <v>0</v>
      </c>
      <c r="K29" s="43" t="n">
        <f aca="false">SUM(K18:K28)</f>
        <v>0</v>
      </c>
      <c r="L29" s="43" t="n">
        <f aca="false">SUM(L18:L28)</f>
        <v>0</v>
      </c>
      <c r="M29" s="43" t="n">
        <f aca="false">SUM(M18:M28)</f>
        <v>0</v>
      </c>
      <c r="N29" s="49" t="n">
        <f aca="false">SUM(B29:M29)</f>
        <v>0</v>
      </c>
    </row>
    <row r="30" customFormat="false" ht="15" hidden="false" customHeight="true" outlineLevel="0" collapsed="false">
      <c r="A30" s="37" t="s">
        <v>430</v>
      </c>
      <c r="B30" s="45" t="n">
        <f aca="false">B16-B29</f>
        <v>0</v>
      </c>
      <c r="C30" s="45" t="n">
        <f aca="false">C16-C29</f>
        <v>0</v>
      </c>
      <c r="D30" s="45" t="n">
        <f aca="false">D16-D29</f>
        <v>0</v>
      </c>
      <c r="E30" s="45" t="n">
        <f aca="false">E16-E29</f>
        <v>0</v>
      </c>
      <c r="F30" s="45" t="n">
        <f aca="false">F16-F29</f>
        <v>0</v>
      </c>
      <c r="G30" s="45" t="n">
        <f aca="false">G16-G29</f>
        <v>0</v>
      </c>
      <c r="H30" s="45" t="n">
        <f aca="false">H16-H29</f>
        <v>0</v>
      </c>
      <c r="I30" s="45" t="n">
        <f aca="false">I16-I29</f>
        <v>0</v>
      </c>
      <c r="J30" s="45" t="n">
        <f aca="false">J16-J29</f>
        <v>0</v>
      </c>
      <c r="K30" s="45" t="n">
        <f aca="false">K16-K29</f>
        <v>0</v>
      </c>
      <c r="L30" s="45" t="n">
        <f aca="false">L16-L29</f>
        <v>0</v>
      </c>
      <c r="M30" s="45" t="n">
        <f aca="false">M16-M29</f>
        <v>0</v>
      </c>
      <c r="N30" s="49" t="n">
        <f aca="false">SUM(B30:M30)</f>
        <v>0</v>
      </c>
    </row>
    <row r="31" customFormat="false" ht="15" hidden="false" customHeight="true" outlineLevel="0" collapsed="false">
      <c r="A31" s="38" t="s">
        <v>431</v>
      </c>
      <c r="B31" s="46" t="n">
        <f aca="false">IFERROR(B30/B16,0)</f>
        <v>0</v>
      </c>
      <c r="C31" s="46" t="n">
        <f aca="false">IFERROR(C30/C16,0)</f>
        <v>0</v>
      </c>
      <c r="D31" s="46" t="n">
        <f aca="false">IFERROR(D30/D16,0)</f>
        <v>0</v>
      </c>
      <c r="E31" s="46" t="n">
        <f aca="false">IFERROR(E30/E16,0)</f>
        <v>0</v>
      </c>
      <c r="F31" s="46" t="n">
        <f aca="false">IFERROR(F30/F16,0)</f>
        <v>0</v>
      </c>
      <c r="G31" s="46" t="n">
        <f aca="false">IFERROR(G30/G16,0)</f>
        <v>0</v>
      </c>
      <c r="H31" s="46" t="n">
        <f aca="false">IFERROR(H30/H16,0)</f>
        <v>0</v>
      </c>
      <c r="I31" s="46" t="n">
        <f aca="false">IFERROR(I30/I16,0)</f>
        <v>0</v>
      </c>
      <c r="J31" s="46" t="n">
        <f aca="false">IFERROR(J30/J16,0)</f>
        <v>0</v>
      </c>
      <c r="K31" s="46" t="n">
        <f aca="false">IFERROR(K30/K16,0)</f>
        <v>0</v>
      </c>
      <c r="L31" s="46" t="n">
        <f aca="false">IFERROR(L30/L16,0)</f>
        <v>0</v>
      </c>
      <c r="M31" s="46" t="n">
        <f aca="false">IFERROR(M30/M16,0)</f>
        <v>0</v>
      </c>
      <c r="N31" s="46" t="n">
        <f aca="false">IFERROR(N30/N16,0)</f>
        <v>0</v>
      </c>
    </row>
    <row r="32" customFormat="false" ht="15" hidden="false" customHeight="true" outlineLevel="0" collapsed="false">
      <c r="A32" s="37" t="s">
        <v>432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</row>
    <row r="33" customFormat="false" ht="15" hidden="false" customHeight="true" outlineLevel="0" collapsed="false">
      <c r="A33" s="38" t="s">
        <v>473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</row>
    <row r="34" customFormat="false" ht="15" hidden="false" customHeight="true" outlineLevel="0" collapsed="false">
      <c r="A34" s="38" t="s">
        <v>474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 t="n">
        <f aca="false">SUM(B34:M34)</f>
        <v>0</v>
      </c>
      <c r="O34" s="40" t="s">
        <v>157</v>
      </c>
    </row>
    <row r="35" customFormat="false" ht="15" hidden="false" customHeight="true" outlineLevel="0" collapsed="false">
      <c r="A35" s="38" t="s">
        <v>475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 t="n">
        <f aca="false">SUM(B35:M35)</f>
        <v>0</v>
      </c>
      <c r="O35" s="40" t="s">
        <v>160</v>
      </c>
    </row>
    <row r="36" customFormat="false" ht="15" hidden="false" customHeight="true" outlineLevel="0" collapsed="false">
      <c r="A36" s="38" t="s">
        <v>476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 t="n">
        <f aca="false">SUM(B36:M36)</f>
        <v>0</v>
      </c>
      <c r="O36" s="40" t="s">
        <v>162</v>
      </c>
    </row>
    <row r="37" customFormat="false" ht="15" hidden="false" customHeight="true" outlineLevel="0" collapsed="false">
      <c r="A37" s="38" t="s">
        <v>477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 t="n">
        <f aca="false">SUM(B37:M37)</f>
        <v>0</v>
      </c>
      <c r="O37" s="40" t="s">
        <v>164</v>
      </c>
    </row>
    <row r="38" customFormat="false" ht="15" hidden="false" customHeight="true" outlineLevel="0" collapsed="false">
      <c r="A38" s="38" t="s">
        <v>478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 t="n">
        <f aca="false">SUM(B38:M38)</f>
        <v>0</v>
      </c>
      <c r="O38" s="40" t="s">
        <v>166</v>
      </c>
    </row>
    <row r="39" customFormat="false" ht="15" hidden="false" customHeight="true" outlineLevel="0" collapsed="false">
      <c r="A39" s="38" t="s">
        <v>439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customFormat="false" ht="15" hidden="false" customHeight="true" outlineLevel="0" collapsed="false">
      <c r="A40" s="38" t="s">
        <v>479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 t="n">
        <f aca="false">SUM(B40:M40)</f>
        <v>0</v>
      </c>
      <c r="O40" s="40" t="s">
        <v>168</v>
      </c>
    </row>
    <row r="41" customFormat="false" ht="15" hidden="false" customHeight="true" outlineLevel="0" collapsed="false">
      <c r="A41" s="38" t="s">
        <v>441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 t="n">
        <f aca="false">SUM(B41:M41)</f>
        <v>0</v>
      </c>
      <c r="O41" s="40" t="s">
        <v>171</v>
      </c>
    </row>
    <row r="42" customFormat="false" ht="15" hidden="false" customHeight="true" outlineLevel="0" collapsed="false">
      <c r="A42" s="38" t="s">
        <v>442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 t="n">
        <f aca="false">SUM(B42:M42)</f>
        <v>0</v>
      </c>
      <c r="O42" s="40" t="s">
        <v>173</v>
      </c>
    </row>
    <row r="43" customFormat="false" ht="15" hidden="false" customHeight="true" outlineLevel="0" collapsed="false">
      <c r="A43" s="38" t="s">
        <v>443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 t="n">
        <f aca="false">SUM(B43:M43)</f>
        <v>0</v>
      </c>
      <c r="O43" s="40" t="s">
        <v>175</v>
      </c>
    </row>
    <row r="44" customFormat="false" ht="15" hidden="false" customHeight="true" outlineLevel="0" collapsed="false">
      <c r="A44" s="38" t="s">
        <v>444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 t="n">
        <f aca="false">SUM(B44:M44)</f>
        <v>0</v>
      </c>
      <c r="O44" s="40" t="s">
        <v>177</v>
      </c>
    </row>
    <row r="45" customFormat="false" ht="15" hidden="false" customHeight="true" outlineLevel="0" collapsed="false">
      <c r="A45" s="38" t="s">
        <v>480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 t="n">
        <f aca="false">SUM(B45:M45)</f>
        <v>0</v>
      </c>
      <c r="O45" s="40" t="s">
        <v>179</v>
      </c>
    </row>
    <row r="46" customFormat="false" ht="15" hidden="false" customHeight="true" outlineLevel="0" collapsed="false">
      <c r="A46" s="38" t="s">
        <v>481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 t="n">
        <f aca="false">SUM(B46:M46)</f>
        <v>0</v>
      </c>
      <c r="O46" s="40" t="s">
        <v>181</v>
      </c>
    </row>
    <row r="47" customFormat="false" ht="15" hidden="false" customHeight="true" outlineLevel="0" collapsed="false">
      <c r="A47" s="38" t="s">
        <v>482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 t="n">
        <f aca="false">SUM(B47:M47)</f>
        <v>0</v>
      </c>
      <c r="O47" s="40" t="s">
        <v>183</v>
      </c>
    </row>
    <row r="48" customFormat="false" ht="15" hidden="false" customHeight="true" outlineLevel="0" collapsed="false">
      <c r="A48" s="38" t="s">
        <v>483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 t="n">
        <f aca="false">SUM(B48:M48)</f>
        <v>0</v>
      </c>
      <c r="O48" s="40" t="s">
        <v>233</v>
      </c>
    </row>
    <row r="49" customFormat="false" ht="15" hidden="false" customHeight="true" outlineLevel="0" collapsed="false">
      <c r="A49" s="38" t="s">
        <v>447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 t="n">
        <f aca="false">SUM(B49:M49)</f>
        <v>0</v>
      </c>
      <c r="O49" s="40" t="s">
        <v>235</v>
      </c>
    </row>
    <row r="50" customFormat="false" ht="15" hidden="false" customHeight="true" outlineLevel="0" collapsed="false">
      <c r="A50" s="37" t="s">
        <v>448</v>
      </c>
      <c r="B50" s="43" t="n">
        <f aca="false">SUM(B33:B49)</f>
        <v>0</v>
      </c>
      <c r="C50" s="43" t="n">
        <f aca="false">SUM(C33:C49)</f>
        <v>0</v>
      </c>
      <c r="D50" s="43" t="n">
        <f aca="false">SUM(D33:D49)</f>
        <v>0</v>
      </c>
      <c r="E50" s="43" t="n">
        <f aca="false">SUM(E33:E49)</f>
        <v>0</v>
      </c>
      <c r="F50" s="43" t="n">
        <f aca="false">SUM(F33:F49)</f>
        <v>0</v>
      </c>
      <c r="G50" s="43" t="n">
        <f aca="false">SUM(G33:G49)</f>
        <v>0</v>
      </c>
      <c r="H50" s="43" t="n">
        <f aca="false">SUM(H33:H49)</f>
        <v>0</v>
      </c>
      <c r="I50" s="43" t="n">
        <f aca="false">SUM(I33:I49)</f>
        <v>0</v>
      </c>
      <c r="J50" s="43" t="n">
        <f aca="false">SUM(J33:J49)</f>
        <v>0</v>
      </c>
      <c r="K50" s="43" t="n">
        <f aca="false">SUM(K33:K49)</f>
        <v>0</v>
      </c>
      <c r="L50" s="43" t="n">
        <f aca="false">SUM(L33:L49)</f>
        <v>0</v>
      </c>
      <c r="M50" s="43" t="n">
        <f aca="false">SUM(M33:M49)</f>
        <v>0</v>
      </c>
      <c r="N50" s="43" t="n">
        <f aca="false">SUM(B50:M50)</f>
        <v>0</v>
      </c>
    </row>
    <row r="51" customFormat="false" ht="15" hidden="false" customHeight="true" outlineLevel="0" collapsed="false">
      <c r="A51" s="37" t="s">
        <v>449</v>
      </c>
      <c r="B51" s="45" t="n">
        <f aca="false">B30-B50</f>
        <v>0</v>
      </c>
      <c r="C51" s="45" t="n">
        <f aca="false">C30-C50</f>
        <v>0</v>
      </c>
      <c r="D51" s="45" t="n">
        <f aca="false">D30-D50</f>
        <v>0</v>
      </c>
      <c r="E51" s="45" t="n">
        <f aca="false">E30-E50</f>
        <v>0</v>
      </c>
      <c r="F51" s="45" t="n">
        <f aca="false">F30-F50</f>
        <v>0</v>
      </c>
      <c r="G51" s="45" t="n">
        <f aca="false">G30-G50</f>
        <v>0</v>
      </c>
      <c r="H51" s="45" t="n">
        <f aca="false">H30-H50</f>
        <v>0</v>
      </c>
      <c r="I51" s="45" t="n">
        <f aca="false">I30-I50</f>
        <v>0</v>
      </c>
      <c r="J51" s="45" t="n">
        <f aca="false">J30-J50</f>
        <v>0</v>
      </c>
      <c r="K51" s="45" t="n">
        <f aca="false">K30-K50</f>
        <v>0</v>
      </c>
      <c r="L51" s="45" t="n">
        <f aca="false">L30-L50</f>
        <v>0</v>
      </c>
      <c r="M51" s="45" t="n">
        <f aca="false">M30-M50</f>
        <v>0</v>
      </c>
      <c r="N51" s="49" t="n">
        <f aca="false">SUM(B51:M51)</f>
        <v>0</v>
      </c>
    </row>
    <row r="52" customFormat="false" ht="15" hidden="false" customHeight="true" outlineLevel="0" collapsed="false">
      <c r="A52" s="38" t="s">
        <v>450</v>
      </c>
      <c r="B52" s="46" t="n">
        <f aca="false">IFERROR(B51/B16,0)</f>
        <v>0</v>
      </c>
      <c r="C52" s="46" t="n">
        <f aca="false">IFERROR(C51/C16,0)</f>
        <v>0</v>
      </c>
      <c r="D52" s="46" t="n">
        <f aca="false">IFERROR(D51/D16,0)</f>
        <v>0</v>
      </c>
      <c r="E52" s="46" t="n">
        <f aca="false">IFERROR(E51/E16,0)</f>
        <v>0</v>
      </c>
      <c r="F52" s="46" t="n">
        <f aca="false">IFERROR(F51/F16,0)</f>
        <v>0</v>
      </c>
      <c r="G52" s="46" t="n">
        <f aca="false">IFERROR(G51/G16,0)</f>
        <v>0</v>
      </c>
      <c r="H52" s="46" t="n">
        <f aca="false">IFERROR(H51/H16,0)</f>
        <v>0</v>
      </c>
      <c r="I52" s="46" t="n">
        <f aca="false">IFERROR(I51/I16,0)</f>
        <v>0</v>
      </c>
      <c r="J52" s="46" t="n">
        <f aca="false">IFERROR(J51/J16,0)</f>
        <v>0</v>
      </c>
      <c r="K52" s="46" t="n">
        <f aca="false">IFERROR(K51/K16,0)</f>
        <v>0</v>
      </c>
      <c r="L52" s="46" t="n">
        <f aca="false">IFERROR(L51/L16,0)</f>
        <v>0</v>
      </c>
      <c r="M52" s="46" t="n">
        <f aca="false">IFERROR(M51/M16,0)</f>
        <v>0</v>
      </c>
      <c r="N52" s="46" t="n">
        <f aca="false">IFERROR(N51/N16,0)</f>
        <v>0</v>
      </c>
    </row>
    <row r="53" customFormat="false" ht="15" hidden="false" customHeight="true" outlineLevel="0" collapsed="false">
      <c r="A53" s="37" t="s">
        <v>451</v>
      </c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</row>
    <row r="54" customFormat="false" ht="15" hidden="false" customHeight="true" outlineLevel="0" collapsed="false">
      <c r="A54" s="38" t="s">
        <v>186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 t="n">
        <f aca="false">SUM(B54:M54)</f>
        <v>0</v>
      </c>
      <c r="O54" s="40" t="s">
        <v>185</v>
      </c>
    </row>
    <row r="55" customFormat="false" ht="15" hidden="false" customHeight="true" outlineLevel="0" collapsed="false">
      <c r="A55" s="38" t="s">
        <v>236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 t="n">
        <f aca="false">SUM(B55:M55)</f>
        <v>0</v>
      </c>
      <c r="O55" s="40" t="s">
        <v>188</v>
      </c>
    </row>
    <row r="56" customFormat="false" ht="15" hidden="false" customHeight="true" outlineLevel="0" collapsed="false">
      <c r="A56" s="38" t="s">
        <v>189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 t="n">
        <f aca="false">SUM(B56:M56)</f>
        <v>0</v>
      </c>
      <c r="O56" s="40" t="s">
        <v>190</v>
      </c>
    </row>
    <row r="57" customFormat="false" ht="15" hidden="false" customHeight="true" outlineLevel="0" collapsed="false">
      <c r="A57" s="38" t="s">
        <v>193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 t="n">
        <f aca="false">SUM(B57:M57)</f>
        <v>0</v>
      </c>
      <c r="O57" s="40" t="s">
        <v>192</v>
      </c>
    </row>
    <row r="58" customFormat="false" ht="15" hidden="false" customHeight="true" outlineLevel="0" collapsed="false">
      <c r="A58" s="38" t="s">
        <v>237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 t="n">
        <f aca="false">SUM(B58:M58)</f>
        <v>0</v>
      </c>
      <c r="O58" s="40" t="s">
        <v>195</v>
      </c>
    </row>
    <row r="59" customFormat="false" ht="15" hidden="false" customHeight="true" outlineLevel="0" collapsed="false">
      <c r="A59" s="38" t="s">
        <v>198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 t="n">
        <f aca="false">SUM(B59:M59)</f>
        <v>0</v>
      </c>
      <c r="O59" s="40" t="s">
        <v>197</v>
      </c>
    </row>
    <row r="60" customFormat="false" ht="15" hidden="false" customHeight="true" outlineLevel="0" collapsed="false">
      <c r="A60" s="37" t="s">
        <v>452</v>
      </c>
      <c r="B60" s="43" t="n">
        <f aca="false">B54+B55+B56-B57-B58-B59</f>
        <v>0</v>
      </c>
      <c r="C60" s="43" t="n">
        <f aca="false">C54+C55+C56-C57-C58-C59</f>
        <v>0</v>
      </c>
      <c r="D60" s="43" t="n">
        <f aca="false">D54+D55+D56-D57-D58-D59</f>
        <v>0</v>
      </c>
      <c r="E60" s="43" t="n">
        <f aca="false">E54+E55+E56-E57-E58-E59</f>
        <v>0</v>
      </c>
      <c r="F60" s="43" t="n">
        <f aca="false">F54+F55+F56-F57-F58-F59</f>
        <v>0</v>
      </c>
      <c r="G60" s="43" t="n">
        <f aca="false">G54+G55+G56-G57-G58-G59</f>
        <v>0</v>
      </c>
      <c r="H60" s="43" t="n">
        <f aca="false">H54+H55+H56-H57-H58-H59</f>
        <v>0</v>
      </c>
      <c r="I60" s="43" t="n">
        <f aca="false">I54+I55+I56-I57-I58-I59</f>
        <v>0</v>
      </c>
      <c r="J60" s="43" t="n">
        <f aca="false">J54+J55+J56-J57-J58-J59</f>
        <v>0</v>
      </c>
      <c r="K60" s="43" t="n">
        <f aca="false">K54+K55+K56-K57-K58-K59</f>
        <v>0</v>
      </c>
      <c r="L60" s="43" t="n">
        <f aca="false">L54+L55+L56-L57-L58-L59</f>
        <v>0</v>
      </c>
      <c r="M60" s="43" t="n">
        <f aca="false">M54+M55+M56-M57-M58-M59</f>
        <v>0</v>
      </c>
      <c r="N60" s="43" t="n">
        <f aca="false">SUM(B60:M60)</f>
        <v>0</v>
      </c>
    </row>
    <row r="61" customFormat="false" ht="15" hidden="false" customHeight="true" outlineLevel="0" collapsed="false">
      <c r="A61" s="37" t="s">
        <v>453</v>
      </c>
      <c r="B61" s="45" t="n">
        <f aca="false">B51+B60</f>
        <v>0</v>
      </c>
      <c r="C61" s="45" t="n">
        <f aca="false">C51+C60</f>
        <v>0</v>
      </c>
      <c r="D61" s="45" t="n">
        <f aca="false">D51+D60</f>
        <v>0</v>
      </c>
      <c r="E61" s="45" t="n">
        <f aca="false">E51+E60</f>
        <v>0</v>
      </c>
      <c r="F61" s="45" t="n">
        <f aca="false">F51+F60</f>
        <v>0</v>
      </c>
      <c r="G61" s="45" t="n">
        <f aca="false">G51+G60</f>
        <v>0</v>
      </c>
      <c r="H61" s="45" t="n">
        <f aca="false">H51+H60</f>
        <v>0</v>
      </c>
      <c r="I61" s="45" t="n">
        <f aca="false">I51+I60</f>
        <v>0</v>
      </c>
      <c r="J61" s="45" t="n">
        <f aca="false">J51+J60</f>
        <v>0</v>
      </c>
      <c r="K61" s="45" t="n">
        <f aca="false">K51+K60</f>
        <v>0</v>
      </c>
      <c r="L61" s="45" t="n">
        <f aca="false">L51+L60</f>
        <v>0</v>
      </c>
      <c r="M61" s="45" t="n">
        <f aca="false">M51+M60</f>
        <v>0</v>
      </c>
      <c r="N61" s="49" t="n">
        <f aca="false">SUM(B61:M61)</f>
        <v>0</v>
      </c>
    </row>
    <row r="62" customFormat="false" ht="15" hidden="false" customHeight="true" outlineLevel="0" collapsed="false">
      <c r="A62" s="38" t="s">
        <v>200</v>
      </c>
      <c r="B62" s="42" t="n">
        <f aca="false">MAX(0,B61)*0.27</f>
        <v>0</v>
      </c>
      <c r="C62" s="42" t="n">
        <f aca="false">MAX(0,C61)*0.27</f>
        <v>0</v>
      </c>
      <c r="D62" s="42" t="n">
        <f aca="false">MAX(0,D61)*0.27</f>
        <v>0</v>
      </c>
      <c r="E62" s="42" t="n">
        <f aca="false">MAX(0,E61)*0.27</f>
        <v>0</v>
      </c>
      <c r="F62" s="42" t="n">
        <f aca="false">MAX(0,F61)*0.27</f>
        <v>0</v>
      </c>
      <c r="G62" s="42" t="n">
        <f aca="false">MAX(0,G61)*0.27</f>
        <v>0</v>
      </c>
      <c r="H62" s="42" t="n">
        <f aca="false">MAX(0,H61)*0.27</f>
        <v>0</v>
      </c>
      <c r="I62" s="42" t="n">
        <f aca="false">MAX(0,I61)*0.27</f>
        <v>0</v>
      </c>
      <c r="J62" s="42" t="n">
        <f aca="false">MAX(0,J61)*0.27</f>
        <v>0</v>
      </c>
      <c r="K62" s="42" t="n">
        <f aca="false">MAX(0,K61)*0.27</f>
        <v>0</v>
      </c>
      <c r="L62" s="42" t="n">
        <f aca="false">MAX(0,L61)*0.27</f>
        <v>0</v>
      </c>
      <c r="M62" s="42" t="n">
        <f aca="false">MAX(0,M61)*0.27</f>
        <v>0</v>
      </c>
      <c r="N62" s="42" t="n">
        <f aca="false">SUM(B62:M62)</f>
        <v>0</v>
      </c>
      <c r="O62" s="0" t="s">
        <v>199</v>
      </c>
    </row>
    <row r="63" customFormat="false" ht="15" hidden="false" customHeight="true" outlineLevel="0" collapsed="false">
      <c r="A63" s="37" t="s">
        <v>454</v>
      </c>
      <c r="B63" s="45" t="n">
        <f aca="false">B61-B62</f>
        <v>0</v>
      </c>
      <c r="C63" s="45" t="n">
        <f aca="false">C61-C62</f>
        <v>0</v>
      </c>
      <c r="D63" s="45" t="n">
        <f aca="false">D61-D62</f>
        <v>0</v>
      </c>
      <c r="E63" s="45" t="n">
        <f aca="false">E61-E62</f>
        <v>0</v>
      </c>
      <c r="F63" s="45" t="n">
        <f aca="false">F61-F62</f>
        <v>0</v>
      </c>
      <c r="G63" s="45" t="n">
        <f aca="false">G61-G62</f>
        <v>0</v>
      </c>
      <c r="H63" s="45" t="n">
        <f aca="false">H61-H62</f>
        <v>0</v>
      </c>
      <c r="I63" s="45" t="n">
        <f aca="false">I61-I62</f>
        <v>0</v>
      </c>
      <c r="J63" s="45" t="n">
        <f aca="false">J61-J62</f>
        <v>0</v>
      </c>
      <c r="K63" s="45" t="n">
        <f aca="false">K61-K62</f>
        <v>0</v>
      </c>
      <c r="L63" s="45" t="n">
        <f aca="false">L61-L62</f>
        <v>0</v>
      </c>
      <c r="M63" s="45" t="n">
        <f aca="false">M61-M62</f>
        <v>0</v>
      </c>
      <c r="N63" s="49" t="n">
        <f aca="false">SUM(B63:M63)</f>
        <v>0</v>
      </c>
    </row>
    <row r="64" customFormat="false" ht="15" hidden="false" customHeight="true" outlineLevel="0" collapsed="false">
      <c r="A64" s="38" t="s">
        <v>455</v>
      </c>
      <c r="B64" s="46" t="n">
        <f aca="false">IFERROR(B63/B16,0)</f>
        <v>0</v>
      </c>
      <c r="C64" s="46" t="n">
        <f aca="false">IFERROR(C63/C16,0)</f>
        <v>0</v>
      </c>
      <c r="D64" s="46" t="n">
        <f aca="false">IFERROR(D63/D16,0)</f>
        <v>0</v>
      </c>
      <c r="E64" s="46" t="n">
        <f aca="false">IFERROR(E63/E16,0)</f>
        <v>0</v>
      </c>
      <c r="F64" s="46" t="n">
        <f aca="false">IFERROR(F63/F16,0)</f>
        <v>0</v>
      </c>
      <c r="G64" s="46" t="n">
        <f aca="false">IFERROR(G63/G16,0)</f>
        <v>0</v>
      </c>
      <c r="H64" s="46" t="n">
        <f aca="false">IFERROR(H63/H16,0)</f>
        <v>0</v>
      </c>
      <c r="I64" s="46" t="n">
        <f aca="false">IFERROR(I63/I16,0)</f>
        <v>0</v>
      </c>
      <c r="J64" s="46" t="n">
        <f aca="false">IFERROR(J63/J16,0)</f>
        <v>0</v>
      </c>
      <c r="K64" s="46" t="n">
        <f aca="false">IFERROR(K63/K16,0)</f>
        <v>0</v>
      </c>
      <c r="L64" s="46" t="n">
        <f aca="false">IFERROR(L63/L16,0)</f>
        <v>0</v>
      </c>
      <c r="M64" s="46" t="n">
        <f aca="false">IFERROR(M63/M16,0)</f>
        <v>0</v>
      </c>
      <c r="N64" s="46" t="n">
        <f aca="false">IFERROR(N63/N16,0)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9B3C"/>
    <pageSetUpPr fitToPage="false"/>
  </sheetPr>
  <dimension ref="A1:O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4"/>
    <col collapsed="false" customWidth="true" hidden="false" outlineLevel="0" max="15" min="15" style="0" width="11"/>
  </cols>
  <sheetData>
    <row r="1" customFormat="false" ht="17.25" hidden="false" customHeight="true" outlineLevel="0" collapsed="false">
      <c r="A1" s="31" t="s">
        <v>458</v>
      </c>
    </row>
    <row r="2" customFormat="false" ht="15" hidden="false" customHeight="true" outlineLevel="0" collapsed="false">
      <c r="A2" s="32" t="s">
        <v>456</v>
      </c>
    </row>
    <row r="3" customFormat="false" ht="15" hidden="false" customHeight="true" outlineLevel="0" collapsed="false">
      <c r="A3" s="33" t="s">
        <v>406</v>
      </c>
    </row>
    <row r="5" customFormat="false" ht="15" hidden="false" customHeight="true" outlineLevel="0" collapsed="false">
      <c r="A5" s="34" t="s">
        <v>314</v>
      </c>
      <c r="B5" s="35" t="s">
        <v>407</v>
      </c>
      <c r="C5" s="35" t="s">
        <v>408</v>
      </c>
      <c r="D5" s="35" t="s">
        <v>409</v>
      </c>
      <c r="E5" s="35" t="s">
        <v>410</v>
      </c>
      <c r="F5" s="35" t="s">
        <v>411</v>
      </c>
      <c r="G5" s="35" t="s">
        <v>412</v>
      </c>
      <c r="H5" s="35" t="s">
        <v>413</v>
      </c>
      <c r="I5" s="35" t="s">
        <v>414</v>
      </c>
      <c r="J5" s="35" t="s">
        <v>415</v>
      </c>
      <c r="K5" s="35" t="s">
        <v>416</v>
      </c>
      <c r="L5" s="35" t="s">
        <v>417</v>
      </c>
      <c r="M5" s="35" t="s">
        <v>418</v>
      </c>
      <c r="N5" s="35" t="s">
        <v>419</v>
      </c>
      <c r="O5" s="36" t="s">
        <v>23</v>
      </c>
    </row>
    <row r="6" customFormat="false" ht="15" hidden="false" customHeight="true" outlineLevel="0" collapsed="false">
      <c r="A6" s="37" t="s">
        <v>459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</row>
    <row r="7" customFormat="false" ht="15" hidden="false" customHeight="true" outlineLevel="0" collapsed="false">
      <c r="A7" s="38" t="s">
        <v>202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50" t="n">
        <f aca="false">SUM(B7:M7)</f>
        <v>0</v>
      </c>
      <c r="O7" s="40" t="s">
        <v>122</v>
      </c>
    </row>
    <row r="8" customFormat="false" ht="15" hidden="false" customHeight="true" outlineLevel="0" collapsed="false">
      <c r="A8" s="38" t="s">
        <v>205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50" t="n">
        <f aca="false">SUM(B8:M8)</f>
        <v>0</v>
      </c>
      <c r="O8" s="40" t="s">
        <v>128</v>
      </c>
    </row>
    <row r="9" customFormat="false" ht="15" hidden="false" customHeight="true" outlineLevel="0" collapsed="false">
      <c r="A9" s="38" t="s">
        <v>206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50" t="n">
        <f aca="false">SUM(B9:M9)</f>
        <v>0</v>
      </c>
      <c r="O9" s="40" t="s">
        <v>130</v>
      </c>
    </row>
    <row r="10" customFormat="false" ht="15" hidden="false" customHeight="true" outlineLevel="0" collapsed="false">
      <c r="A10" s="38" t="s">
        <v>207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50" t="n">
        <f aca="false">SUM(B10:M10)</f>
        <v>0</v>
      </c>
      <c r="O10" s="40" t="s">
        <v>132</v>
      </c>
    </row>
    <row r="11" customFormat="false" ht="15" hidden="false" customHeight="true" outlineLevel="0" collapsed="false">
      <c r="A11" s="38" t="s">
        <v>209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50" t="n">
        <f aca="false">SUM(B11:M11)</f>
        <v>0</v>
      </c>
      <c r="O11" s="40" t="s">
        <v>208</v>
      </c>
    </row>
    <row r="12" customFormat="false" ht="15" hidden="false" customHeight="true" outlineLevel="0" collapsed="false">
      <c r="A12" s="38" t="s">
        <v>211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50" t="n">
        <f aca="false">SUM(B12:M12)</f>
        <v>0</v>
      </c>
      <c r="O12" s="40" t="s">
        <v>210</v>
      </c>
    </row>
    <row r="13" customFormat="false" ht="15" hidden="false" customHeight="true" outlineLevel="0" collapsed="false">
      <c r="A13" s="38" t="s">
        <v>421</v>
      </c>
      <c r="B13" s="42" t="n">
        <f aca="false">SUM(B7:B12)</f>
        <v>0</v>
      </c>
      <c r="C13" s="42" t="n">
        <f aca="false">SUM(C7:C12)</f>
        <v>0</v>
      </c>
      <c r="D13" s="42" t="n">
        <f aca="false">SUM(D7:D12)</f>
        <v>0</v>
      </c>
      <c r="E13" s="42" t="n">
        <f aca="false">SUM(E7:E12)</f>
        <v>0</v>
      </c>
      <c r="F13" s="42" t="n">
        <f aca="false">SUM(F7:F12)</f>
        <v>0</v>
      </c>
      <c r="G13" s="42" t="n">
        <f aca="false">SUM(G7:G12)</f>
        <v>0</v>
      </c>
      <c r="H13" s="42" t="n">
        <f aca="false">SUM(H7:H12)</f>
        <v>0</v>
      </c>
      <c r="I13" s="42" t="n">
        <f aca="false">SUM(I7:I12)</f>
        <v>0</v>
      </c>
      <c r="J13" s="42" t="n">
        <f aca="false">SUM(J7:J12)</f>
        <v>0</v>
      </c>
      <c r="K13" s="42" t="n">
        <f aca="false">SUM(K7:K12)</f>
        <v>0</v>
      </c>
      <c r="L13" s="42" t="n">
        <f aca="false">SUM(L7:L12)</f>
        <v>0</v>
      </c>
      <c r="M13" s="42" t="n">
        <f aca="false">SUM(M7:M12)</f>
        <v>0</v>
      </c>
      <c r="N13" s="42" t="n">
        <f aca="false">SUM(B13:M13)</f>
        <v>0</v>
      </c>
    </row>
    <row r="14" customFormat="false" ht="15" hidden="false" customHeight="true" outlineLevel="0" collapsed="false">
      <c r="A14" s="38" t="s">
        <v>212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 t="n">
        <f aca="false">SUM(B14:M14)</f>
        <v>0</v>
      </c>
      <c r="O14" s="40" t="s">
        <v>134</v>
      </c>
    </row>
    <row r="15" customFormat="false" ht="15" hidden="false" customHeight="true" outlineLevel="0" collapsed="false">
      <c r="A15" s="38" t="s">
        <v>213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41" t="n">
        <f aca="false">SUM(B15:M15)</f>
        <v>0</v>
      </c>
      <c r="O15" s="40" t="s">
        <v>137</v>
      </c>
    </row>
    <row r="16" customFormat="false" ht="15" hidden="false" customHeight="true" outlineLevel="0" collapsed="false">
      <c r="A16" s="37" t="s">
        <v>422</v>
      </c>
      <c r="B16" s="43" t="n">
        <f aca="false">B13-B14-B15</f>
        <v>0</v>
      </c>
      <c r="C16" s="43" t="n">
        <f aca="false">C13-C14-C15</f>
        <v>0</v>
      </c>
      <c r="D16" s="43" t="n">
        <f aca="false">D13-D14-D15</f>
        <v>0</v>
      </c>
      <c r="E16" s="43" t="n">
        <f aca="false">E13-E14-E15</f>
        <v>0</v>
      </c>
      <c r="F16" s="43" t="n">
        <f aca="false">F13-F14-F15</f>
        <v>0</v>
      </c>
      <c r="G16" s="43" t="n">
        <f aca="false">G13-G14-G15</f>
        <v>0</v>
      </c>
      <c r="H16" s="43" t="n">
        <f aca="false">H13-H14-H15</f>
        <v>0</v>
      </c>
      <c r="I16" s="43" t="n">
        <f aca="false">I13-I14-I15</f>
        <v>0</v>
      </c>
      <c r="J16" s="43" t="n">
        <f aca="false">J13-J14-J15</f>
        <v>0</v>
      </c>
      <c r="K16" s="43" t="n">
        <f aca="false">K13-K14-K15</f>
        <v>0</v>
      </c>
      <c r="L16" s="43" t="n">
        <f aca="false">L13-L14-L15</f>
        <v>0</v>
      </c>
      <c r="M16" s="43" t="n">
        <f aca="false">M13-M14-M15</f>
        <v>0</v>
      </c>
      <c r="N16" s="43" t="n">
        <f aca="false">SUM(B16:M16)</f>
        <v>0</v>
      </c>
    </row>
    <row r="17" customFormat="false" ht="15" hidden="false" customHeight="true" outlineLevel="0" collapsed="false">
      <c r="A17" s="37" t="s">
        <v>460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</row>
    <row r="18" customFormat="false" ht="15" hidden="false" customHeight="true" outlineLevel="0" collapsed="false">
      <c r="A18" s="38" t="s">
        <v>461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</row>
    <row r="19" customFormat="false" ht="15" hidden="false" customHeight="true" outlineLevel="0" collapsed="false">
      <c r="A19" s="38" t="s">
        <v>462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50" t="n">
        <f aca="false">SUM(B19:M19)</f>
        <v>0</v>
      </c>
      <c r="O19" s="40" t="s">
        <v>139</v>
      </c>
    </row>
    <row r="20" customFormat="false" ht="15" hidden="false" customHeight="true" outlineLevel="0" collapsed="false">
      <c r="A20" s="38" t="s">
        <v>463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50" t="n">
        <f aca="false">SUM(B20:M20)</f>
        <v>0</v>
      </c>
      <c r="O20" s="40" t="s">
        <v>142</v>
      </c>
    </row>
    <row r="21" customFormat="false" ht="15" hidden="false" customHeight="true" outlineLevel="0" collapsed="false">
      <c r="A21" s="38" t="s">
        <v>464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50" t="n">
        <f aca="false">SUM(B21:M21)</f>
        <v>0</v>
      </c>
      <c r="O21" s="40" t="s">
        <v>144</v>
      </c>
    </row>
    <row r="22" customFormat="false" ht="15" hidden="false" customHeight="true" outlineLevel="0" collapsed="false">
      <c r="A22" s="38" t="s">
        <v>465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50" t="n">
        <f aca="false">SUM(B22:M22)</f>
        <v>0</v>
      </c>
      <c r="O22" s="40" t="s">
        <v>146</v>
      </c>
    </row>
    <row r="23" customFormat="false" ht="15" hidden="false" customHeight="true" outlineLevel="0" collapsed="false">
      <c r="A23" s="38" t="s">
        <v>466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</row>
    <row r="24" customFormat="false" ht="15" hidden="false" customHeight="true" outlineLevel="0" collapsed="false">
      <c r="A24" s="38" t="s">
        <v>467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50" t="n">
        <f aca="false">SUM(B24:M24)</f>
        <v>0</v>
      </c>
      <c r="O24" s="40" t="s">
        <v>149</v>
      </c>
    </row>
    <row r="25" customFormat="false" ht="15" hidden="false" customHeight="true" outlineLevel="0" collapsed="false">
      <c r="A25" s="38" t="s">
        <v>468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50" t="n">
        <f aca="false">SUM(B25:M25)</f>
        <v>0</v>
      </c>
      <c r="O25" s="40" t="s">
        <v>151</v>
      </c>
    </row>
    <row r="26" customFormat="false" ht="15" hidden="false" customHeight="true" outlineLevel="0" collapsed="false">
      <c r="A26" s="38" t="s">
        <v>469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50" t="n">
        <f aca="false">SUM(B26:M26)</f>
        <v>0</v>
      </c>
      <c r="O26" s="40" t="s">
        <v>153</v>
      </c>
    </row>
    <row r="27" customFormat="false" ht="15" hidden="false" customHeight="true" outlineLevel="0" collapsed="false">
      <c r="A27" s="38" t="s">
        <v>470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50" t="n">
        <f aca="false">SUM(B27:M27)</f>
        <v>0</v>
      </c>
      <c r="O27" s="40" t="s">
        <v>155</v>
      </c>
    </row>
    <row r="28" customFormat="false" ht="15" hidden="false" customHeight="true" outlineLevel="0" collapsed="false">
      <c r="A28" s="38" t="s">
        <v>471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50" t="n">
        <f aca="false">SUM(B28:M28)</f>
        <v>0</v>
      </c>
      <c r="O28" s="40" t="s">
        <v>222</v>
      </c>
    </row>
    <row r="29" customFormat="false" ht="15" hidden="false" customHeight="true" outlineLevel="0" collapsed="false">
      <c r="A29" s="37" t="s">
        <v>472</v>
      </c>
      <c r="B29" s="43" t="n">
        <f aca="false">SUM(B18:B28)</f>
        <v>0</v>
      </c>
      <c r="C29" s="43" t="n">
        <f aca="false">SUM(C18:C28)</f>
        <v>0</v>
      </c>
      <c r="D29" s="43" t="n">
        <f aca="false">SUM(D18:D28)</f>
        <v>0</v>
      </c>
      <c r="E29" s="43" t="n">
        <f aca="false">SUM(E18:E28)</f>
        <v>0</v>
      </c>
      <c r="F29" s="43" t="n">
        <f aca="false">SUM(F18:F28)</f>
        <v>0</v>
      </c>
      <c r="G29" s="43" t="n">
        <f aca="false">SUM(G18:G28)</f>
        <v>0</v>
      </c>
      <c r="H29" s="43" t="n">
        <f aca="false">SUM(H18:H28)</f>
        <v>0</v>
      </c>
      <c r="I29" s="43" t="n">
        <f aca="false">SUM(I18:I28)</f>
        <v>0</v>
      </c>
      <c r="J29" s="43" t="n">
        <f aca="false">SUM(J18:J28)</f>
        <v>0</v>
      </c>
      <c r="K29" s="43" t="n">
        <f aca="false">SUM(K18:K28)</f>
        <v>0</v>
      </c>
      <c r="L29" s="43" t="n">
        <f aca="false">SUM(L18:L28)</f>
        <v>0</v>
      </c>
      <c r="M29" s="43" t="n">
        <f aca="false">SUM(M18:M28)</f>
        <v>0</v>
      </c>
      <c r="N29" s="49" t="n">
        <f aca="false">SUM(B29:M29)</f>
        <v>0</v>
      </c>
    </row>
    <row r="30" customFormat="false" ht="15" hidden="false" customHeight="true" outlineLevel="0" collapsed="false">
      <c r="A30" s="37" t="s">
        <v>430</v>
      </c>
      <c r="B30" s="45" t="n">
        <f aca="false">B16-B29</f>
        <v>0</v>
      </c>
      <c r="C30" s="45" t="n">
        <f aca="false">C16-C29</f>
        <v>0</v>
      </c>
      <c r="D30" s="45" t="n">
        <f aca="false">D16-D29</f>
        <v>0</v>
      </c>
      <c r="E30" s="45" t="n">
        <f aca="false">E16-E29</f>
        <v>0</v>
      </c>
      <c r="F30" s="45" t="n">
        <f aca="false">F16-F29</f>
        <v>0</v>
      </c>
      <c r="G30" s="45" t="n">
        <f aca="false">G16-G29</f>
        <v>0</v>
      </c>
      <c r="H30" s="45" t="n">
        <f aca="false">H16-H29</f>
        <v>0</v>
      </c>
      <c r="I30" s="45" t="n">
        <f aca="false">I16-I29</f>
        <v>0</v>
      </c>
      <c r="J30" s="45" t="n">
        <f aca="false">J16-J29</f>
        <v>0</v>
      </c>
      <c r="K30" s="45" t="n">
        <f aca="false">K16-K29</f>
        <v>0</v>
      </c>
      <c r="L30" s="45" t="n">
        <f aca="false">L16-L29</f>
        <v>0</v>
      </c>
      <c r="M30" s="45" t="n">
        <f aca="false">M16-M29</f>
        <v>0</v>
      </c>
      <c r="N30" s="49" t="n">
        <f aca="false">SUM(B30:M30)</f>
        <v>0</v>
      </c>
    </row>
    <row r="31" customFormat="false" ht="15" hidden="false" customHeight="true" outlineLevel="0" collapsed="false">
      <c r="A31" s="38" t="s">
        <v>431</v>
      </c>
      <c r="B31" s="51" t="n">
        <f aca="false">IFERROR(B30/B16,0)</f>
        <v>0</v>
      </c>
      <c r="C31" s="51" t="n">
        <f aca="false">IFERROR(C30/C16,0)</f>
        <v>0</v>
      </c>
      <c r="D31" s="51" t="n">
        <f aca="false">IFERROR(D30/D16,0)</f>
        <v>0</v>
      </c>
      <c r="E31" s="51" t="n">
        <f aca="false">IFERROR(E30/E16,0)</f>
        <v>0</v>
      </c>
      <c r="F31" s="51" t="n">
        <f aca="false">IFERROR(F30/F16,0)</f>
        <v>0</v>
      </c>
      <c r="G31" s="51" t="n">
        <f aca="false">IFERROR(G30/G16,0)</f>
        <v>0</v>
      </c>
      <c r="H31" s="51" t="n">
        <f aca="false">IFERROR(H30/H16,0)</f>
        <v>0</v>
      </c>
      <c r="I31" s="51" t="n">
        <f aca="false">IFERROR(I30/I16,0)</f>
        <v>0</v>
      </c>
      <c r="J31" s="51" t="n">
        <f aca="false">IFERROR(J30/J16,0)</f>
        <v>0</v>
      </c>
      <c r="K31" s="51" t="n">
        <f aca="false">IFERROR(K30/K16,0)</f>
        <v>0</v>
      </c>
      <c r="L31" s="51" t="n">
        <f aca="false">IFERROR(L30/L16,0)</f>
        <v>0</v>
      </c>
      <c r="M31" s="51" t="n">
        <f aca="false">IFERROR(M30/M16,0)</f>
        <v>0</v>
      </c>
      <c r="N31" s="51" t="n">
        <f aca="false">IFERROR(N30/N16,0)</f>
        <v>0</v>
      </c>
    </row>
    <row r="32" customFormat="false" ht="15" hidden="false" customHeight="true" outlineLevel="0" collapsed="false">
      <c r="A32" s="37" t="s">
        <v>432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</row>
    <row r="33" customFormat="false" ht="15" hidden="false" customHeight="true" outlineLevel="0" collapsed="false">
      <c r="A33" s="38" t="s">
        <v>473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</row>
    <row r="34" customFormat="false" ht="15" hidden="false" customHeight="true" outlineLevel="0" collapsed="false">
      <c r="A34" s="38" t="s">
        <v>474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 t="n">
        <f aca="false">SUM(B34:M34)</f>
        <v>0</v>
      </c>
      <c r="O34" s="40" t="s">
        <v>157</v>
      </c>
    </row>
    <row r="35" customFormat="false" ht="15" hidden="false" customHeight="true" outlineLevel="0" collapsed="false">
      <c r="A35" s="38" t="s">
        <v>475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 t="n">
        <f aca="false">SUM(B35:M35)</f>
        <v>0</v>
      </c>
      <c r="O35" s="40" t="s">
        <v>160</v>
      </c>
    </row>
    <row r="36" customFormat="false" ht="15" hidden="false" customHeight="true" outlineLevel="0" collapsed="false">
      <c r="A36" s="38" t="s">
        <v>476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 t="n">
        <f aca="false">SUM(B36:M36)</f>
        <v>0</v>
      </c>
      <c r="O36" s="40" t="s">
        <v>162</v>
      </c>
    </row>
    <row r="37" customFormat="false" ht="15" hidden="false" customHeight="true" outlineLevel="0" collapsed="false">
      <c r="A37" s="38" t="s">
        <v>477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 t="n">
        <f aca="false">SUM(B37:M37)</f>
        <v>0</v>
      </c>
      <c r="O37" s="40" t="s">
        <v>164</v>
      </c>
    </row>
    <row r="38" customFormat="false" ht="15" hidden="false" customHeight="true" outlineLevel="0" collapsed="false">
      <c r="A38" s="38" t="s">
        <v>478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 t="n">
        <f aca="false">SUM(B38:M38)</f>
        <v>0</v>
      </c>
      <c r="O38" s="40" t="s">
        <v>166</v>
      </c>
    </row>
    <row r="39" customFormat="false" ht="15" hidden="false" customHeight="true" outlineLevel="0" collapsed="false">
      <c r="A39" s="38" t="s">
        <v>439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customFormat="false" ht="15" hidden="false" customHeight="true" outlineLevel="0" collapsed="false">
      <c r="A40" s="38" t="s">
        <v>479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 t="n">
        <f aca="false">SUM(B40:M40)</f>
        <v>0</v>
      </c>
      <c r="O40" s="40" t="s">
        <v>168</v>
      </c>
    </row>
    <row r="41" customFormat="false" ht="15" hidden="false" customHeight="true" outlineLevel="0" collapsed="false">
      <c r="A41" s="38" t="s">
        <v>441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 t="n">
        <f aca="false">SUM(B41:M41)</f>
        <v>0</v>
      </c>
      <c r="O41" s="40" t="s">
        <v>171</v>
      </c>
    </row>
    <row r="42" customFormat="false" ht="15" hidden="false" customHeight="true" outlineLevel="0" collapsed="false">
      <c r="A42" s="38" t="s">
        <v>442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 t="n">
        <f aca="false">SUM(B42:M42)</f>
        <v>0</v>
      </c>
      <c r="O42" s="40" t="s">
        <v>173</v>
      </c>
    </row>
    <row r="43" customFormat="false" ht="15" hidden="false" customHeight="true" outlineLevel="0" collapsed="false">
      <c r="A43" s="38" t="s">
        <v>443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 t="n">
        <f aca="false">SUM(B43:M43)</f>
        <v>0</v>
      </c>
      <c r="O43" s="40" t="s">
        <v>175</v>
      </c>
    </row>
    <row r="44" customFormat="false" ht="15" hidden="false" customHeight="true" outlineLevel="0" collapsed="false">
      <c r="A44" s="38" t="s">
        <v>444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 t="n">
        <f aca="false">SUM(B44:M44)</f>
        <v>0</v>
      </c>
      <c r="O44" s="40" t="s">
        <v>177</v>
      </c>
    </row>
    <row r="45" customFormat="false" ht="15" hidden="false" customHeight="true" outlineLevel="0" collapsed="false">
      <c r="A45" s="38" t="s">
        <v>480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 t="n">
        <f aca="false">SUM(B45:M45)</f>
        <v>0</v>
      </c>
      <c r="O45" s="40" t="s">
        <v>179</v>
      </c>
    </row>
    <row r="46" customFormat="false" ht="15" hidden="false" customHeight="true" outlineLevel="0" collapsed="false">
      <c r="A46" s="38" t="s">
        <v>481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 t="n">
        <f aca="false">SUM(B46:M46)</f>
        <v>0</v>
      </c>
      <c r="O46" s="40" t="s">
        <v>181</v>
      </c>
    </row>
    <row r="47" customFormat="false" ht="15" hidden="false" customHeight="true" outlineLevel="0" collapsed="false">
      <c r="A47" s="38" t="s">
        <v>482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 t="n">
        <f aca="false">SUM(B47:M47)</f>
        <v>0</v>
      </c>
      <c r="O47" s="40" t="s">
        <v>183</v>
      </c>
    </row>
    <row r="48" customFormat="false" ht="15" hidden="false" customHeight="true" outlineLevel="0" collapsed="false">
      <c r="A48" s="38" t="s">
        <v>483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 t="n">
        <f aca="false">SUM(B48:M48)</f>
        <v>0</v>
      </c>
      <c r="O48" s="40" t="s">
        <v>233</v>
      </c>
    </row>
    <row r="49" customFormat="false" ht="15" hidden="false" customHeight="true" outlineLevel="0" collapsed="false">
      <c r="A49" s="38" t="s">
        <v>447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 t="n">
        <f aca="false">SUM(B49:M49)</f>
        <v>0</v>
      </c>
      <c r="O49" s="40" t="s">
        <v>235</v>
      </c>
    </row>
    <row r="50" customFormat="false" ht="15" hidden="false" customHeight="true" outlineLevel="0" collapsed="false">
      <c r="A50" s="37" t="s">
        <v>448</v>
      </c>
      <c r="B50" s="43" t="n">
        <f aca="false">SUM(B33:B49)</f>
        <v>0</v>
      </c>
      <c r="C50" s="43" t="n">
        <f aca="false">SUM(C33:C49)</f>
        <v>0</v>
      </c>
      <c r="D50" s="43" t="n">
        <f aca="false">SUM(D33:D49)</f>
        <v>0</v>
      </c>
      <c r="E50" s="43" t="n">
        <f aca="false">SUM(E33:E49)</f>
        <v>0</v>
      </c>
      <c r="F50" s="43" t="n">
        <f aca="false">SUM(F33:F49)</f>
        <v>0</v>
      </c>
      <c r="G50" s="43" t="n">
        <f aca="false">SUM(G33:G49)</f>
        <v>0</v>
      </c>
      <c r="H50" s="43" t="n">
        <f aca="false">SUM(H33:H49)</f>
        <v>0</v>
      </c>
      <c r="I50" s="43" t="n">
        <f aca="false">SUM(I33:I49)</f>
        <v>0</v>
      </c>
      <c r="J50" s="43" t="n">
        <f aca="false">SUM(J33:J49)</f>
        <v>0</v>
      </c>
      <c r="K50" s="43" t="n">
        <f aca="false">SUM(K33:K49)</f>
        <v>0</v>
      </c>
      <c r="L50" s="43" t="n">
        <f aca="false">SUM(L33:L49)</f>
        <v>0</v>
      </c>
      <c r="M50" s="43" t="n">
        <f aca="false">SUM(M33:M49)</f>
        <v>0</v>
      </c>
      <c r="N50" s="43" t="n">
        <f aca="false">SUM(B50:M50)</f>
        <v>0</v>
      </c>
    </row>
    <row r="51" customFormat="false" ht="15" hidden="false" customHeight="true" outlineLevel="0" collapsed="false">
      <c r="A51" s="37" t="s">
        <v>449</v>
      </c>
      <c r="B51" s="45" t="n">
        <f aca="false">B30-B50</f>
        <v>0</v>
      </c>
      <c r="C51" s="45" t="n">
        <f aca="false">C30-C50</f>
        <v>0</v>
      </c>
      <c r="D51" s="45" t="n">
        <f aca="false">D30-D50</f>
        <v>0</v>
      </c>
      <c r="E51" s="45" t="n">
        <f aca="false">E30-E50</f>
        <v>0</v>
      </c>
      <c r="F51" s="45" t="n">
        <f aca="false">F30-F50</f>
        <v>0</v>
      </c>
      <c r="G51" s="45" t="n">
        <f aca="false">G30-G50</f>
        <v>0</v>
      </c>
      <c r="H51" s="45" t="n">
        <f aca="false">H30-H50</f>
        <v>0</v>
      </c>
      <c r="I51" s="45" t="n">
        <f aca="false">I30-I50</f>
        <v>0</v>
      </c>
      <c r="J51" s="45" t="n">
        <f aca="false">J30-J50</f>
        <v>0</v>
      </c>
      <c r="K51" s="45" t="n">
        <f aca="false">K30-K50</f>
        <v>0</v>
      </c>
      <c r="L51" s="45" t="n">
        <f aca="false">L30-L50</f>
        <v>0</v>
      </c>
      <c r="M51" s="45" t="n">
        <f aca="false">M30-M50</f>
        <v>0</v>
      </c>
      <c r="N51" s="49" t="n">
        <f aca="false">SUM(B51:M51)</f>
        <v>0</v>
      </c>
    </row>
    <row r="52" customFormat="false" ht="15" hidden="false" customHeight="true" outlineLevel="0" collapsed="false">
      <c r="A52" s="38" t="s">
        <v>450</v>
      </c>
      <c r="B52" s="51" t="n">
        <f aca="false">IFERROR(B51/B16,0)</f>
        <v>0</v>
      </c>
      <c r="C52" s="51" t="n">
        <f aca="false">IFERROR(C51/C16,0)</f>
        <v>0</v>
      </c>
      <c r="D52" s="51" t="n">
        <f aca="false">IFERROR(D51/D16,0)</f>
        <v>0</v>
      </c>
      <c r="E52" s="51" t="n">
        <f aca="false">IFERROR(E51/E16,0)</f>
        <v>0</v>
      </c>
      <c r="F52" s="51" t="n">
        <f aca="false">IFERROR(F51/F16,0)</f>
        <v>0</v>
      </c>
      <c r="G52" s="51" t="n">
        <f aca="false">IFERROR(G51/G16,0)</f>
        <v>0</v>
      </c>
      <c r="H52" s="51" t="n">
        <f aca="false">IFERROR(H51/H16,0)</f>
        <v>0</v>
      </c>
      <c r="I52" s="51" t="n">
        <f aca="false">IFERROR(I51/I16,0)</f>
        <v>0</v>
      </c>
      <c r="J52" s="51" t="n">
        <f aca="false">IFERROR(J51/J16,0)</f>
        <v>0</v>
      </c>
      <c r="K52" s="51" t="n">
        <f aca="false">IFERROR(K51/K16,0)</f>
        <v>0</v>
      </c>
      <c r="L52" s="51" t="n">
        <f aca="false">IFERROR(L51/L16,0)</f>
        <v>0</v>
      </c>
      <c r="M52" s="51" t="n">
        <f aca="false">IFERROR(M51/M16,0)</f>
        <v>0</v>
      </c>
      <c r="N52" s="51" t="n">
        <f aca="false">IFERROR(N51/N16,0)</f>
        <v>0</v>
      </c>
    </row>
    <row r="53" customFormat="false" ht="15" hidden="false" customHeight="true" outlineLevel="0" collapsed="false">
      <c r="A53" s="37" t="s">
        <v>451</v>
      </c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</row>
    <row r="54" customFormat="false" ht="15" hidden="false" customHeight="true" outlineLevel="0" collapsed="false">
      <c r="A54" s="38" t="s">
        <v>186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 t="n">
        <f aca="false">SUM(B54:M54)</f>
        <v>0</v>
      </c>
      <c r="O54" s="40" t="s">
        <v>185</v>
      </c>
    </row>
    <row r="55" customFormat="false" ht="15" hidden="false" customHeight="true" outlineLevel="0" collapsed="false">
      <c r="A55" s="38" t="s">
        <v>236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 t="n">
        <f aca="false">SUM(B55:M55)</f>
        <v>0</v>
      </c>
      <c r="O55" s="40" t="s">
        <v>188</v>
      </c>
    </row>
    <row r="56" customFormat="false" ht="15" hidden="false" customHeight="true" outlineLevel="0" collapsed="false">
      <c r="A56" s="38" t="s">
        <v>189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 t="n">
        <f aca="false">SUM(B56:M56)</f>
        <v>0</v>
      </c>
      <c r="O56" s="40" t="s">
        <v>190</v>
      </c>
    </row>
    <row r="57" customFormat="false" ht="15" hidden="false" customHeight="true" outlineLevel="0" collapsed="false">
      <c r="A57" s="38" t="s">
        <v>193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 t="n">
        <f aca="false">SUM(B57:M57)</f>
        <v>0</v>
      </c>
      <c r="O57" s="40" t="s">
        <v>192</v>
      </c>
    </row>
    <row r="58" customFormat="false" ht="15" hidden="false" customHeight="true" outlineLevel="0" collapsed="false">
      <c r="A58" s="38" t="s">
        <v>237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 t="n">
        <f aca="false">SUM(B58:M58)</f>
        <v>0</v>
      </c>
      <c r="O58" s="40" t="s">
        <v>195</v>
      </c>
    </row>
    <row r="59" customFormat="false" ht="15" hidden="false" customHeight="true" outlineLevel="0" collapsed="false">
      <c r="A59" s="38" t="s">
        <v>198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 t="n">
        <f aca="false">SUM(B59:M59)</f>
        <v>0</v>
      </c>
      <c r="O59" s="40" t="s">
        <v>197</v>
      </c>
    </row>
    <row r="60" customFormat="false" ht="15" hidden="false" customHeight="true" outlineLevel="0" collapsed="false">
      <c r="A60" s="37" t="s">
        <v>452</v>
      </c>
      <c r="B60" s="43" t="n">
        <f aca="false">B54+B55+B56-B57-B58-B59</f>
        <v>0</v>
      </c>
      <c r="C60" s="43" t="n">
        <f aca="false">C54+C55+C56-C57-C58-C59</f>
        <v>0</v>
      </c>
      <c r="D60" s="43" t="n">
        <f aca="false">D54+D55+D56-D57-D58-D59</f>
        <v>0</v>
      </c>
      <c r="E60" s="43" t="n">
        <f aca="false">E54+E55+E56-E57-E58-E59</f>
        <v>0</v>
      </c>
      <c r="F60" s="43" t="n">
        <f aca="false">F54+F55+F56-F57-F58-F59</f>
        <v>0</v>
      </c>
      <c r="G60" s="43" t="n">
        <f aca="false">G54+G55+G56-G57-G58-G59</f>
        <v>0</v>
      </c>
      <c r="H60" s="43" t="n">
        <f aca="false">H54+H55+H56-H57-H58-H59</f>
        <v>0</v>
      </c>
      <c r="I60" s="43" t="n">
        <f aca="false">I54+I55+I56-I57-I58-I59</f>
        <v>0</v>
      </c>
      <c r="J60" s="43" t="n">
        <f aca="false">J54+J55+J56-J57-J58-J59</f>
        <v>0</v>
      </c>
      <c r="K60" s="43" t="n">
        <f aca="false">K54+K55+K56-K57-K58-K59</f>
        <v>0</v>
      </c>
      <c r="L60" s="43" t="n">
        <f aca="false">L54+L55+L56-L57-L58-L59</f>
        <v>0</v>
      </c>
      <c r="M60" s="43" t="n">
        <f aca="false">M54+M55+M56-M57-M58-M59</f>
        <v>0</v>
      </c>
      <c r="N60" s="43" t="n">
        <f aca="false">SUM(B60:M60)</f>
        <v>0</v>
      </c>
    </row>
    <row r="61" customFormat="false" ht="15" hidden="false" customHeight="true" outlineLevel="0" collapsed="false">
      <c r="A61" s="37" t="s">
        <v>453</v>
      </c>
      <c r="B61" s="45" t="n">
        <f aca="false">B51+B60</f>
        <v>0</v>
      </c>
      <c r="C61" s="45" t="n">
        <f aca="false">C51+C60</f>
        <v>0</v>
      </c>
      <c r="D61" s="45" t="n">
        <f aca="false">D51+D60</f>
        <v>0</v>
      </c>
      <c r="E61" s="45" t="n">
        <f aca="false">E51+E60</f>
        <v>0</v>
      </c>
      <c r="F61" s="45" t="n">
        <f aca="false">F51+F60</f>
        <v>0</v>
      </c>
      <c r="G61" s="45" t="n">
        <f aca="false">G51+G60</f>
        <v>0</v>
      </c>
      <c r="H61" s="45" t="n">
        <f aca="false">H51+H60</f>
        <v>0</v>
      </c>
      <c r="I61" s="45" t="n">
        <f aca="false">I51+I60</f>
        <v>0</v>
      </c>
      <c r="J61" s="45" t="n">
        <f aca="false">J51+J60</f>
        <v>0</v>
      </c>
      <c r="K61" s="45" t="n">
        <f aca="false">K51+K60</f>
        <v>0</v>
      </c>
      <c r="L61" s="45" t="n">
        <f aca="false">L51+L60</f>
        <v>0</v>
      </c>
      <c r="M61" s="45" t="n">
        <f aca="false">M51+M60</f>
        <v>0</v>
      </c>
      <c r="N61" s="49" t="n">
        <f aca="false">SUM(B61:M61)</f>
        <v>0</v>
      </c>
    </row>
    <row r="62" customFormat="false" ht="15" hidden="false" customHeight="true" outlineLevel="0" collapsed="false">
      <c r="A62" s="38" t="s">
        <v>200</v>
      </c>
      <c r="B62" s="42" t="n">
        <f aca="false">MAX(0,B61)*0.27</f>
        <v>0</v>
      </c>
      <c r="C62" s="42" t="n">
        <f aca="false">MAX(0,C61)*0.27</f>
        <v>0</v>
      </c>
      <c r="D62" s="42" t="n">
        <f aca="false">MAX(0,D61)*0.27</f>
        <v>0</v>
      </c>
      <c r="E62" s="42" t="n">
        <f aca="false">MAX(0,E61)*0.27</f>
        <v>0</v>
      </c>
      <c r="F62" s="42" t="n">
        <f aca="false">MAX(0,F61)*0.27</f>
        <v>0</v>
      </c>
      <c r="G62" s="42" t="n">
        <f aca="false">MAX(0,G61)*0.27</f>
        <v>0</v>
      </c>
      <c r="H62" s="42" t="n">
        <f aca="false">MAX(0,H61)*0.27</f>
        <v>0</v>
      </c>
      <c r="I62" s="42" t="n">
        <f aca="false">MAX(0,I61)*0.27</f>
        <v>0</v>
      </c>
      <c r="J62" s="42" t="n">
        <f aca="false">MAX(0,J61)*0.27</f>
        <v>0</v>
      </c>
      <c r="K62" s="42" t="n">
        <f aca="false">MAX(0,K61)*0.27</f>
        <v>0</v>
      </c>
      <c r="L62" s="42" t="n">
        <f aca="false">MAX(0,L61)*0.27</f>
        <v>0</v>
      </c>
      <c r="M62" s="42" t="n">
        <f aca="false">MAX(0,M61)*0.27</f>
        <v>0</v>
      </c>
      <c r="N62" s="42" t="n">
        <f aca="false">SUM(B62:M62)</f>
        <v>0</v>
      </c>
      <c r="O62" s="0" t="s">
        <v>199</v>
      </c>
    </row>
    <row r="63" customFormat="false" ht="15" hidden="false" customHeight="true" outlineLevel="0" collapsed="false">
      <c r="A63" s="37" t="s">
        <v>454</v>
      </c>
      <c r="B63" s="45" t="n">
        <f aca="false">B61-B62</f>
        <v>0</v>
      </c>
      <c r="C63" s="45" t="n">
        <f aca="false">C61-C62</f>
        <v>0</v>
      </c>
      <c r="D63" s="45" t="n">
        <f aca="false">D61-D62</f>
        <v>0</v>
      </c>
      <c r="E63" s="45" t="n">
        <f aca="false">E61-E62</f>
        <v>0</v>
      </c>
      <c r="F63" s="45" t="n">
        <f aca="false">F61-F62</f>
        <v>0</v>
      </c>
      <c r="G63" s="45" t="n">
        <f aca="false">G61-G62</f>
        <v>0</v>
      </c>
      <c r="H63" s="45" t="n">
        <f aca="false">H61-H62</f>
        <v>0</v>
      </c>
      <c r="I63" s="45" t="n">
        <f aca="false">I61-I62</f>
        <v>0</v>
      </c>
      <c r="J63" s="45" t="n">
        <f aca="false">J61-J62</f>
        <v>0</v>
      </c>
      <c r="K63" s="45" t="n">
        <f aca="false">K61-K62</f>
        <v>0</v>
      </c>
      <c r="L63" s="45" t="n">
        <f aca="false">L61-L62</f>
        <v>0</v>
      </c>
      <c r="M63" s="45" t="n">
        <f aca="false">M61-M62</f>
        <v>0</v>
      </c>
      <c r="N63" s="49" t="n">
        <f aca="false">SUM(B63:M63)</f>
        <v>0</v>
      </c>
    </row>
    <row r="64" customFormat="false" ht="15" hidden="false" customHeight="true" outlineLevel="0" collapsed="false">
      <c r="A64" s="38" t="s">
        <v>455</v>
      </c>
      <c r="B64" s="51" t="n">
        <f aca="false">IFERROR(B63/B16,0)</f>
        <v>0</v>
      </c>
      <c r="C64" s="51" t="n">
        <f aca="false">IFERROR(C63/C16,0)</f>
        <v>0</v>
      </c>
      <c r="D64" s="51" t="n">
        <f aca="false">IFERROR(D63/D16,0)</f>
        <v>0</v>
      </c>
      <c r="E64" s="51" t="n">
        <f aca="false">IFERROR(E63/E16,0)</f>
        <v>0</v>
      </c>
      <c r="F64" s="51" t="n">
        <f aca="false">IFERROR(F63/F16,0)</f>
        <v>0</v>
      </c>
      <c r="G64" s="51" t="n">
        <f aca="false">IFERROR(G63/G16,0)</f>
        <v>0</v>
      </c>
      <c r="H64" s="51" t="n">
        <f aca="false">IFERROR(H63/H16,0)</f>
        <v>0</v>
      </c>
      <c r="I64" s="51" t="n">
        <f aca="false">IFERROR(I63/I16,0)</f>
        <v>0</v>
      </c>
      <c r="J64" s="51" t="n">
        <f aca="false">IFERROR(J63/J16,0)</f>
        <v>0</v>
      </c>
      <c r="K64" s="51" t="n">
        <f aca="false">IFERROR(K63/K16,0)</f>
        <v>0</v>
      </c>
      <c r="L64" s="51" t="n">
        <f aca="false">IFERROR(L63/L16,0)</f>
        <v>0</v>
      </c>
      <c r="M64" s="51" t="n">
        <f aca="false">IFERROR(M63/M16,0)</f>
        <v>0</v>
      </c>
      <c r="N64" s="51" t="n">
        <f aca="false">IFERROR(N63/N16,0)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9B3C"/>
    <pageSetUpPr fitToPage="false"/>
  </sheetPr>
  <dimension ref="A1:O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4"/>
    <col collapsed="false" customWidth="true" hidden="false" outlineLevel="0" max="15" min="15" style="0" width="11"/>
  </cols>
  <sheetData>
    <row r="1" customFormat="false" ht="17.25" hidden="false" customHeight="true" outlineLevel="0" collapsed="false">
      <c r="A1" s="31" t="s">
        <v>458</v>
      </c>
    </row>
    <row r="2" customFormat="false" ht="15" hidden="false" customHeight="true" outlineLevel="0" collapsed="false">
      <c r="A2" s="32" t="s">
        <v>457</v>
      </c>
    </row>
    <row r="3" customFormat="false" ht="15" hidden="false" customHeight="true" outlineLevel="0" collapsed="false">
      <c r="A3" s="33" t="s">
        <v>406</v>
      </c>
    </row>
    <row r="5" customFormat="false" ht="15" hidden="false" customHeight="true" outlineLevel="0" collapsed="false">
      <c r="A5" s="34" t="s">
        <v>314</v>
      </c>
      <c r="B5" s="35" t="s">
        <v>407</v>
      </c>
      <c r="C5" s="35" t="s">
        <v>408</v>
      </c>
      <c r="D5" s="35" t="s">
        <v>409</v>
      </c>
      <c r="E5" s="35" t="s">
        <v>410</v>
      </c>
      <c r="F5" s="35" t="s">
        <v>411</v>
      </c>
      <c r="G5" s="35" t="s">
        <v>412</v>
      </c>
      <c r="H5" s="35" t="s">
        <v>413</v>
      </c>
      <c r="I5" s="35" t="s">
        <v>414</v>
      </c>
      <c r="J5" s="35" t="s">
        <v>415</v>
      </c>
      <c r="K5" s="35" t="s">
        <v>416</v>
      </c>
      <c r="L5" s="35" t="s">
        <v>417</v>
      </c>
      <c r="M5" s="35" t="s">
        <v>418</v>
      </c>
      <c r="N5" s="35" t="s">
        <v>419</v>
      </c>
      <c r="O5" s="36" t="s">
        <v>23</v>
      </c>
    </row>
    <row r="6" customFormat="false" ht="15" hidden="false" customHeight="true" outlineLevel="0" collapsed="false">
      <c r="A6" s="37" t="s">
        <v>459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</row>
    <row r="7" customFormat="false" ht="15" hidden="false" customHeight="true" outlineLevel="0" collapsed="false">
      <c r="A7" s="38" t="s">
        <v>202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50" t="n">
        <f aca="false">SUM(B7:M7)</f>
        <v>0</v>
      </c>
      <c r="O7" s="40" t="s">
        <v>122</v>
      </c>
    </row>
    <row r="8" customFormat="false" ht="15" hidden="false" customHeight="true" outlineLevel="0" collapsed="false">
      <c r="A8" s="38" t="s">
        <v>205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50" t="n">
        <f aca="false">SUM(B8:M8)</f>
        <v>0</v>
      </c>
      <c r="O8" s="40" t="s">
        <v>128</v>
      </c>
    </row>
    <row r="9" customFormat="false" ht="15" hidden="false" customHeight="true" outlineLevel="0" collapsed="false">
      <c r="A9" s="38" t="s">
        <v>206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50" t="n">
        <f aca="false">SUM(B9:M9)</f>
        <v>0</v>
      </c>
      <c r="O9" s="40" t="s">
        <v>130</v>
      </c>
    </row>
    <row r="10" customFormat="false" ht="15" hidden="false" customHeight="true" outlineLevel="0" collapsed="false">
      <c r="A10" s="38" t="s">
        <v>207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50" t="n">
        <f aca="false">SUM(B10:M10)</f>
        <v>0</v>
      </c>
      <c r="O10" s="40" t="s">
        <v>132</v>
      </c>
    </row>
    <row r="11" customFormat="false" ht="15" hidden="false" customHeight="true" outlineLevel="0" collapsed="false">
      <c r="A11" s="38" t="s">
        <v>209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50" t="n">
        <f aca="false">SUM(B11:M11)</f>
        <v>0</v>
      </c>
      <c r="O11" s="40" t="s">
        <v>208</v>
      </c>
    </row>
    <row r="12" customFormat="false" ht="15" hidden="false" customHeight="true" outlineLevel="0" collapsed="false">
      <c r="A12" s="38" t="s">
        <v>211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41" t="n">
        <f aca="false">SUM(B12:M12)</f>
        <v>0</v>
      </c>
      <c r="O12" s="40" t="s">
        <v>210</v>
      </c>
    </row>
    <row r="13" customFormat="false" ht="15" hidden="false" customHeight="true" outlineLevel="0" collapsed="false">
      <c r="A13" s="38" t="s">
        <v>421</v>
      </c>
      <c r="B13" s="42" t="n">
        <f aca="false">SUM(B7:B12)</f>
        <v>0</v>
      </c>
      <c r="C13" s="42" t="n">
        <f aca="false">SUM(C7:C12)</f>
        <v>0</v>
      </c>
      <c r="D13" s="42" t="n">
        <f aca="false">SUM(D7:D12)</f>
        <v>0</v>
      </c>
      <c r="E13" s="42" t="n">
        <f aca="false">SUM(E7:E12)</f>
        <v>0</v>
      </c>
      <c r="F13" s="42" t="n">
        <f aca="false">SUM(F7:F12)</f>
        <v>0</v>
      </c>
      <c r="G13" s="42" t="n">
        <f aca="false">SUM(G7:G12)</f>
        <v>0</v>
      </c>
      <c r="H13" s="42" t="n">
        <f aca="false">SUM(H7:H12)</f>
        <v>0</v>
      </c>
      <c r="I13" s="42" t="n">
        <f aca="false">SUM(I7:I12)</f>
        <v>0</v>
      </c>
      <c r="J13" s="42" t="n">
        <f aca="false">SUM(J7:J12)</f>
        <v>0</v>
      </c>
      <c r="K13" s="42" t="n">
        <f aca="false">SUM(K7:K12)</f>
        <v>0</v>
      </c>
      <c r="L13" s="42" t="n">
        <f aca="false">SUM(L7:L12)</f>
        <v>0</v>
      </c>
      <c r="M13" s="42" t="n">
        <f aca="false">SUM(M7:M12)</f>
        <v>0</v>
      </c>
      <c r="N13" s="42" t="n">
        <f aca="false">SUM(B13:M13)</f>
        <v>0</v>
      </c>
    </row>
    <row r="14" customFormat="false" ht="15" hidden="false" customHeight="true" outlineLevel="0" collapsed="false">
      <c r="A14" s="38" t="s">
        <v>212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 t="n">
        <f aca="false">SUM(B14:M14)</f>
        <v>0</v>
      </c>
      <c r="O14" s="40" t="s">
        <v>134</v>
      </c>
    </row>
    <row r="15" customFormat="false" ht="15" hidden="false" customHeight="true" outlineLevel="0" collapsed="false">
      <c r="A15" s="38" t="s">
        <v>213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41" t="n">
        <f aca="false">SUM(B15:M15)</f>
        <v>0</v>
      </c>
      <c r="O15" s="40" t="s">
        <v>137</v>
      </c>
    </row>
    <row r="16" customFormat="false" ht="15" hidden="false" customHeight="true" outlineLevel="0" collapsed="false">
      <c r="A16" s="37" t="s">
        <v>422</v>
      </c>
      <c r="B16" s="43" t="n">
        <f aca="false">B13-B14-B15</f>
        <v>0</v>
      </c>
      <c r="C16" s="43" t="n">
        <f aca="false">C13-C14-C15</f>
        <v>0</v>
      </c>
      <c r="D16" s="43" t="n">
        <f aca="false">D13-D14-D15</f>
        <v>0</v>
      </c>
      <c r="E16" s="43" t="n">
        <f aca="false">E13-E14-E15</f>
        <v>0</v>
      </c>
      <c r="F16" s="43" t="n">
        <f aca="false">F13-F14-F15</f>
        <v>0</v>
      </c>
      <c r="G16" s="43" t="n">
        <f aca="false">G13-G14-G15</f>
        <v>0</v>
      </c>
      <c r="H16" s="43" t="n">
        <f aca="false">H13-H14-H15</f>
        <v>0</v>
      </c>
      <c r="I16" s="43" t="n">
        <f aca="false">I13-I14-I15</f>
        <v>0</v>
      </c>
      <c r="J16" s="43" t="n">
        <f aca="false">J13-J14-J15</f>
        <v>0</v>
      </c>
      <c r="K16" s="43" t="n">
        <f aca="false">K13-K14-K15</f>
        <v>0</v>
      </c>
      <c r="L16" s="43" t="n">
        <f aca="false">L13-L14-L15</f>
        <v>0</v>
      </c>
      <c r="M16" s="43" t="n">
        <f aca="false">M13-M14-M15</f>
        <v>0</v>
      </c>
      <c r="N16" s="43" t="n">
        <f aca="false">SUM(B16:M16)</f>
        <v>0</v>
      </c>
    </row>
    <row r="17" customFormat="false" ht="15" hidden="false" customHeight="true" outlineLevel="0" collapsed="false">
      <c r="A17" s="37" t="s">
        <v>460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</row>
    <row r="18" customFormat="false" ht="15" hidden="false" customHeight="true" outlineLevel="0" collapsed="false">
      <c r="A18" s="38" t="s">
        <v>461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</row>
    <row r="19" customFormat="false" ht="15" hidden="false" customHeight="true" outlineLevel="0" collapsed="false">
      <c r="A19" s="38" t="s">
        <v>462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50" t="n">
        <f aca="false">SUM(B19:M19)</f>
        <v>0</v>
      </c>
      <c r="O19" s="40" t="s">
        <v>139</v>
      </c>
    </row>
    <row r="20" customFormat="false" ht="15" hidden="false" customHeight="true" outlineLevel="0" collapsed="false">
      <c r="A20" s="38" t="s">
        <v>463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50" t="n">
        <f aca="false">SUM(B20:M20)</f>
        <v>0</v>
      </c>
      <c r="O20" s="40" t="s">
        <v>142</v>
      </c>
    </row>
    <row r="21" customFormat="false" ht="15" hidden="false" customHeight="true" outlineLevel="0" collapsed="false">
      <c r="A21" s="38" t="s">
        <v>464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50" t="n">
        <f aca="false">SUM(B21:M21)</f>
        <v>0</v>
      </c>
      <c r="O21" s="40" t="s">
        <v>144</v>
      </c>
    </row>
    <row r="22" customFormat="false" ht="15" hidden="false" customHeight="true" outlineLevel="0" collapsed="false">
      <c r="A22" s="38" t="s">
        <v>465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50" t="n">
        <f aca="false">SUM(B22:M22)</f>
        <v>0</v>
      </c>
      <c r="O22" s="40" t="s">
        <v>146</v>
      </c>
    </row>
    <row r="23" customFormat="false" ht="15" hidden="false" customHeight="true" outlineLevel="0" collapsed="false">
      <c r="A23" s="38" t="s">
        <v>466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</row>
    <row r="24" customFormat="false" ht="15" hidden="false" customHeight="true" outlineLevel="0" collapsed="false">
      <c r="A24" s="38" t="s">
        <v>467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50" t="n">
        <f aca="false">SUM(B24:M24)</f>
        <v>0</v>
      </c>
      <c r="O24" s="40" t="s">
        <v>149</v>
      </c>
    </row>
    <row r="25" customFormat="false" ht="15" hidden="false" customHeight="true" outlineLevel="0" collapsed="false">
      <c r="A25" s="38" t="s">
        <v>468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50" t="n">
        <f aca="false">SUM(B25:M25)</f>
        <v>0</v>
      </c>
      <c r="O25" s="40" t="s">
        <v>151</v>
      </c>
    </row>
    <row r="26" customFormat="false" ht="15" hidden="false" customHeight="true" outlineLevel="0" collapsed="false">
      <c r="A26" s="38" t="s">
        <v>469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50" t="n">
        <f aca="false">SUM(B26:M26)</f>
        <v>0</v>
      </c>
      <c r="O26" s="40" t="s">
        <v>153</v>
      </c>
    </row>
    <row r="27" customFormat="false" ht="15" hidden="false" customHeight="true" outlineLevel="0" collapsed="false">
      <c r="A27" s="38" t="s">
        <v>470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50" t="n">
        <f aca="false">SUM(B27:M27)</f>
        <v>0</v>
      </c>
      <c r="O27" s="40" t="s">
        <v>155</v>
      </c>
    </row>
    <row r="28" customFormat="false" ht="15" hidden="false" customHeight="true" outlineLevel="0" collapsed="false">
      <c r="A28" s="38" t="s">
        <v>471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50" t="n">
        <f aca="false">SUM(B28:M28)</f>
        <v>0</v>
      </c>
      <c r="O28" s="40" t="s">
        <v>222</v>
      </c>
    </row>
    <row r="29" customFormat="false" ht="15" hidden="false" customHeight="true" outlineLevel="0" collapsed="false">
      <c r="A29" s="37" t="s">
        <v>472</v>
      </c>
      <c r="B29" s="43" t="n">
        <f aca="false">SUM(B18:B28)</f>
        <v>0</v>
      </c>
      <c r="C29" s="43" t="n">
        <f aca="false">SUM(C18:C28)</f>
        <v>0</v>
      </c>
      <c r="D29" s="43" t="n">
        <f aca="false">SUM(D18:D28)</f>
        <v>0</v>
      </c>
      <c r="E29" s="43" t="n">
        <f aca="false">SUM(E18:E28)</f>
        <v>0</v>
      </c>
      <c r="F29" s="43" t="n">
        <f aca="false">SUM(F18:F28)</f>
        <v>0</v>
      </c>
      <c r="G29" s="43" t="n">
        <f aca="false">SUM(G18:G28)</f>
        <v>0</v>
      </c>
      <c r="H29" s="43" t="n">
        <f aca="false">SUM(H18:H28)</f>
        <v>0</v>
      </c>
      <c r="I29" s="43" t="n">
        <f aca="false">SUM(I18:I28)</f>
        <v>0</v>
      </c>
      <c r="J29" s="43" t="n">
        <f aca="false">SUM(J18:J28)</f>
        <v>0</v>
      </c>
      <c r="K29" s="43" t="n">
        <f aca="false">SUM(K18:K28)</f>
        <v>0</v>
      </c>
      <c r="L29" s="43" t="n">
        <f aca="false">SUM(L18:L28)</f>
        <v>0</v>
      </c>
      <c r="M29" s="43" t="n">
        <f aca="false">SUM(M18:M28)</f>
        <v>0</v>
      </c>
      <c r="N29" s="49" t="n">
        <f aca="false">SUM(B29:M29)</f>
        <v>0</v>
      </c>
    </row>
    <row r="30" customFormat="false" ht="15" hidden="false" customHeight="true" outlineLevel="0" collapsed="false">
      <c r="A30" s="37" t="s">
        <v>430</v>
      </c>
      <c r="B30" s="45" t="n">
        <f aca="false">B16-B29</f>
        <v>0</v>
      </c>
      <c r="C30" s="45" t="n">
        <f aca="false">C16-C29</f>
        <v>0</v>
      </c>
      <c r="D30" s="45" t="n">
        <f aca="false">D16-D29</f>
        <v>0</v>
      </c>
      <c r="E30" s="45" t="n">
        <f aca="false">E16-E29</f>
        <v>0</v>
      </c>
      <c r="F30" s="45" t="n">
        <f aca="false">F16-F29</f>
        <v>0</v>
      </c>
      <c r="G30" s="45" t="n">
        <f aca="false">G16-G29</f>
        <v>0</v>
      </c>
      <c r="H30" s="45" t="n">
        <f aca="false">H16-H29</f>
        <v>0</v>
      </c>
      <c r="I30" s="45" t="n">
        <f aca="false">I16-I29</f>
        <v>0</v>
      </c>
      <c r="J30" s="45" t="n">
        <f aca="false">J16-J29</f>
        <v>0</v>
      </c>
      <c r="K30" s="45" t="n">
        <f aca="false">K16-K29</f>
        <v>0</v>
      </c>
      <c r="L30" s="45" t="n">
        <f aca="false">L16-L29</f>
        <v>0</v>
      </c>
      <c r="M30" s="45" t="n">
        <f aca="false">M16-M29</f>
        <v>0</v>
      </c>
      <c r="N30" s="49" t="n">
        <f aca="false">SUM(B30:M30)</f>
        <v>0</v>
      </c>
    </row>
    <row r="31" customFormat="false" ht="15" hidden="false" customHeight="true" outlineLevel="0" collapsed="false">
      <c r="A31" s="38" t="s">
        <v>431</v>
      </c>
      <c r="B31" s="51" t="n">
        <f aca="false">IFERROR(B30/B16,0)</f>
        <v>0</v>
      </c>
      <c r="C31" s="51" t="n">
        <f aca="false">IFERROR(C30/C16,0)</f>
        <v>0</v>
      </c>
      <c r="D31" s="51" t="n">
        <f aca="false">IFERROR(D30/D16,0)</f>
        <v>0</v>
      </c>
      <c r="E31" s="51" t="n">
        <f aca="false">IFERROR(E30/E16,0)</f>
        <v>0</v>
      </c>
      <c r="F31" s="51" t="n">
        <f aca="false">IFERROR(F30/F16,0)</f>
        <v>0</v>
      </c>
      <c r="G31" s="51" t="n">
        <f aca="false">IFERROR(G30/G16,0)</f>
        <v>0</v>
      </c>
      <c r="H31" s="51" t="n">
        <f aca="false">IFERROR(H30/H16,0)</f>
        <v>0</v>
      </c>
      <c r="I31" s="51" t="n">
        <f aca="false">IFERROR(I30/I16,0)</f>
        <v>0</v>
      </c>
      <c r="J31" s="51" t="n">
        <f aca="false">IFERROR(J30/J16,0)</f>
        <v>0</v>
      </c>
      <c r="K31" s="51" t="n">
        <f aca="false">IFERROR(K30/K16,0)</f>
        <v>0</v>
      </c>
      <c r="L31" s="51" t="n">
        <f aca="false">IFERROR(L30/L16,0)</f>
        <v>0</v>
      </c>
      <c r="M31" s="51" t="n">
        <f aca="false">IFERROR(M30/M16,0)</f>
        <v>0</v>
      </c>
      <c r="N31" s="51" t="n">
        <f aca="false">IFERROR(N30/N16,0)</f>
        <v>0</v>
      </c>
    </row>
    <row r="32" customFormat="false" ht="15" hidden="false" customHeight="true" outlineLevel="0" collapsed="false">
      <c r="A32" s="37" t="s">
        <v>432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</row>
    <row r="33" customFormat="false" ht="15" hidden="false" customHeight="true" outlineLevel="0" collapsed="false">
      <c r="A33" s="38" t="s">
        <v>473</v>
      </c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</row>
    <row r="34" customFormat="false" ht="15" hidden="false" customHeight="true" outlineLevel="0" collapsed="false">
      <c r="A34" s="38" t="s">
        <v>474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50" t="n">
        <f aca="false">SUM(B34:M34)</f>
        <v>0</v>
      </c>
      <c r="O34" s="40" t="s">
        <v>157</v>
      </c>
    </row>
    <row r="35" customFormat="false" ht="15" hidden="false" customHeight="true" outlineLevel="0" collapsed="false">
      <c r="A35" s="38" t="s">
        <v>475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50" t="n">
        <f aca="false">SUM(B35:M35)</f>
        <v>0</v>
      </c>
      <c r="O35" s="40" t="s">
        <v>160</v>
      </c>
    </row>
    <row r="36" customFormat="false" ht="15" hidden="false" customHeight="true" outlineLevel="0" collapsed="false">
      <c r="A36" s="38" t="s">
        <v>476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50" t="n">
        <f aca="false">SUM(B36:M36)</f>
        <v>0</v>
      </c>
      <c r="O36" s="40" t="s">
        <v>162</v>
      </c>
    </row>
    <row r="37" customFormat="false" ht="15" hidden="false" customHeight="true" outlineLevel="0" collapsed="false">
      <c r="A37" s="38" t="s">
        <v>477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50" t="n">
        <f aca="false">SUM(B37:M37)</f>
        <v>0</v>
      </c>
      <c r="O37" s="40" t="s">
        <v>164</v>
      </c>
    </row>
    <row r="38" customFormat="false" ht="15" hidden="false" customHeight="true" outlineLevel="0" collapsed="false">
      <c r="A38" s="38" t="s">
        <v>478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50" t="n">
        <f aca="false">SUM(B38:M38)</f>
        <v>0</v>
      </c>
      <c r="O38" s="40" t="s">
        <v>166</v>
      </c>
    </row>
    <row r="39" customFormat="false" ht="15" hidden="false" customHeight="true" outlineLevel="0" collapsed="false">
      <c r="A39" s="38" t="s">
        <v>439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customFormat="false" ht="15" hidden="false" customHeight="true" outlineLevel="0" collapsed="false">
      <c r="A40" s="38" t="s">
        <v>479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50" t="n">
        <f aca="false">SUM(B40:M40)</f>
        <v>0</v>
      </c>
      <c r="O40" s="40" t="s">
        <v>168</v>
      </c>
    </row>
    <row r="41" customFormat="false" ht="15" hidden="false" customHeight="true" outlineLevel="0" collapsed="false">
      <c r="A41" s="38" t="s">
        <v>441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50" t="n">
        <f aca="false">SUM(B41:M41)</f>
        <v>0</v>
      </c>
      <c r="O41" s="40" t="s">
        <v>171</v>
      </c>
    </row>
    <row r="42" customFormat="false" ht="15" hidden="false" customHeight="true" outlineLevel="0" collapsed="false">
      <c r="A42" s="38" t="s">
        <v>442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50" t="n">
        <f aca="false">SUM(B42:M42)</f>
        <v>0</v>
      </c>
      <c r="O42" s="40" t="s">
        <v>173</v>
      </c>
    </row>
    <row r="43" customFormat="false" ht="15" hidden="false" customHeight="true" outlineLevel="0" collapsed="false">
      <c r="A43" s="38" t="s">
        <v>443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50" t="n">
        <f aca="false">SUM(B43:M43)</f>
        <v>0</v>
      </c>
      <c r="O43" s="40" t="s">
        <v>175</v>
      </c>
    </row>
    <row r="44" customFormat="false" ht="15" hidden="false" customHeight="true" outlineLevel="0" collapsed="false">
      <c r="A44" s="38" t="s">
        <v>444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50" t="n">
        <f aca="false">SUM(B44:M44)</f>
        <v>0</v>
      </c>
      <c r="O44" s="40" t="s">
        <v>177</v>
      </c>
    </row>
    <row r="45" customFormat="false" ht="15" hidden="false" customHeight="true" outlineLevel="0" collapsed="false">
      <c r="A45" s="38" t="s">
        <v>480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50" t="n">
        <f aca="false">SUM(B45:M45)</f>
        <v>0</v>
      </c>
      <c r="O45" s="40" t="s">
        <v>179</v>
      </c>
    </row>
    <row r="46" customFormat="false" ht="15" hidden="false" customHeight="true" outlineLevel="0" collapsed="false">
      <c r="A46" s="38" t="s">
        <v>481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50" t="n">
        <f aca="false">SUM(B46:M46)</f>
        <v>0</v>
      </c>
      <c r="O46" s="40" t="s">
        <v>181</v>
      </c>
    </row>
    <row r="47" customFormat="false" ht="15" hidden="false" customHeight="true" outlineLevel="0" collapsed="false">
      <c r="A47" s="38" t="s">
        <v>482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50" t="n">
        <f aca="false">SUM(B47:M47)</f>
        <v>0</v>
      </c>
      <c r="O47" s="40" t="s">
        <v>183</v>
      </c>
    </row>
    <row r="48" customFormat="false" ht="15" hidden="false" customHeight="true" outlineLevel="0" collapsed="false">
      <c r="A48" s="38" t="s">
        <v>483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50" t="n">
        <f aca="false">SUM(B48:M48)</f>
        <v>0</v>
      </c>
      <c r="O48" s="40" t="s">
        <v>233</v>
      </c>
    </row>
    <row r="49" customFormat="false" ht="15" hidden="false" customHeight="true" outlineLevel="0" collapsed="false">
      <c r="A49" s="38" t="s">
        <v>447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50" t="n">
        <f aca="false">SUM(B49:M49)</f>
        <v>0</v>
      </c>
      <c r="O49" s="40" t="s">
        <v>235</v>
      </c>
    </row>
    <row r="50" customFormat="false" ht="15" hidden="false" customHeight="true" outlineLevel="0" collapsed="false">
      <c r="A50" s="37" t="s">
        <v>448</v>
      </c>
      <c r="B50" s="43" t="n">
        <f aca="false">SUM(B33:B49)</f>
        <v>0</v>
      </c>
      <c r="C50" s="43" t="n">
        <f aca="false">SUM(C33:C49)</f>
        <v>0</v>
      </c>
      <c r="D50" s="43" t="n">
        <f aca="false">SUM(D33:D49)</f>
        <v>0</v>
      </c>
      <c r="E50" s="43" t="n">
        <f aca="false">SUM(E33:E49)</f>
        <v>0</v>
      </c>
      <c r="F50" s="43" t="n">
        <f aca="false">SUM(F33:F49)</f>
        <v>0</v>
      </c>
      <c r="G50" s="43" t="n">
        <f aca="false">SUM(G33:G49)</f>
        <v>0</v>
      </c>
      <c r="H50" s="43" t="n">
        <f aca="false">SUM(H33:H49)</f>
        <v>0</v>
      </c>
      <c r="I50" s="43" t="n">
        <f aca="false">SUM(I33:I49)</f>
        <v>0</v>
      </c>
      <c r="J50" s="43" t="n">
        <f aca="false">SUM(J33:J49)</f>
        <v>0</v>
      </c>
      <c r="K50" s="43" t="n">
        <f aca="false">SUM(K33:K49)</f>
        <v>0</v>
      </c>
      <c r="L50" s="43" t="n">
        <f aca="false">SUM(L33:L49)</f>
        <v>0</v>
      </c>
      <c r="M50" s="43" t="n">
        <f aca="false">SUM(M33:M49)</f>
        <v>0</v>
      </c>
      <c r="N50" s="43" t="n">
        <f aca="false">SUM(B50:M50)</f>
        <v>0</v>
      </c>
    </row>
    <row r="51" customFormat="false" ht="15" hidden="false" customHeight="true" outlineLevel="0" collapsed="false">
      <c r="A51" s="37" t="s">
        <v>449</v>
      </c>
      <c r="B51" s="45" t="n">
        <f aca="false">B30-B50</f>
        <v>0</v>
      </c>
      <c r="C51" s="45" t="n">
        <f aca="false">C30-C50</f>
        <v>0</v>
      </c>
      <c r="D51" s="45" t="n">
        <f aca="false">D30-D50</f>
        <v>0</v>
      </c>
      <c r="E51" s="45" t="n">
        <f aca="false">E30-E50</f>
        <v>0</v>
      </c>
      <c r="F51" s="45" t="n">
        <f aca="false">F30-F50</f>
        <v>0</v>
      </c>
      <c r="G51" s="45" t="n">
        <f aca="false">G30-G50</f>
        <v>0</v>
      </c>
      <c r="H51" s="45" t="n">
        <f aca="false">H30-H50</f>
        <v>0</v>
      </c>
      <c r="I51" s="45" t="n">
        <f aca="false">I30-I50</f>
        <v>0</v>
      </c>
      <c r="J51" s="45" t="n">
        <f aca="false">J30-J50</f>
        <v>0</v>
      </c>
      <c r="K51" s="45" t="n">
        <f aca="false">K30-K50</f>
        <v>0</v>
      </c>
      <c r="L51" s="45" t="n">
        <f aca="false">L30-L50</f>
        <v>0</v>
      </c>
      <c r="M51" s="45" t="n">
        <f aca="false">M30-M50</f>
        <v>0</v>
      </c>
      <c r="N51" s="49" t="n">
        <f aca="false">SUM(B51:M51)</f>
        <v>0</v>
      </c>
    </row>
    <row r="52" customFormat="false" ht="15" hidden="false" customHeight="true" outlineLevel="0" collapsed="false">
      <c r="A52" s="38" t="s">
        <v>450</v>
      </c>
      <c r="B52" s="51" t="n">
        <f aca="false">IFERROR(B51/B16,0)</f>
        <v>0</v>
      </c>
      <c r="C52" s="51" t="n">
        <f aca="false">IFERROR(C51/C16,0)</f>
        <v>0</v>
      </c>
      <c r="D52" s="51" t="n">
        <f aca="false">IFERROR(D51/D16,0)</f>
        <v>0</v>
      </c>
      <c r="E52" s="51" t="n">
        <f aca="false">IFERROR(E51/E16,0)</f>
        <v>0</v>
      </c>
      <c r="F52" s="51" t="n">
        <f aca="false">IFERROR(F51/F16,0)</f>
        <v>0</v>
      </c>
      <c r="G52" s="51" t="n">
        <f aca="false">IFERROR(G51/G16,0)</f>
        <v>0</v>
      </c>
      <c r="H52" s="51" t="n">
        <f aca="false">IFERROR(H51/H16,0)</f>
        <v>0</v>
      </c>
      <c r="I52" s="51" t="n">
        <f aca="false">IFERROR(I51/I16,0)</f>
        <v>0</v>
      </c>
      <c r="J52" s="51" t="n">
        <f aca="false">IFERROR(J51/J16,0)</f>
        <v>0</v>
      </c>
      <c r="K52" s="51" t="n">
        <f aca="false">IFERROR(K51/K16,0)</f>
        <v>0</v>
      </c>
      <c r="L52" s="51" t="n">
        <f aca="false">IFERROR(L51/L16,0)</f>
        <v>0</v>
      </c>
      <c r="M52" s="51" t="n">
        <f aca="false">IFERROR(M51/M16,0)</f>
        <v>0</v>
      </c>
      <c r="N52" s="51" t="n">
        <f aca="false">IFERROR(N51/N16,0)</f>
        <v>0</v>
      </c>
    </row>
    <row r="53" customFormat="false" ht="15" hidden="false" customHeight="true" outlineLevel="0" collapsed="false">
      <c r="A53" s="37" t="s">
        <v>451</v>
      </c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</row>
    <row r="54" customFormat="false" ht="15" hidden="false" customHeight="true" outlineLevel="0" collapsed="false">
      <c r="A54" s="38" t="s">
        <v>186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 t="n">
        <f aca="false">SUM(B54:M54)</f>
        <v>0</v>
      </c>
      <c r="O54" s="40" t="s">
        <v>185</v>
      </c>
    </row>
    <row r="55" customFormat="false" ht="15" hidden="false" customHeight="true" outlineLevel="0" collapsed="false">
      <c r="A55" s="38" t="s">
        <v>236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 t="n">
        <f aca="false">SUM(B55:M55)</f>
        <v>0</v>
      </c>
      <c r="O55" s="40" t="s">
        <v>188</v>
      </c>
    </row>
    <row r="56" customFormat="false" ht="15" hidden="false" customHeight="true" outlineLevel="0" collapsed="false">
      <c r="A56" s="38" t="s">
        <v>189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 t="n">
        <f aca="false">SUM(B56:M56)</f>
        <v>0</v>
      </c>
      <c r="O56" s="40" t="s">
        <v>190</v>
      </c>
    </row>
    <row r="57" customFormat="false" ht="15" hidden="false" customHeight="true" outlineLevel="0" collapsed="false">
      <c r="A57" s="38" t="s">
        <v>193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 t="n">
        <f aca="false">SUM(B57:M57)</f>
        <v>0</v>
      </c>
      <c r="O57" s="40" t="s">
        <v>192</v>
      </c>
    </row>
    <row r="58" customFormat="false" ht="15" hidden="false" customHeight="true" outlineLevel="0" collapsed="false">
      <c r="A58" s="38" t="s">
        <v>237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 t="n">
        <f aca="false">SUM(B58:M58)</f>
        <v>0</v>
      </c>
      <c r="O58" s="40" t="s">
        <v>195</v>
      </c>
    </row>
    <row r="59" customFormat="false" ht="15" hidden="false" customHeight="true" outlineLevel="0" collapsed="false">
      <c r="A59" s="38" t="s">
        <v>198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 t="n">
        <f aca="false">SUM(B59:M59)</f>
        <v>0</v>
      </c>
      <c r="O59" s="40" t="s">
        <v>197</v>
      </c>
    </row>
    <row r="60" customFormat="false" ht="15" hidden="false" customHeight="true" outlineLevel="0" collapsed="false">
      <c r="A60" s="37" t="s">
        <v>452</v>
      </c>
      <c r="B60" s="43" t="n">
        <f aca="false">B54+B55+B56-B57-B58-B59</f>
        <v>0</v>
      </c>
      <c r="C60" s="43" t="n">
        <f aca="false">C54+C55+C56-C57-C58-C59</f>
        <v>0</v>
      </c>
      <c r="D60" s="43" t="n">
        <f aca="false">D54+D55+D56-D57-D58-D59</f>
        <v>0</v>
      </c>
      <c r="E60" s="43" t="n">
        <f aca="false">E54+E55+E56-E57-E58-E59</f>
        <v>0</v>
      </c>
      <c r="F60" s="43" t="n">
        <f aca="false">F54+F55+F56-F57-F58-F59</f>
        <v>0</v>
      </c>
      <c r="G60" s="43" t="n">
        <f aca="false">G54+G55+G56-G57-G58-G59</f>
        <v>0</v>
      </c>
      <c r="H60" s="43" t="n">
        <f aca="false">H54+H55+H56-H57-H58-H59</f>
        <v>0</v>
      </c>
      <c r="I60" s="43" t="n">
        <f aca="false">I54+I55+I56-I57-I58-I59</f>
        <v>0</v>
      </c>
      <c r="J60" s="43" t="n">
        <f aca="false">J54+J55+J56-J57-J58-J59</f>
        <v>0</v>
      </c>
      <c r="K60" s="43" t="n">
        <f aca="false">K54+K55+K56-K57-K58-K59</f>
        <v>0</v>
      </c>
      <c r="L60" s="43" t="n">
        <f aca="false">L54+L55+L56-L57-L58-L59</f>
        <v>0</v>
      </c>
      <c r="M60" s="43" t="n">
        <f aca="false">M54+M55+M56-M57-M58-M59</f>
        <v>0</v>
      </c>
      <c r="N60" s="43" t="n">
        <f aca="false">SUM(B60:M60)</f>
        <v>0</v>
      </c>
    </row>
    <row r="61" customFormat="false" ht="15" hidden="false" customHeight="true" outlineLevel="0" collapsed="false">
      <c r="A61" s="37" t="s">
        <v>453</v>
      </c>
      <c r="B61" s="45" t="n">
        <f aca="false">B51+B60</f>
        <v>0</v>
      </c>
      <c r="C61" s="45" t="n">
        <f aca="false">C51+C60</f>
        <v>0</v>
      </c>
      <c r="D61" s="45" t="n">
        <f aca="false">D51+D60</f>
        <v>0</v>
      </c>
      <c r="E61" s="45" t="n">
        <f aca="false">E51+E60</f>
        <v>0</v>
      </c>
      <c r="F61" s="45" t="n">
        <f aca="false">F51+F60</f>
        <v>0</v>
      </c>
      <c r="G61" s="45" t="n">
        <f aca="false">G51+G60</f>
        <v>0</v>
      </c>
      <c r="H61" s="45" t="n">
        <f aca="false">H51+H60</f>
        <v>0</v>
      </c>
      <c r="I61" s="45" t="n">
        <f aca="false">I51+I60</f>
        <v>0</v>
      </c>
      <c r="J61" s="45" t="n">
        <f aca="false">J51+J60</f>
        <v>0</v>
      </c>
      <c r="K61" s="45" t="n">
        <f aca="false">K51+K60</f>
        <v>0</v>
      </c>
      <c r="L61" s="45" t="n">
        <f aca="false">L51+L60</f>
        <v>0</v>
      </c>
      <c r="M61" s="45" t="n">
        <f aca="false">M51+M60</f>
        <v>0</v>
      </c>
      <c r="N61" s="49" t="n">
        <f aca="false">SUM(B61:M61)</f>
        <v>0</v>
      </c>
    </row>
    <row r="62" customFormat="false" ht="15" hidden="false" customHeight="true" outlineLevel="0" collapsed="false">
      <c r="A62" s="38" t="s">
        <v>200</v>
      </c>
      <c r="B62" s="42" t="n">
        <f aca="false">MAX(0,B61)*0.27</f>
        <v>0</v>
      </c>
      <c r="C62" s="42" t="n">
        <f aca="false">MAX(0,C61)*0.27</f>
        <v>0</v>
      </c>
      <c r="D62" s="42" t="n">
        <f aca="false">MAX(0,D61)*0.27</f>
        <v>0</v>
      </c>
      <c r="E62" s="42" t="n">
        <f aca="false">MAX(0,E61)*0.27</f>
        <v>0</v>
      </c>
      <c r="F62" s="42" t="n">
        <f aca="false">MAX(0,F61)*0.27</f>
        <v>0</v>
      </c>
      <c r="G62" s="42" t="n">
        <f aca="false">MAX(0,G61)*0.27</f>
        <v>0</v>
      </c>
      <c r="H62" s="42" t="n">
        <f aca="false">MAX(0,H61)*0.27</f>
        <v>0</v>
      </c>
      <c r="I62" s="42" t="n">
        <f aca="false">MAX(0,I61)*0.27</f>
        <v>0</v>
      </c>
      <c r="J62" s="42" t="n">
        <f aca="false">MAX(0,J61)*0.27</f>
        <v>0</v>
      </c>
      <c r="K62" s="42" t="n">
        <f aca="false">MAX(0,K61)*0.27</f>
        <v>0</v>
      </c>
      <c r="L62" s="42" t="n">
        <f aca="false">MAX(0,L61)*0.27</f>
        <v>0</v>
      </c>
      <c r="M62" s="42" t="n">
        <f aca="false">MAX(0,M61)*0.27</f>
        <v>0</v>
      </c>
      <c r="N62" s="42" t="n">
        <f aca="false">SUM(B62:M62)</f>
        <v>0</v>
      </c>
      <c r="O62" s="0" t="s">
        <v>199</v>
      </c>
    </row>
    <row r="63" customFormat="false" ht="15" hidden="false" customHeight="true" outlineLevel="0" collapsed="false">
      <c r="A63" s="37" t="s">
        <v>454</v>
      </c>
      <c r="B63" s="45" t="n">
        <f aca="false">B61-B62</f>
        <v>0</v>
      </c>
      <c r="C63" s="45" t="n">
        <f aca="false">C61-C62</f>
        <v>0</v>
      </c>
      <c r="D63" s="45" t="n">
        <f aca="false">D61-D62</f>
        <v>0</v>
      </c>
      <c r="E63" s="45" t="n">
        <f aca="false">E61-E62</f>
        <v>0</v>
      </c>
      <c r="F63" s="45" t="n">
        <f aca="false">F61-F62</f>
        <v>0</v>
      </c>
      <c r="G63" s="45" t="n">
        <f aca="false">G61-G62</f>
        <v>0</v>
      </c>
      <c r="H63" s="45" t="n">
        <f aca="false">H61-H62</f>
        <v>0</v>
      </c>
      <c r="I63" s="45" t="n">
        <f aca="false">I61-I62</f>
        <v>0</v>
      </c>
      <c r="J63" s="45" t="n">
        <f aca="false">J61-J62</f>
        <v>0</v>
      </c>
      <c r="K63" s="45" t="n">
        <f aca="false">K61-K62</f>
        <v>0</v>
      </c>
      <c r="L63" s="45" t="n">
        <f aca="false">L61-L62</f>
        <v>0</v>
      </c>
      <c r="M63" s="45" t="n">
        <f aca="false">M61-M62</f>
        <v>0</v>
      </c>
      <c r="N63" s="49" t="n">
        <f aca="false">SUM(B63:M63)</f>
        <v>0</v>
      </c>
    </row>
    <row r="64" customFormat="false" ht="15" hidden="false" customHeight="true" outlineLevel="0" collapsed="false">
      <c r="A64" s="38" t="s">
        <v>455</v>
      </c>
      <c r="B64" s="51" t="n">
        <f aca="false">IFERROR(B63/B16,0)</f>
        <v>0</v>
      </c>
      <c r="C64" s="51" t="n">
        <f aca="false">IFERROR(C63/C16,0)</f>
        <v>0</v>
      </c>
      <c r="D64" s="51" t="n">
        <f aca="false">IFERROR(D63/D16,0)</f>
        <v>0</v>
      </c>
      <c r="E64" s="51" t="n">
        <f aca="false">IFERROR(E63/E16,0)</f>
        <v>0</v>
      </c>
      <c r="F64" s="51" t="n">
        <f aca="false">IFERROR(F63/F16,0)</f>
        <v>0</v>
      </c>
      <c r="G64" s="51" t="n">
        <f aca="false">IFERROR(G63/G16,0)</f>
        <v>0</v>
      </c>
      <c r="H64" s="51" t="n">
        <f aca="false">IFERROR(H63/H16,0)</f>
        <v>0</v>
      </c>
      <c r="I64" s="51" t="n">
        <f aca="false">IFERROR(I63/I16,0)</f>
        <v>0</v>
      </c>
      <c r="J64" s="51" t="n">
        <f aca="false">IFERROR(J63/J16,0)</f>
        <v>0</v>
      </c>
      <c r="K64" s="51" t="n">
        <f aca="false">IFERROR(K63/K16,0)</f>
        <v>0</v>
      </c>
      <c r="L64" s="51" t="n">
        <f aca="false">IFERROR(L63/L16,0)</f>
        <v>0</v>
      </c>
      <c r="M64" s="51" t="n">
        <f aca="false">IFERROR(M63/M16,0)</f>
        <v>0</v>
      </c>
      <c r="N64" s="51" t="n">
        <f aca="false">IFERROR(N63/N16,0)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2026-10-15T20:02:09Z</dcterms:created>
  <dc:creator>openpyxl</dc:creator>
  <dc:description/>
  <dc:language>en-US</dc:language>
  <cp:lastModifiedBy/>
  <dcterms:modified xsi:type="dcterms:W3CDTF">2026-10-16T02:54:22Z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